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ПРАЙС" sheetId="6" r:id="rId1"/>
    <sheet name="Цены" sheetId="2" r:id="rId2"/>
    <sheet name="Расход" sheetId="3" r:id="rId3"/>
    <sheet name="Лист2" sheetId="5" r:id="rId4"/>
  </sheets>
  <calcPr calcId="152511"/>
</workbook>
</file>

<file path=xl/calcChain.xml><?xml version="1.0" encoding="utf-8"?>
<calcChain xmlns="http://schemas.openxmlformats.org/spreadsheetml/2006/main">
  <c r="BD39" i="3" l="1"/>
  <c r="BD35" i="3"/>
  <c r="BD31" i="3"/>
  <c r="BD27" i="3"/>
  <c r="BD43" i="3"/>
  <c r="BD47" i="3"/>
  <c r="BD51" i="3"/>
  <c r="BD55" i="3"/>
  <c r="BD59" i="3"/>
  <c r="BD63" i="3"/>
  <c r="BD67" i="3"/>
  <c r="BD71" i="3"/>
  <c r="BD75" i="3"/>
  <c r="BD79" i="3"/>
  <c r="BD23" i="3"/>
  <c r="BD19" i="3"/>
  <c r="N105" i="3"/>
  <c r="N163" i="3" l="1"/>
  <c r="N155" i="3"/>
  <c r="N123" i="3"/>
  <c r="N115" i="3"/>
  <c r="N131" i="3"/>
  <c r="N139" i="3"/>
  <c r="N147" i="3"/>
  <c r="I167" i="3"/>
  <c r="I163" i="3"/>
  <c r="I159" i="3"/>
  <c r="I155" i="3"/>
  <c r="I127" i="3"/>
  <c r="I123" i="3"/>
  <c r="I119" i="3"/>
  <c r="I115" i="3"/>
  <c r="I110" i="3"/>
  <c r="I105" i="3"/>
  <c r="H27" i="3" l="1"/>
  <c r="L7" i="3" l="1"/>
  <c r="X125" i="3" l="1"/>
  <c r="V119" i="3"/>
  <c r="V121" i="3"/>
  <c r="X120" i="3"/>
  <c r="X121" i="3"/>
  <c r="X122" i="3"/>
  <c r="X123" i="3"/>
  <c r="X124" i="3"/>
  <c r="X119" i="3"/>
  <c r="E57" i="5" l="1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F22" i="5" l="1"/>
  <c r="F26" i="5"/>
  <c r="F34" i="5"/>
  <c r="F42" i="5"/>
  <c r="F50" i="5"/>
  <c r="F2" i="5"/>
  <c r="F14" i="5"/>
  <c r="F30" i="5"/>
  <c r="F38" i="5"/>
  <c r="F46" i="5"/>
  <c r="F54" i="5"/>
  <c r="F6" i="5"/>
  <c r="F10" i="5"/>
  <c r="F18" i="5"/>
  <c r="X97" i="3"/>
  <c r="X98" i="3"/>
  <c r="X99" i="3"/>
  <c r="X100" i="3"/>
  <c r="X101" i="3"/>
  <c r="X102" i="3"/>
  <c r="X103" i="3"/>
  <c r="X104" i="3"/>
  <c r="X96" i="3"/>
  <c r="X105" i="3" s="1"/>
  <c r="L100" i="3" l="1"/>
  <c r="N95" i="3"/>
  <c r="L95" i="3"/>
  <c r="L90" i="3"/>
  <c r="N85" i="3"/>
  <c r="L85" i="3"/>
  <c r="CI82" i="3" l="1"/>
  <c r="CG82" i="3"/>
  <c r="CI81" i="3"/>
  <c r="CG81" i="3"/>
  <c r="CI80" i="3"/>
  <c r="CG80" i="3"/>
  <c r="CI79" i="3"/>
  <c r="CG79" i="3"/>
  <c r="CI78" i="3"/>
  <c r="CG78" i="3"/>
  <c r="CI77" i="3"/>
  <c r="CG77" i="3"/>
  <c r="CI76" i="3"/>
  <c r="CG76" i="3"/>
  <c r="CI75" i="3"/>
  <c r="CG75" i="3"/>
  <c r="CI74" i="3"/>
  <c r="CG74" i="3"/>
  <c r="CI73" i="3"/>
  <c r="CG73" i="3"/>
  <c r="CI72" i="3"/>
  <c r="CG72" i="3"/>
  <c r="CI71" i="3"/>
  <c r="CG71" i="3"/>
  <c r="CI70" i="3"/>
  <c r="CG70" i="3"/>
  <c r="CI69" i="3"/>
  <c r="CG69" i="3"/>
  <c r="CI68" i="3"/>
  <c r="CG68" i="3"/>
  <c r="CI67" i="3"/>
  <c r="CG67" i="3"/>
  <c r="CI66" i="3"/>
  <c r="CG66" i="3"/>
  <c r="CI65" i="3"/>
  <c r="CG65" i="3"/>
  <c r="CI64" i="3"/>
  <c r="CG64" i="3"/>
  <c r="CM63" i="3"/>
  <c r="CI63" i="3"/>
  <c r="CG63" i="3"/>
  <c r="CI62" i="3"/>
  <c r="CG62" i="3"/>
  <c r="CI61" i="3"/>
  <c r="CG61" i="3"/>
  <c r="CI60" i="3"/>
  <c r="CG60" i="3"/>
  <c r="CO59" i="3"/>
  <c r="CM59" i="3"/>
  <c r="CI59" i="3"/>
  <c r="CG59" i="3"/>
  <c r="CI58" i="3"/>
  <c r="CG58" i="3"/>
  <c r="CI57" i="3"/>
  <c r="CG57" i="3"/>
  <c r="CI56" i="3"/>
  <c r="CG56" i="3"/>
  <c r="CM55" i="3"/>
  <c r="CI55" i="3"/>
  <c r="CG55" i="3"/>
  <c r="CI54" i="3"/>
  <c r="CG54" i="3"/>
  <c r="CI53" i="3"/>
  <c r="CG53" i="3"/>
  <c r="CI52" i="3"/>
  <c r="CG52" i="3"/>
  <c r="CO51" i="3"/>
  <c r="CM51" i="3"/>
  <c r="CI51" i="3"/>
  <c r="CG51" i="3"/>
  <c r="CI50" i="3"/>
  <c r="CG50" i="3"/>
  <c r="CI49" i="3"/>
  <c r="CG49" i="3"/>
  <c r="CI48" i="3"/>
  <c r="CG48" i="3"/>
  <c r="CM47" i="3"/>
  <c r="CI47" i="3"/>
  <c r="CG47" i="3"/>
  <c r="CI46" i="3"/>
  <c r="CG46" i="3"/>
  <c r="CI45" i="3"/>
  <c r="CG45" i="3"/>
  <c r="CI44" i="3"/>
  <c r="CG44" i="3"/>
  <c r="CO43" i="3"/>
  <c r="CM43" i="3"/>
  <c r="CI43" i="3"/>
  <c r="CG43" i="3"/>
  <c r="CI42" i="3"/>
  <c r="CG42" i="3"/>
  <c r="CI41" i="3"/>
  <c r="CG41" i="3"/>
  <c r="CI40" i="3"/>
  <c r="CG40" i="3"/>
  <c r="CI39" i="3"/>
  <c r="CG39" i="3"/>
  <c r="CI38" i="3"/>
  <c r="CG38" i="3"/>
  <c r="CI37" i="3"/>
  <c r="CG37" i="3"/>
  <c r="CI36" i="3"/>
  <c r="CG36" i="3"/>
  <c r="CI35" i="3"/>
  <c r="CG35" i="3"/>
  <c r="CI34" i="3"/>
  <c r="CG34" i="3"/>
  <c r="CI33" i="3"/>
  <c r="CG33" i="3"/>
  <c r="CI32" i="3"/>
  <c r="CG32" i="3"/>
  <c r="CI31" i="3"/>
  <c r="CG31" i="3"/>
  <c r="CI30" i="3"/>
  <c r="CG30" i="3"/>
  <c r="CI29" i="3"/>
  <c r="CG29" i="3"/>
  <c r="CI28" i="3"/>
  <c r="CG28" i="3"/>
  <c r="CI27" i="3"/>
  <c r="CG27" i="3"/>
  <c r="CI26" i="3"/>
  <c r="CG26" i="3"/>
  <c r="CI25" i="3"/>
  <c r="CG25" i="3"/>
  <c r="CI24" i="3"/>
  <c r="CG24" i="3"/>
  <c r="CI23" i="3"/>
  <c r="CG23" i="3"/>
  <c r="CI22" i="3"/>
  <c r="CG22" i="3"/>
  <c r="CI21" i="3"/>
  <c r="CG21" i="3"/>
  <c r="CI20" i="3"/>
  <c r="CG20" i="3"/>
  <c r="CI19" i="3"/>
  <c r="CG19" i="3"/>
  <c r="CI18" i="3"/>
  <c r="CG18" i="3"/>
  <c r="CI17" i="3"/>
  <c r="CG17" i="3"/>
  <c r="CI16" i="3"/>
  <c r="CG16" i="3"/>
  <c r="CM15" i="3"/>
  <c r="CI15" i="3"/>
  <c r="CG15" i="3"/>
  <c r="CI14" i="3"/>
  <c r="CG14" i="3"/>
  <c r="CI13" i="3"/>
  <c r="CG13" i="3"/>
  <c r="CI12" i="3"/>
  <c r="CG12" i="3"/>
  <c r="CO11" i="3"/>
  <c r="CM11" i="3"/>
  <c r="CI11" i="3"/>
  <c r="CG11" i="3"/>
  <c r="BV82" i="3"/>
  <c r="BT82" i="3"/>
  <c r="BV81" i="3"/>
  <c r="BT81" i="3"/>
  <c r="BV80" i="3"/>
  <c r="BT80" i="3"/>
  <c r="BV79" i="3"/>
  <c r="BT79" i="3"/>
  <c r="BV78" i="3"/>
  <c r="BT78" i="3"/>
  <c r="BV77" i="3"/>
  <c r="BT77" i="3"/>
  <c r="BV76" i="3"/>
  <c r="BT76" i="3"/>
  <c r="BV75" i="3"/>
  <c r="BT75" i="3"/>
  <c r="BV74" i="3"/>
  <c r="BT74" i="3"/>
  <c r="BV73" i="3"/>
  <c r="BT73" i="3"/>
  <c r="BV72" i="3"/>
  <c r="BT72" i="3"/>
  <c r="BV71" i="3"/>
  <c r="BT71" i="3"/>
  <c r="BV70" i="3"/>
  <c r="BT70" i="3"/>
  <c r="BV69" i="3"/>
  <c r="BT69" i="3"/>
  <c r="BV68" i="3"/>
  <c r="BT68" i="3"/>
  <c r="BV67" i="3"/>
  <c r="BT67" i="3"/>
  <c r="BV66" i="3"/>
  <c r="BT66" i="3"/>
  <c r="BV65" i="3"/>
  <c r="BT65" i="3"/>
  <c r="BV64" i="3"/>
  <c r="BT64" i="3"/>
  <c r="BZ63" i="3"/>
  <c r="BV63" i="3"/>
  <c r="BT63" i="3"/>
  <c r="BV62" i="3"/>
  <c r="BT62" i="3"/>
  <c r="BV61" i="3"/>
  <c r="BT61" i="3"/>
  <c r="BV60" i="3"/>
  <c r="BT60" i="3"/>
  <c r="CB59" i="3"/>
  <c r="BZ59" i="3"/>
  <c r="BV59" i="3"/>
  <c r="BT59" i="3"/>
  <c r="BV58" i="3"/>
  <c r="BT58" i="3"/>
  <c r="BV57" i="3"/>
  <c r="BT57" i="3"/>
  <c r="BV56" i="3"/>
  <c r="BT56" i="3"/>
  <c r="BZ55" i="3"/>
  <c r="BV55" i="3"/>
  <c r="BT55" i="3"/>
  <c r="BV54" i="3"/>
  <c r="BT54" i="3"/>
  <c r="BV53" i="3"/>
  <c r="BT53" i="3"/>
  <c r="BV52" i="3"/>
  <c r="BT52" i="3"/>
  <c r="CB51" i="3"/>
  <c r="BZ51" i="3"/>
  <c r="BV51" i="3"/>
  <c r="BT51" i="3"/>
  <c r="BV50" i="3"/>
  <c r="BT50" i="3"/>
  <c r="BV49" i="3"/>
  <c r="BT49" i="3"/>
  <c r="BV48" i="3"/>
  <c r="BT48" i="3"/>
  <c r="BZ47" i="3"/>
  <c r="BV47" i="3"/>
  <c r="BT47" i="3"/>
  <c r="BV46" i="3"/>
  <c r="BT46" i="3"/>
  <c r="BV45" i="3"/>
  <c r="BT45" i="3"/>
  <c r="BV44" i="3"/>
  <c r="BT44" i="3"/>
  <c r="CB43" i="3"/>
  <c r="BZ43" i="3"/>
  <c r="BV43" i="3"/>
  <c r="BT43" i="3"/>
  <c r="BV42" i="3"/>
  <c r="BT42" i="3"/>
  <c r="BV41" i="3"/>
  <c r="BT41" i="3"/>
  <c r="BV40" i="3"/>
  <c r="BT40" i="3"/>
  <c r="BV39" i="3"/>
  <c r="BT39" i="3"/>
  <c r="BV38" i="3"/>
  <c r="BT38" i="3"/>
  <c r="BV37" i="3"/>
  <c r="BT37" i="3"/>
  <c r="BV36" i="3"/>
  <c r="BT36" i="3"/>
  <c r="BV35" i="3"/>
  <c r="BT35" i="3"/>
  <c r="BV34" i="3"/>
  <c r="BT34" i="3"/>
  <c r="BV33" i="3"/>
  <c r="BT33" i="3"/>
  <c r="BV32" i="3"/>
  <c r="BT32" i="3"/>
  <c r="BV31" i="3"/>
  <c r="BT31" i="3"/>
  <c r="BV30" i="3"/>
  <c r="BT30" i="3"/>
  <c r="BV29" i="3"/>
  <c r="BT29" i="3"/>
  <c r="BV28" i="3"/>
  <c r="BT28" i="3"/>
  <c r="BV27" i="3"/>
  <c r="BT27" i="3"/>
  <c r="BV26" i="3"/>
  <c r="BT26" i="3"/>
  <c r="BV25" i="3"/>
  <c r="BT25" i="3"/>
  <c r="BV24" i="3"/>
  <c r="BT24" i="3"/>
  <c r="BV23" i="3"/>
  <c r="BT23" i="3"/>
  <c r="BV22" i="3"/>
  <c r="BT22" i="3"/>
  <c r="BV21" i="3"/>
  <c r="BT21" i="3"/>
  <c r="BV20" i="3"/>
  <c r="BT20" i="3"/>
  <c r="BV19" i="3"/>
  <c r="BT19" i="3"/>
  <c r="BV18" i="3"/>
  <c r="BT18" i="3"/>
  <c r="BV17" i="3"/>
  <c r="BT17" i="3"/>
  <c r="BV16" i="3"/>
  <c r="BT16" i="3"/>
  <c r="BZ15" i="3"/>
  <c r="BV15" i="3"/>
  <c r="BT15" i="3"/>
  <c r="BV14" i="3"/>
  <c r="BT14" i="3"/>
  <c r="BV13" i="3"/>
  <c r="BT13" i="3"/>
  <c r="BV12" i="3"/>
  <c r="BT12" i="3"/>
  <c r="CB11" i="3"/>
  <c r="BZ11" i="3"/>
  <c r="BV11" i="3"/>
  <c r="BT11" i="3"/>
  <c r="BI82" i="3"/>
  <c r="BG82" i="3"/>
  <c r="BI81" i="3"/>
  <c r="BG81" i="3"/>
  <c r="BI80" i="3"/>
  <c r="BG80" i="3"/>
  <c r="BI79" i="3"/>
  <c r="BG79" i="3"/>
  <c r="BI78" i="3"/>
  <c r="BG78" i="3"/>
  <c r="BI77" i="3"/>
  <c r="BG77" i="3"/>
  <c r="BI76" i="3"/>
  <c r="BG76" i="3"/>
  <c r="BI75" i="3"/>
  <c r="BG75" i="3"/>
  <c r="BI74" i="3"/>
  <c r="BG74" i="3"/>
  <c r="BI73" i="3"/>
  <c r="BG73" i="3"/>
  <c r="BI72" i="3"/>
  <c r="BG72" i="3"/>
  <c r="BI71" i="3"/>
  <c r="BG71" i="3"/>
  <c r="BI70" i="3"/>
  <c r="BG70" i="3"/>
  <c r="BI69" i="3"/>
  <c r="BG69" i="3"/>
  <c r="BI68" i="3"/>
  <c r="BG68" i="3"/>
  <c r="BI67" i="3"/>
  <c r="BG67" i="3"/>
  <c r="BI66" i="3"/>
  <c r="BG66" i="3"/>
  <c r="BI65" i="3"/>
  <c r="BG65" i="3"/>
  <c r="BI64" i="3"/>
  <c r="BG64" i="3"/>
  <c r="BM63" i="3"/>
  <c r="BI63" i="3"/>
  <c r="BG63" i="3"/>
  <c r="BI62" i="3"/>
  <c r="BG62" i="3"/>
  <c r="BI61" i="3"/>
  <c r="BG61" i="3"/>
  <c r="BI60" i="3"/>
  <c r="BG60" i="3"/>
  <c r="BO59" i="3"/>
  <c r="BM59" i="3"/>
  <c r="BI59" i="3"/>
  <c r="BG59" i="3"/>
  <c r="BI58" i="3"/>
  <c r="BG58" i="3"/>
  <c r="BI57" i="3"/>
  <c r="BG57" i="3"/>
  <c r="BI56" i="3"/>
  <c r="BG56" i="3"/>
  <c r="BM55" i="3"/>
  <c r="BI55" i="3"/>
  <c r="BG55" i="3"/>
  <c r="BI54" i="3"/>
  <c r="BG54" i="3"/>
  <c r="BI53" i="3"/>
  <c r="BG53" i="3"/>
  <c r="BI52" i="3"/>
  <c r="BG52" i="3"/>
  <c r="BO51" i="3"/>
  <c r="BM51" i="3"/>
  <c r="BI51" i="3"/>
  <c r="BG51" i="3"/>
  <c r="BI50" i="3"/>
  <c r="BG50" i="3"/>
  <c r="BI49" i="3"/>
  <c r="BG49" i="3"/>
  <c r="BI48" i="3"/>
  <c r="BG48" i="3"/>
  <c r="BM47" i="3"/>
  <c r="BI47" i="3"/>
  <c r="BG47" i="3"/>
  <c r="BI46" i="3"/>
  <c r="BG46" i="3"/>
  <c r="BI45" i="3"/>
  <c r="BG45" i="3"/>
  <c r="BI44" i="3"/>
  <c r="BG44" i="3"/>
  <c r="BO43" i="3"/>
  <c r="BM43" i="3"/>
  <c r="BI43" i="3"/>
  <c r="BG43" i="3"/>
  <c r="BI42" i="3"/>
  <c r="BG42" i="3"/>
  <c r="BI41" i="3"/>
  <c r="BG41" i="3"/>
  <c r="BI40" i="3"/>
  <c r="BG40" i="3"/>
  <c r="BI39" i="3"/>
  <c r="BG39" i="3"/>
  <c r="BI38" i="3"/>
  <c r="BG38" i="3"/>
  <c r="BI37" i="3"/>
  <c r="BG37" i="3"/>
  <c r="BI36" i="3"/>
  <c r="BG36" i="3"/>
  <c r="BI35" i="3"/>
  <c r="BG35" i="3"/>
  <c r="BI34" i="3"/>
  <c r="BG34" i="3"/>
  <c r="BI33" i="3"/>
  <c r="BG33" i="3"/>
  <c r="BI32" i="3"/>
  <c r="BG32" i="3"/>
  <c r="BI31" i="3"/>
  <c r="BG31" i="3"/>
  <c r="BI30" i="3"/>
  <c r="BG30" i="3"/>
  <c r="BI29" i="3"/>
  <c r="BG29" i="3"/>
  <c r="BI28" i="3"/>
  <c r="BG28" i="3"/>
  <c r="BI27" i="3"/>
  <c r="BG27" i="3"/>
  <c r="BI26" i="3"/>
  <c r="BG26" i="3"/>
  <c r="BI25" i="3"/>
  <c r="BG25" i="3"/>
  <c r="BI24" i="3"/>
  <c r="BG24" i="3"/>
  <c r="BI23" i="3"/>
  <c r="BG23" i="3"/>
  <c r="BI22" i="3"/>
  <c r="BG22" i="3"/>
  <c r="BI21" i="3"/>
  <c r="BG21" i="3"/>
  <c r="BI20" i="3"/>
  <c r="BG20" i="3"/>
  <c r="BI19" i="3"/>
  <c r="BG19" i="3"/>
  <c r="BI18" i="3"/>
  <c r="BG18" i="3"/>
  <c r="BI17" i="3"/>
  <c r="BG17" i="3"/>
  <c r="BI16" i="3"/>
  <c r="BG16" i="3"/>
  <c r="BM15" i="3"/>
  <c r="BI15" i="3"/>
  <c r="BG15" i="3"/>
  <c r="BI14" i="3"/>
  <c r="BG14" i="3"/>
  <c r="BI13" i="3"/>
  <c r="BG13" i="3"/>
  <c r="BI12" i="3"/>
  <c r="BG12" i="3"/>
  <c r="BO11" i="3"/>
  <c r="BM11" i="3"/>
  <c r="BI11" i="3"/>
  <c r="BG11" i="3"/>
  <c r="CI10" i="3"/>
  <c r="CG10" i="3"/>
  <c r="CI9" i="3"/>
  <c r="CG9" i="3"/>
  <c r="CI8" i="3"/>
  <c r="CG8" i="3"/>
  <c r="CM7" i="3"/>
  <c r="CI7" i="3"/>
  <c r="CG7" i="3"/>
  <c r="CI6" i="3"/>
  <c r="CG6" i="3"/>
  <c r="CI5" i="3"/>
  <c r="CG5" i="3"/>
  <c r="CI4" i="3"/>
  <c r="CG4" i="3"/>
  <c r="CO3" i="3"/>
  <c r="CM3" i="3"/>
  <c r="CI3" i="3"/>
  <c r="CG3" i="3"/>
  <c r="BV10" i="3"/>
  <c r="BT10" i="3"/>
  <c r="BV9" i="3"/>
  <c r="BT9" i="3"/>
  <c r="BV8" i="3"/>
  <c r="BT8" i="3"/>
  <c r="BZ7" i="3"/>
  <c r="BV7" i="3"/>
  <c r="BT7" i="3"/>
  <c r="BV6" i="3"/>
  <c r="BT6" i="3"/>
  <c r="BV5" i="3"/>
  <c r="BT5" i="3"/>
  <c r="BV4" i="3"/>
  <c r="BT4" i="3"/>
  <c r="CB3" i="3"/>
  <c r="BZ3" i="3"/>
  <c r="BV3" i="3"/>
  <c r="BT3" i="3"/>
  <c r="BI10" i="3"/>
  <c r="BG10" i="3"/>
  <c r="BI9" i="3"/>
  <c r="BG9" i="3"/>
  <c r="BI8" i="3"/>
  <c r="BG8" i="3"/>
  <c r="BM7" i="3"/>
  <c r="BI7" i="3"/>
  <c r="BG7" i="3"/>
  <c r="BI6" i="3"/>
  <c r="BG6" i="3"/>
  <c r="BI5" i="3"/>
  <c r="BG5" i="3"/>
  <c r="BI4" i="3"/>
  <c r="BG4" i="3"/>
  <c r="BO3" i="3"/>
  <c r="BM3" i="3"/>
  <c r="BI3" i="3"/>
  <c r="BG3" i="3"/>
  <c r="AU82" i="3"/>
  <c r="AS82" i="3"/>
  <c r="AU81" i="3"/>
  <c r="AS81" i="3"/>
  <c r="AU80" i="3"/>
  <c r="AS80" i="3"/>
  <c r="AU79" i="3"/>
  <c r="AS79" i="3"/>
  <c r="AU78" i="3"/>
  <c r="AS78" i="3"/>
  <c r="AU77" i="3"/>
  <c r="AS77" i="3"/>
  <c r="AU76" i="3"/>
  <c r="AS76" i="3"/>
  <c r="AU75" i="3"/>
  <c r="AS75" i="3"/>
  <c r="AU74" i="3"/>
  <c r="AS74" i="3"/>
  <c r="AU73" i="3"/>
  <c r="AS73" i="3"/>
  <c r="AU72" i="3"/>
  <c r="AS72" i="3"/>
  <c r="AU71" i="3"/>
  <c r="AS71" i="3"/>
  <c r="AU70" i="3"/>
  <c r="AS70" i="3"/>
  <c r="AU69" i="3"/>
  <c r="AS69" i="3"/>
  <c r="AU68" i="3"/>
  <c r="AS68" i="3"/>
  <c r="AU67" i="3"/>
  <c r="AS67" i="3"/>
  <c r="AU66" i="3"/>
  <c r="AS66" i="3"/>
  <c r="AU65" i="3"/>
  <c r="AS65" i="3"/>
  <c r="AU64" i="3"/>
  <c r="AS64" i="3"/>
  <c r="AY63" i="3"/>
  <c r="AU63" i="3"/>
  <c r="AS63" i="3"/>
  <c r="AU62" i="3"/>
  <c r="AS62" i="3"/>
  <c r="AU61" i="3"/>
  <c r="AS61" i="3"/>
  <c r="AU60" i="3"/>
  <c r="AS60" i="3"/>
  <c r="BA59" i="3"/>
  <c r="AY59" i="3"/>
  <c r="AU59" i="3"/>
  <c r="AS59" i="3"/>
  <c r="AU58" i="3"/>
  <c r="AS58" i="3"/>
  <c r="AU57" i="3"/>
  <c r="AS57" i="3"/>
  <c r="AU56" i="3"/>
  <c r="AS56" i="3"/>
  <c r="AY55" i="3"/>
  <c r="AU55" i="3"/>
  <c r="AS55" i="3"/>
  <c r="AU54" i="3"/>
  <c r="AS54" i="3"/>
  <c r="AU53" i="3"/>
  <c r="AS53" i="3"/>
  <c r="AU52" i="3"/>
  <c r="AS52" i="3"/>
  <c r="BA51" i="3"/>
  <c r="AY51" i="3"/>
  <c r="AU51" i="3"/>
  <c r="AS51" i="3"/>
  <c r="AU50" i="3"/>
  <c r="AS50" i="3"/>
  <c r="AU49" i="3"/>
  <c r="AS49" i="3"/>
  <c r="AU48" i="3"/>
  <c r="AS48" i="3"/>
  <c r="AY47" i="3"/>
  <c r="AU47" i="3"/>
  <c r="AS47" i="3"/>
  <c r="AU46" i="3"/>
  <c r="AS46" i="3"/>
  <c r="AU45" i="3"/>
  <c r="AS45" i="3"/>
  <c r="AU44" i="3"/>
  <c r="AS44" i="3"/>
  <c r="BA43" i="3"/>
  <c r="AY43" i="3"/>
  <c r="AU43" i="3"/>
  <c r="AS43" i="3"/>
  <c r="AU42" i="3"/>
  <c r="AS42" i="3"/>
  <c r="AU41" i="3"/>
  <c r="AS41" i="3"/>
  <c r="AU40" i="3"/>
  <c r="AS40" i="3"/>
  <c r="AU39" i="3"/>
  <c r="AS39" i="3"/>
  <c r="AU38" i="3"/>
  <c r="AS38" i="3"/>
  <c r="AU37" i="3"/>
  <c r="AS37" i="3"/>
  <c r="AU36" i="3"/>
  <c r="AS36" i="3"/>
  <c r="AU35" i="3"/>
  <c r="AS35" i="3"/>
  <c r="AU34" i="3"/>
  <c r="AS34" i="3"/>
  <c r="AU33" i="3"/>
  <c r="AS33" i="3"/>
  <c r="AU32" i="3"/>
  <c r="AS32" i="3"/>
  <c r="AU31" i="3"/>
  <c r="AS31" i="3"/>
  <c r="AU30" i="3"/>
  <c r="AS30" i="3"/>
  <c r="AU29" i="3"/>
  <c r="AS29" i="3"/>
  <c r="AU28" i="3"/>
  <c r="AS28" i="3"/>
  <c r="AU27" i="3"/>
  <c r="AS27" i="3"/>
  <c r="AU26" i="3"/>
  <c r="AS26" i="3"/>
  <c r="AU25" i="3"/>
  <c r="AS25" i="3"/>
  <c r="AU24" i="3"/>
  <c r="AS24" i="3"/>
  <c r="AU23" i="3"/>
  <c r="AS23" i="3"/>
  <c r="AU22" i="3"/>
  <c r="AS22" i="3"/>
  <c r="AU21" i="3"/>
  <c r="AS21" i="3"/>
  <c r="AU20" i="3"/>
  <c r="AS20" i="3"/>
  <c r="AU19" i="3"/>
  <c r="AS19" i="3"/>
  <c r="AU18" i="3"/>
  <c r="AS18" i="3"/>
  <c r="AU17" i="3"/>
  <c r="AS17" i="3"/>
  <c r="AU16" i="3"/>
  <c r="AS16" i="3"/>
  <c r="AY15" i="3"/>
  <c r="AU15" i="3"/>
  <c r="AS15" i="3"/>
  <c r="AU14" i="3"/>
  <c r="AS14" i="3"/>
  <c r="AU13" i="3"/>
  <c r="AS13" i="3"/>
  <c r="AU12" i="3"/>
  <c r="AS12" i="3"/>
  <c r="BA11" i="3"/>
  <c r="AY11" i="3"/>
  <c r="AU11" i="3"/>
  <c r="AS11" i="3"/>
  <c r="AU10" i="3"/>
  <c r="AS10" i="3"/>
  <c r="AU9" i="3"/>
  <c r="AS9" i="3"/>
  <c r="AU8" i="3"/>
  <c r="AS8" i="3"/>
  <c r="AY7" i="3"/>
  <c r="AU7" i="3"/>
  <c r="AS7" i="3"/>
  <c r="AU6" i="3"/>
  <c r="AS6" i="3"/>
  <c r="AU5" i="3"/>
  <c r="AS5" i="3"/>
  <c r="AU4" i="3"/>
  <c r="AS4" i="3"/>
  <c r="BA3" i="3"/>
  <c r="AY3" i="3"/>
  <c r="AU3" i="3"/>
  <c r="AS3" i="3"/>
  <c r="CH11" i="3" l="1"/>
  <c r="AT59" i="3"/>
  <c r="AT79" i="3"/>
  <c r="BL47" i="3"/>
  <c r="CL11" i="3"/>
  <c r="AX11" i="3"/>
  <c r="AZ11" i="3" s="1"/>
  <c r="BC11" i="3" s="1"/>
  <c r="AX31" i="3"/>
  <c r="AZ31" i="3" s="1"/>
  <c r="BC31" i="3" s="1"/>
  <c r="AT19" i="3"/>
  <c r="AT39" i="3"/>
  <c r="AX59" i="3"/>
  <c r="AZ59" i="3" s="1"/>
  <c r="BC59" i="3" s="1"/>
  <c r="AX79" i="3"/>
  <c r="AZ79" i="3" s="1"/>
  <c r="BC79" i="3" s="1"/>
  <c r="BH75" i="3"/>
  <c r="BU23" i="3"/>
  <c r="CH79" i="3"/>
  <c r="BH55" i="3"/>
  <c r="CH19" i="3"/>
  <c r="CL59" i="3"/>
  <c r="CN59" i="3" s="1"/>
  <c r="CQ59" i="3" s="1"/>
  <c r="CL79" i="3"/>
  <c r="CN79" i="3" s="1"/>
  <c r="CP79" i="3" s="1"/>
  <c r="BY23" i="3"/>
  <c r="CA23" i="3" s="1"/>
  <c r="CD23" i="3" s="1"/>
  <c r="AX39" i="3"/>
  <c r="AZ39" i="3" s="1"/>
  <c r="BC39" i="3" s="1"/>
  <c r="BH47" i="3"/>
  <c r="CH31" i="3"/>
  <c r="BN47" i="3"/>
  <c r="BQ47" i="3" s="1"/>
  <c r="AX43" i="3"/>
  <c r="AZ43" i="3" s="1"/>
  <c r="BC43" i="3" s="1"/>
  <c r="AX63" i="3"/>
  <c r="AZ63" i="3" s="1"/>
  <c r="BB63" i="3" s="1"/>
  <c r="BH79" i="3"/>
  <c r="BY47" i="3"/>
  <c r="CA47" i="3" s="1"/>
  <c r="CD47" i="3" s="1"/>
  <c r="CH43" i="3"/>
  <c r="AT23" i="3"/>
  <c r="AX23" i="3"/>
  <c r="AZ23" i="3" s="1"/>
  <c r="BH19" i="3"/>
  <c r="BL79" i="3"/>
  <c r="BN79" i="3" s="1"/>
  <c r="BP79" i="3" s="1"/>
  <c r="CH23" i="3"/>
  <c r="CL43" i="3"/>
  <c r="CN43" i="3" s="1"/>
  <c r="CQ43" i="3" s="1"/>
  <c r="AT51" i="3"/>
  <c r="AT71" i="3"/>
  <c r="BL19" i="3"/>
  <c r="BN19" i="3" s="1"/>
  <c r="BQ19" i="3" s="1"/>
  <c r="AT11" i="3"/>
  <c r="AT31" i="3"/>
  <c r="AX51" i="3"/>
  <c r="AZ51" i="3" s="1"/>
  <c r="BC51" i="3" s="1"/>
  <c r="AX71" i="3"/>
  <c r="AZ71" i="3" s="1"/>
  <c r="BC71" i="3" s="1"/>
  <c r="CH63" i="3"/>
  <c r="CL63" i="3"/>
  <c r="CN63" i="3" s="1"/>
  <c r="CQ63" i="3" s="1"/>
  <c r="CH59" i="3"/>
  <c r="CL51" i="3"/>
  <c r="CN51" i="3" s="1"/>
  <c r="CH39" i="3"/>
  <c r="CL31" i="3"/>
  <c r="CN31" i="3" s="1"/>
  <c r="CQ31" i="3" s="1"/>
  <c r="BU75" i="3"/>
  <c r="BY75" i="3"/>
  <c r="CA75" i="3" s="1"/>
  <c r="CC75" i="3" s="1"/>
  <c r="BU63" i="3"/>
  <c r="BY63" i="3"/>
  <c r="CA63" i="3" s="1"/>
  <c r="CC63" i="3" s="1"/>
  <c r="BU43" i="3"/>
  <c r="BY43" i="3"/>
  <c r="CA43" i="3" s="1"/>
  <c r="CD43" i="3" s="1"/>
  <c r="BY27" i="3"/>
  <c r="CA27" i="3" s="1"/>
  <c r="CD27" i="3" s="1"/>
  <c r="BY15" i="3"/>
  <c r="CA15" i="3" s="1"/>
  <c r="CC15" i="3" s="1"/>
  <c r="BH67" i="3"/>
  <c r="BL67" i="3"/>
  <c r="BN67" i="3" s="1"/>
  <c r="BQ67" i="3" s="1"/>
  <c r="BL59" i="3"/>
  <c r="BN59" i="3" s="1"/>
  <c r="BQ59" i="3" s="1"/>
  <c r="BL27" i="3"/>
  <c r="BN27" i="3" s="1"/>
  <c r="BQ27" i="3" s="1"/>
  <c r="BH39" i="3"/>
  <c r="BL39" i="3"/>
  <c r="BN39" i="3" s="1"/>
  <c r="BP39" i="3" s="1"/>
  <c r="AT43" i="3"/>
  <c r="AT63" i="3"/>
  <c r="BL31" i="3"/>
  <c r="BN31" i="3" s="1"/>
  <c r="BQ31" i="3" s="1"/>
  <c r="BU27" i="3"/>
  <c r="BU47" i="3"/>
  <c r="BY67" i="3"/>
  <c r="CA67" i="3" s="1"/>
  <c r="CD67" i="3" s="1"/>
  <c r="CL15" i="3"/>
  <c r="CN15" i="3" s="1"/>
  <c r="CQ15" i="3" s="1"/>
  <c r="BU35" i="3"/>
  <c r="BU55" i="3"/>
  <c r="CL23" i="3"/>
  <c r="CN23" i="3" s="1"/>
  <c r="CQ23" i="3" s="1"/>
  <c r="BU15" i="3"/>
  <c r="BY35" i="3"/>
  <c r="CA35" i="3" s="1"/>
  <c r="CD35" i="3" s="1"/>
  <c r="BY55" i="3"/>
  <c r="CA55" i="3" s="1"/>
  <c r="CD55" i="3" s="1"/>
  <c r="CH51" i="3"/>
  <c r="CH71" i="3"/>
  <c r="CL71" i="3"/>
  <c r="CN71" i="3" s="1"/>
  <c r="CQ71" i="3" s="1"/>
  <c r="CN11" i="3"/>
  <c r="CQ11" i="3" s="1"/>
  <c r="BU51" i="3"/>
  <c r="BU71" i="3"/>
  <c r="CL19" i="3"/>
  <c r="CN19" i="3" s="1"/>
  <c r="CQ19" i="3" s="1"/>
  <c r="CL39" i="3"/>
  <c r="CN39" i="3" s="1"/>
  <c r="CP39" i="3" s="1"/>
  <c r="BU11" i="3"/>
  <c r="BU31" i="3"/>
  <c r="BY51" i="3"/>
  <c r="CA51" i="3" s="1"/>
  <c r="CD51" i="3" s="1"/>
  <c r="BY71" i="3"/>
  <c r="CA71" i="3" s="1"/>
  <c r="CD71" i="3" s="1"/>
  <c r="CH67" i="3"/>
  <c r="BY11" i="3"/>
  <c r="CA11" i="3" s="1"/>
  <c r="CD11" i="3" s="1"/>
  <c r="BY31" i="3"/>
  <c r="CA31" i="3" s="1"/>
  <c r="CD31" i="3" s="1"/>
  <c r="CH27" i="3"/>
  <c r="CH47" i="3"/>
  <c r="CL67" i="3"/>
  <c r="CN67" i="3" s="1"/>
  <c r="CQ67" i="3" s="1"/>
  <c r="AT47" i="3"/>
  <c r="AX27" i="3"/>
  <c r="AZ27" i="3" s="1"/>
  <c r="BC27" i="3" s="1"/>
  <c r="AT75" i="3"/>
  <c r="BU59" i="3"/>
  <c r="BU79" i="3"/>
  <c r="CL27" i="3"/>
  <c r="CN27" i="3" s="1"/>
  <c r="CQ27" i="3" s="1"/>
  <c r="CL47" i="3"/>
  <c r="CN47" i="3" s="1"/>
  <c r="CQ47" i="3" s="1"/>
  <c r="AX47" i="3"/>
  <c r="AZ47" i="3" s="1"/>
  <c r="BC47" i="3" s="1"/>
  <c r="AT35" i="3"/>
  <c r="AT55" i="3"/>
  <c r="AX75" i="3"/>
  <c r="AZ75" i="3" s="1"/>
  <c r="BC75" i="3" s="1"/>
  <c r="BU19" i="3"/>
  <c r="BU39" i="3"/>
  <c r="BY59" i="3"/>
  <c r="CA59" i="3" s="1"/>
  <c r="CD59" i="3" s="1"/>
  <c r="BY79" i="3"/>
  <c r="CA79" i="3" s="1"/>
  <c r="CC79" i="3" s="1"/>
  <c r="CH75" i="3"/>
  <c r="AT67" i="3"/>
  <c r="AX67" i="3"/>
  <c r="AZ67" i="3" s="1"/>
  <c r="BC67" i="3" s="1"/>
  <c r="AX35" i="3"/>
  <c r="AZ35" i="3" s="1"/>
  <c r="BC35" i="3" s="1"/>
  <c r="AX55" i="3"/>
  <c r="AZ55" i="3" s="1"/>
  <c r="BC55" i="3" s="1"/>
  <c r="BY19" i="3"/>
  <c r="CA19" i="3" s="1"/>
  <c r="CD19" i="3" s="1"/>
  <c r="BY39" i="3"/>
  <c r="CA39" i="3" s="1"/>
  <c r="CD39" i="3" s="1"/>
  <c r="CH35" i="3"/>
  <c r="CH55" i="3"/>
  <c r="CL75" i="3"/>
  <c r="CN75" i="3" s="1"/>
  <c r="CQ75" i="3" s="1"/>
  <c r="AX19" i="3"/>
  <c r="AZ19" i="3" s="1"/>
  <c r="AT27" i="3"/>
  <c r="AT15" i="3"/>
  <c r="AX15" i="3"/>
  <c r="AZ15" i="3" s="1"/>
  <c r="BB15" i="3" s="1"/>
  <c r="BU67" i="3"/>
  <c r="CH15" i="3"/>
  <c r="CL35" i="3"/>
  <c r="CN35" i="3" s="1"/>
  <c r="CQ35" i="3" s="1"/>
  <c r="CL55" i="3"/>
  <c r="CN55" i="3" s="1"/>
  <c r="CQ55" i="3" s="1"/>
  <c r="CL7" i="3"/>
  <c r="CN7" i="3" s="1"/>
  <c r="CQ7" i="3" s="1"/>
  <c r="CH7" i="3"/>
  <c r="CH3" i="3"/>
  <c r="CL3" i="3"/>
  <c r="CN3" i="3" s="1"/>
  <c r="CQ3" i="3" s="1"/>
  <c r="BY7" i="3"/>
  <c r="CA7" i="3" s="1"/>
  <c r="CD7" i="3" s="1"/>
  <c r="BU7" i="3"/>
  <c r="BU3" i="3"/>
  <c r="BY3" i="3"/>
  <c r="CA3" i="3" s="1"/>
  <c r="CD3" i="3" s="1"/>
  <c r="BL75" i="3"/>
  <c r="BN75" i="3" s="1"/>
  <c r="BQ75" i="3" s="1"/>
  <c r="BH71" i="3"/>
  <c r="BL71" i="3"/>
  <c r="BN71" i="3" s="1"/>
  <c r="BP71" i="3" s="1"/>
  <c r="BH59" i="3"/>
  <c r="BL63" i="3"/>
  <c r="BN63" i="3" s="1"/>
  <c r="BQ63" i="3" s="1"/>
  <c r="BH63" i="3"/>
  <c r="BL55" i="3"/>
  <c r="BN55" i="3" s="1"/>
  <c r="BQ55" i="3" s="1"/>
  <c r="BH51" i="3"/>
  <c r="BL51" i="3"/>
  <c r="BN51" i="3" s="1"/>
  <c r="BQ51" i="3" s="1"/>
  <c r="BH43" i="3"/>
  <c r="BL43" i="3"/>
  <c r="BN43" i="3" s="1"/>
  <c r="BQ43" i="3" s="1"/>
  <c r="BH35" i="3"/>
  <c r="BL35" i="3"/>
  <c r="BN35" i="3" s="1"/>
  <c r="BQ35" i="3" s="1"/>
  <c r="BH27" i="3"/>
  <c r="BH31" i="3"/>
  <c r="BL23" i="3"/>
  <c r="BN23" i="3" s="1"/>
  <c r="BP23" i="3" s="1"/>
  <c r="BH23" i="3"/>
  <c r="BL11" i="3"/>
  <c r="BN11" i="3" s="1"/>
  <c r="BQ11" i="3" s="1"/>
  <c r="BL15" i="3"/>
  <c r="BN15" i="3" s="1"/>
  <c r="BP15" i="3" s="1"/>
  <c r="BH15" i="3"/>
  <c r="BH11" i="3"/>
  <c r="BH3" i="3"/>
  <c r="BL3" i="3"/>
  <c r="BN3" i="3" s="1"/>
  <c r="BQ3" i="3" s="1"/>
  <c r="BH7" i="3"/>
  <c r="BL7" i="3"/>
  <c r="BN7" i="3" s="1"/>
  <c r="BQ7" i="3" s="1"/>
  <c r="AX7" i="3"/>
  <c r="AZ7" i="3" s="1"/>
  <c r="BC7" i="3" s="1"/>
  <c r="AT7" i="3"/>
  <c r="AT3" i="3"/>
  <c r="AX3" i="3"/>
  <c r="AZ3" i="3" s="1"/>
  <c r="BC3" i="3" s="1"/>
  <c r="BC23" i="3" l="1"/>
  <c r="BC19" i="3"/>
  <c r="CQ51" i="3"/>
  <c r="CP51" i="3"/>
  <c r="CP27" i="3"/>
  <c r="BB11" i="3"/>
  <c r="BQ79" i="3"/>
  <c r="CC23" i="3"/>
  <c r="CP59" i="3"/>
  <c r="CP11" i="3"/>
  <c r="CQ79" i="3"/>
  <c r="BC63" i="3"/>
  <c r="BB71" i="3"/>
  <c r="BP19" i="3"/>
  <c r="CQ39" i="3"/>
  <c r="CC47" i="3"/>
  <c r="CC27" i="3"/>
  <c r="CC67" i="3"/>
  <c r="BB59" i="3"/>
  <c r="BB39" i="3"/>
  <c r="BB51" i="3"/>
  <c r="BB31" i="3"/>
  <c r="BQ39" i="3"/>
  <c r="BB79" i="3"/>
  <c r="BQ71" i="3"/>
  <c r="CD75" i="3"/>
  <c r="CC43" i="3"/>
  <c r="BP47" i="3"/>
  <c r="BB23" i="3"/>
  <c r="BP11" i="3"/>
  <c r="BB43" i="3"/>
  <c r="BC15" i="3"/>
  <c r="BB27" i="3"/>
  <c r="CD15" i="3"/>
  <c r="BB19" i="3"/>
  <c r="BP27" i="3"/>
  <c r="CC71" i="3"/>
  <c r="CP63" i="3"/>
  <c r="CP43" i="3"/>
  <c r="BP59" i="3"/>
  <c r="CC59" i="3"/>
  <c r="BP31" i="3"/>
  <c r="CP47" i="3"/>
  <c r="BB75" i="3"/>
  <c r="BP67" i="3"/>
  <c r="BP63" i="3"/>
  <c r="BP55" i="3"/>
  <c r="BP7" i="3"/>
  <c r="CC7" i="3"/>
  <c r="CD63" i="3"/>
  <c r="CD79" i="3"/>
  <c r="CC55" i="3"/>
  <c r="CC35" i="3"/>
  <c r="CP75" i="3"/>
  <c r="CP55" i="3"/>
  <c r="CP19" i="3"/>
  <c r="CP15" i="3"/>
  <c r="BQ15" i="3"/>
  <c r="BQ23" i="3"/>
  <c r="CC19" i="3"/>
  <c r="CP23" i="3"/>
  <c r="CP7" i="3"/>
  <c r="CP67" i="3"/>
  <c r="BB47" i="3"/>
  <c r="BB55" i="3"/>
  <c r="CP71" i="3"/>
  <c r="CC31" i="3"/>
  <c r="CC39" i="3"/>
  <c r="CP31" i="3"/>
  <c r="CC11" i="3"/>
  <c r="BB35" i="3"/>
  <c r="CC51" i="3"/>
  <c r="BB67" i="3"/>
  <c r="CP35" i="3"/>
  <c r="CP3" i="3"/>
  <c r="BB7" i="3"/>
  <c r="CC3" i="3"/>
  <c r="BP75" i="3"/>
  <c r="BP51" i="3"/>
  <c r="BP43" i="3"/>
  <c r="BP35" i="3"/>
  <c r="BP3" i="3"/>
  <c r="BB3" i="3"/>
  <c r="AH82" i="3" l="1"/>
  <c r="AF82" i="3"/>
  <c r="AH81" i="3"/>
  <c r="AF81" i="3"/>
  <c r="AH80" i="3"/>
  <c r="AF80" i="3"/>
  <c r="AH79" i="3"/>
  <c r="AF79" i="3"/>
  <c r="AH78" i="3"/>
  <c r="AF78" i="3"/>
  <c r="AH77" i="3"/>
  <c r="AF77" i="3"/>
  <c r="AH76" i="3"/>
  <c r="AF76" i="3"/>
  <c r="AH75" i="3"/>
  <c r="AF75" i="3"/>
  <c r="AH74" i="3"/>
  <c r="AF74" i="3"/>
  <c r="AH73" i="3"/>
  <c r="AF73" i="3"/>
  <c r="AH72" i="3"/>
  <c r="AF72" i="3"/>
  <c r="AH71" i="3"/>
  <c r="AF71" i="3"/>
  <c r="AH70" i="3"/>
  <c r="AF70" i="3"/>
  <c r="AH69" i="3"/>
  <c r="AF69" i="3"/>
  <c r="AH68" i="3"/>
  <c r="AF68" i="3"/>
  <c r="AH67" i="3"/>
  <c r="AF67" i="3"/>
  <c r="AH66" i="3"/>
  <c r="AF66" i="3"/>
  <c r="AH65" i="3"/>
  <c r="AF65" i="3"/>
  <c r="AH64" i="3"/>
  <c r="AF64" i="3"/>
  <c r="AL63" i="3"/>
  <c r="AH63" i="3"/>
  <c r="AF63" i="3"/>
  <c r="AH62" i="3"/>
  <c r="AF62" i="3"/>
  <c r="AH61" i="3"/>
  <c r="AF61" i="3"/>
  <c r="AH60" i="3"/>
  <c r="AF60" i="3"/>
  <c r="AN59" i="3"/>
  <c r="AL59" i="3"/>
  <c r="AH59" i="3"/>
  <c r="AF59" i="3"/>
  <c r="AH58" i="3"/>
  <c r="AF58" i="3"/>
  <c r="AH57" i="3"/>
  <c r="AF57" i="3"/>
  <c r="AH56" i="3"/>
  <c r="AF56" i="3"/>
  <c r="AL55" i="3"/>
  <c r="AH55" i="3"/>
  <c r="AF55" i="3"/>
  <c r="AH54" i="3"/>
  <c r="AF54" i="3"/>
  <c r="AH53" i="3"/>
  <c r="AF53" i="3"/>
  <c r="AH52" i="3"/>
  <c r="AF52" i="3"/>
  <c r="AN51" i="3"/>
  <c r="AL51" i="3"/>
  <c r="AH51" i="3"/>
  <c r="AF51" i="3"/>
  <c r="AH50" i="3"/>
  <c r="AF50" i="3"/>
  <c r="AH49" i="3"/>
  <c r="AF49" i="3"/>
  <c r="AH48" i="3"/>
  <c r="AF48" i="3"/>
  <c r="AL47" i="3"/>
  <c r="AH47" i="3"/>
  <c r="AF47" i="3"/>
  <c r="AH46" i="3"/>
  <c r="AF46" i="3"/>
  <c r="AH45" i="3"/>
  <c r="AF45" i="3"/>
  <c r="AH44" i="3"/>
  <c r="AF44" i="3"/>
  <c r="AN43" i="3"/>
  <c r="AL43" i="3"/>
  <c r="AH43" i="3"/>
  <c r="AF43" i="3"/>
  <c r="AH42" i="3"/>
  <c r="AF42" i="3"/>
  <c r="AH41" i="3"/>
  <c r="AF41" i="3"/>
  <c r="AH40" i="3"/>
  <c r="AF40" i="3"/>
  <c r="AH39" i="3"/>
  <c r="AF39" i="3"/>
  <c r="AH38" i="3"/>
  <c r="AF38" i="3"/>
  <c r="AH37" i="3"/>
  <c r="AF37" i="3"/>
  <c r="AH36" i="3"/>
  <c r="AF36" i="3"/>
  <c r="AH35" i="3"/>
  <c r="AF35" i="3"/>
  <c r="AH34" i="3"/>
  <c r="AF34" i="3"/>
  <c r="AH33" i="3"/>
  <c r="AF33" i="3"/>
  <c r="AH32" i="3"/>
  <c r="AF32" i="3"/>
  <c r="AH31" i="3"/>
  <c r="AF31" i="3"/>
  <c r="AH30" i="3"/>
  <c r="AF30" i="3"/>
  <c r="AH29" i="3"/>
  <c r="AF29" i="3"/>
  <c r="AH28" i="3"/>
  <c r="AF28" i="3"/>
  <c r="AH27" i="3"/>
  <c r="AF27" i="3"/>
  <c r="AH26" i="3"/>
  <c r="AF26" i="3"/>
  <c r="AH25" i="3"/>
  <c r="AF25" i="3"/>
  <c r="AH24" i="3"/>
  <c r="AF24" i="3"/>
  <c r="AH23" i="3"/>
  <c r="AF23" i="3"/>
  <c r="AH22" i="3"/>
  <c r="AF22" i="3"/>
  <c r="AH21" i="3"/>
  <c r="AF21" i="3"/>
  <c r="AH20" i="3"/>
  <c r="AF20" i="3"/>
  <c r="AH19" i="3"/>
  <c r="AF19" i="3"/>
  <c r="AH18" i="3"/>
  <c r="AF18" i="3"/>
  <c r="AH17" i="3"/>
  <c r="AF17" i="3"/>
  <c r="AH16" i="3"/>
  <c r="AF16" i="3"/>
  <c r="AL15" i="3"/>
  <c r="AH15" i="3"/>
  <c r="AF15" i="3"/>
  <c r="AH14" i="3"/>
  <c r="AF14" i="3"/>
  <c r="AH13" i="3"/>
  <c r="AF13" i="3"/>
  <c r="AH12" i="3"/>
  <c r="AF12" i="3"/>
  <c r="AN11" i="3"/>
  <c r="AL11" i="3"/>
  <c r="AH11" i="3"/>
  <c r="AF11" i="3"/>
  <c r="AL7" i="3"/>
  <c r="AL3" i="3"/>
  <c r="Y63" i="3"/>
  <c r="Y59" i="3"/>
  <c r="Y55" i="3"/>
  <c r="Y51" i="3"/>
  <c r="Y47" i="3"/>
  <c r="Y43" i="3"/>
  <c r="Y15" i="3"/>
  <c r="Y11" i="3"/>
  <c r="Y7" i="3"/>
  <c r="Y3" i="3"/>
  <c r="AH10" i="3"/>
  <c r="AF10" i="3"/>
  <c r="AH9" i="3"/>
  <c r="AF9" i="3"/>
  <c r="AH8" i="3"/>
  <c r="AF8" i="3"/>
  <c r="AH7" i="3"/>
  <c r="AF7" i="3"/>
  <c r="AH6" i="3"/>
  <c r="AF6" i="3"/>
  <c r="AH5" i="3"/>
  <c r="AF5" i="3"/>
  <c r="AH4" i="3"/>
  <c r="AF4" i="3"/>
  <c r="AN3" i="3"/>
  <c r="AH3" i="3"/>
  <c r="AF3" i="3"/>
  <c r="U82" i="3"/>
  <c r="S82" i="3"/>
  <c r="U81" i="3"/>
  <c r="S81" i="3"/>
  <c r="U80" i="3"/>
  <c r="S80" i="3"/>
  <c r="U79" i="3"/>
  <c r="S79" i="3"/>
  <c r="U78" i="3"/>
  <c r="S78" i="3"/>
  <c r="U77" i="3"/>
  <c r="S77" i="3"/>
  <c r="U76" i="3"/>
  <c r="S76" i="3"/>
  <c r="U75" i="3"/>
  <c r="S75" i="3"/>
  <c r="U74" i="3"/>
  <c r="S74" i="3"/>
  <c r="U73" i="3"/>
  <c r="S73" i="3"/>
  <c r="U72" i="3"/>
  <c r="S72" i="3"/>
  <c r="U71" i="3"/>
  <c r="S71" i="3"/>
  <c r="U70" i="3"/>
  <c r="S70" i="3"/>
  <c r="U69" i="3"/>
  <c r="S69" i="3"/>
  <c r="U68" i="3"/>
  <c r="S68" i="3"/>
  <c r="U67" i="3"/>
  <c r="S67" i="3"/>
  <c r="U66" i="3"/>
  <c r="S66" i="3"/>
  <c r="U65" i="3"/>
  <c r="S65" i="3"/>
  <c r="U64" i="3"/>
  <c r="S64" i="3"/>
  <c r="U63" i="3"/>
  <c r="S63" i="3"/>
  <c r="U62" i="3"/>
  <c r="S62" i="3"/>
  <c r="U61" i="3"/>
  <c r="S61" i="3"/>
  <c r="U60" i="3"/>
  <c r="S60" i="3"/>
  <c r="AA59" i="3"/>
  <c r="U59" i="3"/>
  <c r="S59" i="3"/>
  <c r="U58" i="3"/>
  <c r="S58" i="3"/>
  <c r="U57" i="3"/>
  <c r="S57" i="3"/>
  <c r="U56" i="3"/>
  <c r="S56" i="3"/>
  <c r="U55" i="3"/>
  <c r="S55" i="3"/>
  <c r="U54" i="3"/>
  <c r="S54" i="3"/>
  <c r="U53" i="3"/>
  <c r="S53" i="3"/>
  <c r="U52" i="3"/>
  <c r="S52" i="3"/>
  <c r="AA51" i="3"/>
  <c r="U51" i="3"/>
  <c r="S51" i="3"/>
  <c r="U50" i="3"/>
  <c r="S50" i="3"/>
  <c r="U49" i="3"/>
  <c r="S49" i="3"/>
  <c r="U48" i="3"/>
  <c r="S48" i="3"/>
  <c r="U47" i="3"/>
  <c r="S47" i="3"/>
  <c r="U46" i="3"/>
  <c r="S46" i="3"/>
  <c r="U45" i="3"/>
  <c r="S45" i="3"/>
  <c r="U44" i="3"/>
  <c r="S44" i="3"/>
  <c r="AA43" i="3"/>
  <c r="U43" i="3"/>
  <c r="S43" i="3"/>
  <c r="U42" i="3"/>
  <c r="S42" i="3"/>
  <c r="U41" i="3"/>
  <c r="S41" i="3"/>
  <c r="U40" i="3"/>
  <c r="S40" i="3"/>
  <c r="U39" i="3"/>
  <c r="S39" i="3"/>
  <c r="U38" i="3"/>
  <c r="S38" i="3"/>
  <c r="U37" i="3"/>
  <c r="S37" i="3"/>
  <c r="U36" i="3"/>
  <c r="S36" i="3"/>
  <c r="U35" i="3"/>
  <c r="S35" i="3"/>
  <c r="U34" i="3"/>
  <c r="S34" i="3"/>
  <c r="U33" i="3"/>
  <c r="S33" i="3"/>
  <c r="U32" i="3"/>
  <c r="S32" i="3"/>
  <c r="U31" i="3"/>
  <c r="S31" i="3"/>
  <c r="U30" i="3"/>
  <c r="S30" i="3"/>
  <c r="U29" i="3"/>
  <c r="S29" i="3"/>
  <c r="U28" i="3"/>
  <c r="S28" i="3"/>
  <c r="U27" i="3"/>
  <c r="S27" i="3"/>
  <c r="U26" i="3"/>
  <c r="S26" i="3"/>
  <c r="U25" i="3"/>
  <c r="S25" i="3"/>
  <c r="U24" i="3"/>
  <c r="S24" i="3"/>
  <c r="U23" i="3"/>
  <c r="S23" i="3"/>
  <c r="U22" i="3"/>
  <c r="S22" i="3"/>
  <c r="U21" i="3"/>
  <c r="S21" i="3"/>
  <c r="U20" i="3"/>
  <c r="S20" i="3"/>
  <c r="U19" i="3"/>
  <c r="X19" i="3" s="1"/>
  <c r="AC19" i="3" s="1"/>
  <c r="S19" i="3"/>
  <c r="U18" i="3"/>
  <c r="S18" i="3"/>
  <c r="U17" i="3"/>
  <c r="S17" i="3"/>
  <c r="U16" i="3"/>
  <c r="S16" i="3"/>
  <c r="U15" i="3"/>
  <c r="S15" i="3"/>
  <c r="U14" i="3"/>
  <c r="S14" i="3"/>
  <c r="U13" i="3"/>
  <c r="S13" i="3"/>
  <c r="U12" i="3"/>
  <c r="S12" i="3"/>
  <c r="AA11" i="3"/>
  <c r="U11" i="3"/>
  <c r="S11" i="3"/>
  <c r="AG11" i="3" l="1"/>
  <c r="T63" i="3"/>
  <c r="AG43" i="3"/>
  <c r="AG39" i="3"/>
  <c r="AG51" i="3"/>
  <c r="AG31" i="3"/>
  <c r="AK43" i="3"/>
  <c r="AM43" i="3" s="1"/>
  <c r="AP43" i="3" s="1"/>
  <c r="AK11" i="3"/>
  <c r="AM11" i="3" s="1"/>
  <c r="AP11" i="3" s="1"/>
  <c r="AK31" i="3"/>
  <c r="AM31" i="3" s="1"/>
  <c r="AP31" i="3" s="1"/>
  <c r="AK79" i="3"/>
  <c r="AM79" i="3" s="1"/>
  <c r="AP79" i="3" s="1"/>
  <c r="AK71" i="3"/>
  <c r="AM71" i="3" s="1"/>
  <c r="AG79" i="3"/>
  <c r="AG71" i="3"/>
  <c r="AG59" i="3"/>
  <c r="AK23" i="3"/>
  <c r="AM23" i="3" s="1"/>
  <c r="AG23" i="3"/>
  <c r="T79" i="3"/>
  <c r="X63" i="3"/>
  <c r="Z63" i="3" s="1"/>
  <c r="AC63" i="3" s="1"/>
  <c r="T31" i="3"/>
  <c r="AK15" i="3"/>
  <c r="AM15" i="3" s="1"/>
  <c r="AP15" i="3" s="1"/>
  <c r="AK51" i="3"/>
  <c r="AM51" i="3" s="1"/>
  <c r="AP51" i="3" s="1"/>
  <c r="X51" i="3"/>
  <c r="Z51" i="3" s="1"/>
  <c r="AC51" i="3" s="1"/>
  <c r="AK75" i="3"/>
  <c r="AM75" i="3" s="1"/>
  <c r="AP75" i="3" s="1"/>
  <c r="AK67" i="3"/>
  <c r="AM67" i="3" s="1"/>
  <c r="AP67" i="3" s="1"/>
  <c r="AG63" i="3"/>
  <c r="AK63" i="3"/>
  <c r="AM63" i="3" s="1"/>
  <c r="AP63" i="3" s="1"/>
  <c r="AK59" i="3"/>
  <c r="AM59" i="3" s="1"/>
  <c r="AP59" i="3" s="1"/>
  <c r="AK55" i="3"/>
  <c r="AM55" i="3" s="1"/>
  <c r="AP55" i="3" s="1"/>
  <c r="AK47" i="3"/>
  <c r="AM47" i="3" s="1"/>
  <c r="AP47" i="3" s="1"/>
  <c r="AK39" i="3"/>
  <c r="AM39" i="3" s="1"/>
  <c r="AP39" i="3" s="1"/>
  <c r="AK35" i="3"/>
  <c r="AM35" i="3" s="1"/>
  <c r="AP35" i="3" s="1"/>
  <c r="AK27" i="3"/>
  <c r="AM27" i="3" s="1"/>
  <c r="AP27" i="3" s="1"/>
  <c r="AK19" i="3"/>
  <c r="AM19" i="3" s="1"/>
  <c r="AG19" i="3"/>
  <c r="T43" i="3"/>
  <c r="T51" i="3"/>
  <c r="AG67" i="3"/>
  <c r="AG27" i="3"/>
  <c r="AG47" i="3"/>
  <c r="T59" i="3"/>
  <c r="AG75" i="3"/>
  <c r="AG35" i="3"/>
  <c r="AG55" i="3"/>
  <c r="AG15" i="3"/>
  <c r="T23" i="3"/>
  <c r="AO79" i="3"/>
  <c r="AG7" i="3"/>
  <c r="AK7" i="3"/>
  <c r="AK3" i="3"/>
  <c r="AG3" i="3"/>
  <c r="X79" i="3"/>
  <c r="Z79" i="3" s="1"/>
  <c r="T75" i="3"/>
  <c r="X75" i="3"/>
  <c r="Z75" i="3" s="1"/>
  <c r="AC75" i="3" s="1"/>
  <c r="T71" i="3"/>
  <c r="T67" i="3"/>
  <c r="X71" i="3"/>
  <c r="Z71" i="3" s="1"/>
  <c r="X67" i="3"/>
  <c r="Z67" i="3" s="1"/>
  <c r="X59" i="3"/>
  <c r="Z59" i="3" s="1"/>
  <c r="T55" i="3"/>
  <c r="X55" i="3"/>
  <c r="Z55" i="3" s="1"/>
  <c r="X43" i="3"/>
  <c r="Z43" i="3" s="1"/>
  <c r="X47" i="3"/>
  <c r="Z47" i="3" s="1"/>
  <c r="T47" i="3"/>
  <c r="T39" i="3"/>
  <c r="T35" i="3"/>
  <c r="X39" i="3"/>
  <c r="Z39" i="3" s="1"/>
  <c r="X35" i="3"/>
  <c r="Z35" i="3" s="1"/>
  <c r="X31" i="3"/>
  <c r="Z31" i="3" s="1"/>
  <c r="X27" i="3"/>
  <c r="Z27" i="3" s="1"/>
  <c r="AB27" i="3" s="1"/>
  <c r="T27" i="3"/>
  <c r="Z19" i="3"/>
  <c r="X23" i="3"/>
  <c r="T19" i="3"/>
  <c r="X15" i="3"/>
  <c r="Z15" i="3" s="1"/>
  <c r="T15" i="3"/>
  <c r="T11" i="3"/>
  <c r="X11" i="3"/>
  <c r="Z11" i="3" s="1"/>
  <c r="AP23" i="3" l="1"/>
  <c r="AP19" i="3"/>
  <c r="AC79" i="3"/>
  <c r="Z23" i="3"/>
  <c r="AB23" i="3" s="1"/>
  <c r="AC23" i="3"/>
  <c r="AB63" i="3"/>
  <c r="AO23" i="3"/>
  <c r="AP71" i="3"/>
  <c r="AO71" i="3"/>
  <c r="AO15" i="3"/>
  <c r="AM7" i="3"/>
  <c r="AM3" i="3"/>
  <c r="AP3" i="3" s="1"/>
  <c r="AO67" i="3"/>
  <c r="AB79" i="3"/>
  <c r="AB51" i="3"/>
  <c r="AO31" i="3"/>
  <c r="AB15" i="3"/>
  <c r="AC15" i="3"/>
  <c r="AO63" i="3"/>
  <c r="AC71" i="3"/>
  <c r="AC47" i="3"/>
  <c r="AO11" i="3"/>
  <c r="AC67" i="3"/>
  <c r="AC27" i="3"/>
  <c r="AB31" i="3"/>
  <c r="AC31" i="3"/>
  <c r="AO43" i="3"/>
  <c r="AB11" i="3"/>
  <c r="AC11" i="3"/>
  <c r="AB43" i="3"/>
  <c r="AC43" i="3"/>
  <c r="AC59" i="3"/>
  <c r="AB75" i="3"/>
  <c r="AB35" i="3"/>
  <c r="AC35" i="3"/>
  <c r="AB39" i="3"/>
  <c r="AC39" i="3"/>
  <c r="AO51" i="3"/>
  <c r="AB55" i="3"/>
  <c r="AC55" i="3"/>
  <c r="AO55" i="3"/>
  <c r="AO47" i="3"/>
  <c r="AO39" i="3"/>
  <c r="AO75" i="3"/>
  <c r="AO59" i="3"/>
  <c r="AO35" i="3"/>
  <c r="AO27" i="3"/>
  <c r="AO19" i="3"/>
  <c r="AB71" i="3"/>
  <c r="AB47" i="3"/>
  <c r="AB19" i="3"/>
  <c r="AB67" i="3"/>
  <c r="AB59" i="3"/>
  <c r="AO3" i="3" l="1"/>
  <c r="AP7" i="3"/>
  <c r="AO7" i="3"/>
  <c r="U10" i="3"/>
  <c r="S10" i="3"/>
  <c r="U9" i="3"/>
  <c r="S9" i="3"/>
  <c r="U8" i="3"/>
  <c r="S8" i="3"/>
  <c r="U7" i="3"/>
  <c r="S7" i="3"/>
  <c r="U6" i="3"/>
  <c r="S6" i="3"/>
  <c r="U5" i="3"/>
  <c r="S5" i="3"/>
  <c r="U4" i="3"/>
  <c r="S4" i="3"/>
  <c r="AA3" i="3"/>
  <c r="U3" i="3"/>
  <c r="S3" i="3"/>
  <c r="N59" i="3"/>
  <c r="N43" i="3"/>
  <c r="N51" i="3"/>
  <c r="N11" i="3"/>
  <c r="N3" i="3"/>
  <c r="X7" i="3" l="1"/>
  <c r="Z7" i="3" s="1"/>
  <c r="AC7" i="3" s="1"/>
  <c r="T7" i="3"/>
  <c r="T3" i="3"/>
  <c r="X3" i="3"/>
  <c r="Z3" i="3" s="1"/>
  <c r="L63" i="3"/>
  <c r="L59" i="3"/>
  <c r="L55" i="3"/>
  <c r="L51" i="3"/>
  <c r="L47" i="3"/>
  <c r="L43" i="3"/>
  <c r="L15" i="3"/>
  <c r="L11" i="3"/>
  <c r="L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3" i="3"/>
  <c r="G27" i="3" l="1"/>
  <c r="D115" i="3" s="1"/>
  <c r="AB7" i="3"/>
  <c r="AB3" i="3"/>
  <c r="AC3" i="3"/>
  <c r="G55" i="3"/>
  <c r="D143" i="3" s="1"/>
  <c r="G51" i="3"/>
  <c r="D139" i="3" s="1"/>
  <c r="G67" i="3"/>
  <c r="D155" i="3" s="1"/>
  <c r="G63" i="3"/>
  <c r="D151" i="3" s="1"/>
  <c r="G71" i="3"/>
  <c r="D159" i="3" s="1"/>
  <c r="G35" i="3"/>
  <c r="D123" i="3" s="1"/>
  <c r="G59" i="3"/>
  <c r="D147" i="3" s="1"/>
  <c r="G75" i="3"/>
  <c r="D163" i="3" s="1"/>
  <c r="G23" i="3"/>
  <c r="D110" i="3" s="1"/>
  <c r="G43" i="3"/>
  <c r="D131" i="3" s="1"/>
  <c r="G47" i="3"/>
  <c r="D135" i="3" s="1"/>
  <c r="G39" i="3"/>
  <c r="D127" i="3" s="1"/>
  <c r="G31" i="3"/>
  <c r="D119" i="3" s="1"/>
  <c r="G15" i="3"/>
  <c r="D100" i="3" s="1"/>
  <c r="G11" i="3"/>
  <c r="D95" i="3" s="1"/>
  <c r="G19" i="3"/>
  <c r="D105" i="3" s="1"/>
  <c r="G79" i="3"/>
  <c r="D167" i="3" s="1"/>
  <c r="G3" i="3"/>
  <c r="D85" i="3" s="1"/>
  <c r="G7" i="3"/>
  <c r="D90" i="3" s="1"/>
  <c r="H6" i="3"/>
  <c r="H10" i="3"/>
  <c r="H14" i="3"/>
  <c r="H18" i="3"/>
  <c r="H22" i="3"/>
  <c r="H26" i="3"/>
  <c r="H30" i="3"/>
  <c r="H34" i="3"/>
  <c r="H38" i="3"/>
  <c r="H42" i="3"/>
  <c r="H46" i="3"/>
  <c r="H50" i="3"/>
  <c r="H54" i="3"/>
  <c r="H58" i="3"/>
  <c r="H62" i="3"/>
  <c r="H66" i="3"/>
  <c r="H70" i="3"/>
  <c r="H74" i="3"/>
  <c r="H78" i="3"/>
  <c r="H82" i="3"/>
  <c r="D4" i="2" l="1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3" i="2"/>
  <c r="K52" i="2" l="1"/>
  <c r="K45" i="2"/>
  <c r="K44" i="2"/>
  <c r="K43" i="2"/>
  <c r="K41" i="2"/>
  <c r="K37" i="2"/>
  <c r="K36" i="2"/>
  <c r="K35" i="2"/>
  <c r="K34" i="2"/>
  <c r="K33" i="2"/>
  <c r="K32" i="2"/>
  <c r="K30" i="2"/>
  <c r="K29" i="2"/>
  <c r="K27" i="2"/>
  <c r="K26" i="2"/>
  <c r="K25" i="2"/>
  <c r="K24" i="2"/>
  <c r="K23" i="2"/>
  <c r="K19" i="2"/>
  <c r="K17" i="2"/>
  <c r="K16" i="2"/>
  <c r="K15" i="2"/>
  <c r="K12" i="2"/>
  <c r="K11" i="2"/>
  <c r="K10" i="2"/>
  <c r="K9" i="2"/>
  <c r="K8" i="2"/>
  <c r="K7" i="2"/>
  <c r="K6" i="2"/>
  <c r="K5" i="2"/>
  <c r="K4" i="2"/>
  <c r="K3" i="2"/>
  <c r="H51" i="3" l="1"/>
  <c r="H3" i="3"/>
  <c r="H43" i="3"/>
  <c r="H75" i="3"/>
  <c r="H35" i="3"/>
  <c r="H59" i="3"/>
  <c r="H67" i="3"/>
  <c r="H11" i="3"/>
  <c r="H19" i="3"/>
  <c r="H16" i="3"/>
  <c r="H48" i="3"/>
  <c r="H24" i="3"/>
  <c r="H56" i="3"/>
  <c r="H32" i="3"/>
  <c r="H80" i="3"/>
  <c r="H8" i="3"/>
  <c r="H40" i="3"/>
  <c r="H72" i="3"/>
  <c r="H64" i="3"/>
  <c r="H4" i="3"/>
  <c r="H20" i="3"/>
  <c r="H36" i="3"/>
  <c r="H52" i="3"/>
  <c r="H68" i="3"/>
  <c r="H76" i="3"/>
  <c r="H44" i="3"/>
  <c r="H28" i="3"/>
  <c r="H60" i="3"/>
  <c r="H12" i="3"/>
  <c r="H5" i="3"/>
  <c r="H21" i="3"/>
  <c r="H37" i="3"/>
  <c r="H53" i="3"/>
  <c r="H69" i="3"/>
  <c r="H45" i="3"/>
  <c r="H65" i="3"/>
  <c r="H61" i="3"/>
  <c r="H81" i="3"/>
  <c r="H41" i="3"/>
  <c r="H73" i="3"/>
  <c r="H29" i="3"/>
  <c r="H49" i="3"/>
  <c r="H9" i="3"/>
  <c r="H25" i="3"/>
  <c r="H57" i="3"/>
  <c r="H17" i="3"/>
  <c r="H33" i="3"/>
  <c r="H77" i="3"/>
  <c r="H13" i="3"/>
  <c r="H47" i="3"/>
  <c r="H63" i="3"/>
  <c r="H7" i="3"/>
  <c r="H23" i="3"/>
  <c r="H39" i="3"/>
  <c r="H55" i="3"/>
  <c r="H71" i="3"/>
  <c r="H31" i="3"/>
  <c r="H79" i="3"/>
  <c r="H15" i="3"/>
  <c r="K27" i="3" l="1"/>
  <c r="H115" i="3" s="1"/>
  <c r="M115" i="3" s="1"/>
  <c r="K23" i="3"/>
  <c r="K31" i="3"/>
  <c r="K7" i="3"/>
  <c r="M7" i="3" s="1"/>
  <c r="O7" i="3" s="1"/>
  <c r="K19" i="3"/>
  <c r="H105" i="3" s="1"/>
  <c r="M105" i="3" s="1"/>
  <c r="P105" i="3" s="1"/>
  <c r="K11" i="3"/>
  <c r="H95" i="3" s="1"/>
  <c r="K39" i="3"/>
  <c r="H127" i="3" s="1"/>
  <c r="M127" i="3" s="1"/>
  <c r="K55" i="3"/>
  <c r="K67" i="3"/>
  <c r="H155" i="3" s="1"/>
  <c r="M155" i="3" s="1"/>
  <c r="K59" i="3"/>
  <c r="K35" i="3"/>
  <c r="H123" i="3" s="1"/>
  <c r="M123" i="3" s="1"/>
  <c r="K75" i="3"/>
  <c r="H163" i="3" s="1"/>
  <c r="M163" i="3" s="1"/>
  <c r="K79" i="3"/>
  <c r="H167" i="3" s="1"/>
  <c r="M167" i="3" s="1"/>
  <c r="K43" i="3"/>
  <c r="K15" i="3"/>
  <c r="H100" i="3" s="1"/>
  <c r="K71" i="3"/>
  <c r="H159" i="3" s="1"/>
  <c r="M159" i="3" s="1"/>
  <c r="K3" i="3"/>
  <c r="H85" i="3" s="1"/>
  <c r="K63" i="3"/>
  <c r="K47" i="3"/>
  <c r="K51" i="3"/>
  <c r="M31" i="3" l="1"/>
  <c r="P31" i="3" s="1"/>
  <c r="H119" i="3"/>
  <c r="M119" i="3" s="1"/>
  <c r="M23" i="3"/>
  <c r="P23" i="3" s="1"/>
  <c r="H110" i="3"/>
  <c r="M110" i="3" s="1"/>
  <c r="P110" i="3" s="1"/>
  <c r="M19" i="3"/>
  <c r="P19" i="3" s="1"/>
  <c r="M15" i="3"/>
  <c r="P15" i="3" s="1"/>
  <c r="M100" i="3"/>
  <c r="M79" i="3"/>
  <c r="H90" i="3"/>
  <c r="M90" i="3" s="1"/>
  <c r="M59" i="3"/>
  <c r="O59" i="3" s="1"/>
  <c r="H147" i="3"/>
  <c r="M51" i="3"/>
  <c r="O51" i="3" s="1"/>
  <c r="H139" i="3"/>
  <c r="M71" i="3"/>
  <c r="M43" i="3"/>
  <c r="P43" i="3" s="1"/>
  <c r="H131" i="3"/>
  <c r="M75" i="3"/>
  <c r="M35" i="3"/>
  <c r="M67" i="3"/>
  <c r="M55" i="3"/>
  <c r="P55" i="3" s="1"/>
  <c r="H143" i="3"/>
  <c r="M27" i="3"/>
  <c r="P27" i="3" s="1"/>
  <c r="M39" i="3"/>
  <c r="M47" i="3"/>
  <c r="P47" i="3" s="1"/>
  <c r="H135" i="3"/>
  <c r="M11" i="3"/>
  <c r="P11" i="3" s="1"/>
  <c r="M95" i="3"/>
  <c r="M63" i="3"/>
  <c r="P63" i="3" s="1"/>
  <c r="H151" i="3"/>
  <c r="M3" i="3"/>
  <c r="P3" i="3" s="1"/>
  <c r="M85" i="3"/>
  <c r="P85" i="3" s="1"/>
  <c r="P7" i="3"/>
  <c r="P51" i="3" l="1"/>
  <c r="P59" i="3"/>
  <c r="P79" i="3"/>
  <c r="O75" i="3"/>
  <c r="P75" i="3"/>
  <c r="P71" i="3"/>
  <c r="O67" i="3"/>
  <c r="P67" i="3"/>
  <c r="P39" i="3"/>
  <c r="O35" i="3"/>
  <c r="P35" i="3"/>
  <c r="O15" i="3"/>
  <c r="O63" i="3"/>
  <c r="O55" i="3"/>
  <c r="O79" i="3"/>
  <c r="O11" i="3"/>
  <c r="O3" i="3"/>
  <c r="P95" i="3"/>
  <c r="P135" i="3"/>
  <c r="P127" i="3"/>
  <c r="P139" i="3"/>
  <c r="P119" i="3"/>
  <c r="P147" i="3"/>
  <c r="P155" i="3"/>
  <c r="P123" i="3"/>
  <c r="O39" i="3"/>
  <c r="P100" i="3"/>
  <c r="P131" i="3"/>
  <c r="P159" i="3"/>
  <c r="O71" i="3"/>
  <c r="P115" i="3"/>
  <c r="P143" i="3"/>
  <c r="P90" i="3"/>
  <c r="P167" i="3"/>
  <c r="P151" i="3"/>
  <c r="P163" i="3"/>
  <c r="O47" i="3"/>
  <c r="O43" i="3"/>
  <c r="O23" i="3" l="1"/>
  <c r="O19" i="3" l="1"/>
  <c r="O27" i="3"/>
  <c r="O31" i="3" l="1"/>
</calcChain>
</file>

<file path=xl/comments1.xml><?xml version="1.0" encoding="utf-8"?>
<comments xmlns="http://schemas.openxmlformats.org/spreadsheetml/2006/main">
  <authors>
    <author>Автор</author>
  </authors>
  <commentList>
    <comment ref="A3" authorId="0" shapeId="0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Мини-автомобили</t>
        </r>
      </text>
    </comment>
    <comment ref="AD5" authorId="0" shapeId="0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Арки</t>
        </r>
      </text>
    </comment>
    <comment ref="AD9" authorId="0" shapeId="0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Аркм</t>
        </r>
      </text>
    </comment>
    <comment ref="A11" authorId="0" shapeId="0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Маленькие автомобили</t>
        </r>
      </text>
    </comment>
    <comment ref="AD13" authorId="0" shapeId="0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Арки</t>
        </r>
      </text>
    </comment>
    <comment ref="AD17" authorId="0" shapeId="0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Аркм</t>
        </r>
      </text>
    </comment>
    <comment ref="A19" authorId="0" shapeId="0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Среднеразмерные автомобили</t>
        </r>
      </text>
    </comment>
    <comment ref="AD20" authorId="0" shapeId="0">
      <text>
        <r>
          <rPr>
            <b/>
            <sz val="8"/>
            <color indexed="81"/>
            <rFont val="Tahoma"/>
            <charset val="1"/>
          </rPr>
          <t>Автор:</t>
        </r>
        <r>
          <rPr>
            <sz val="8"/>
            <color indexed="81"/>
            <rFont val="Tahoma"/>
            <charset val="1"/>
          </rPr>
          <t xml:space="preserve">
арки</t>
        </r>
      </text>
    </comment>
    <comment ref="AD21" authorId="0" shapeId="0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Арки</t>
        </r>
      </text>
    </comment>
    <comment ref="AD24" authorId="0" shapeId="0">
      <text>
        <r>
          <rPr>
            <b/>
            <sz val="8"/>
            <color indexed="81"/>
            <rFont val="Tahoma"/>
            <charset val="1"/>
          </rPr>
          <t>Автор:</t>
        </r>
        <r>
          <rPr>
            <sz val="8"/>
            <color indexed="81"/>
            <rFont val="Tahoma"/>
            <charset val="1"/>
          </rPr>
          <t xml:space="preserve">
арки</t>
        </r>
      </text>
    </comment>
    <comment ref="AD25" authorId="0" shapeId="0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Аркм</t>
        </r>
      </text>
    </comment>
    <comment ref="A27" authorId="0" shapeId="0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Полноразмерные автомобили</t>
        </r>
      </text>
    </comment>
    <comment ref="AD28" authorId="0" shapeId="0">
      <text>
        <r>
          <rPr>
            <b/>
            <sz val="8"/>
            <color indexed="81"/>
            <rFont val="Tahoma"/>
            <charset val="1"/>
          </rPr>
          <t>Автор:</t>
        </r>
        <r>
          <rPr>
            <sz val="8"/>
            <color indexed="81"/>
            <rFont val="Tahoma"/>
            <charset val="1"/>
          </rPr>
          <t xml:space="preserve">
арки</t>
        </r>
      </text>
    </comment>
    <comment ref="AD29" authorId="0" shapeId="0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Арки</t>
        </r>
      </text>
    </comment>
    <comment ref="AD32" authorId="0" shapeId="0">
      <text>
        <r>
          <rPr>
            <b/>
            <sz val="8"/>
            <color indexed="81"/>
            <rFont val="Tahoma"/>
            <charset val="1"/>
          </rPr>
          <t>Автор:</t>
        </r>
        <r>
          <rPr>
            <sz val="8"/>
            <color indexed="81"/>
            <rFont val="Tahoma"/>
            <charset val="1"/>
          </rPr>
          <t xml:space="preserve">
арки</t>
        </r>
      </text>
    </comment>
    <comment ref="AD33" authorId="0" shapeId="0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Аркм</t>
        </r>
      </text>
    </comment>
    <comment ref="A35" authorId="0" shapeId="0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Автомобили бизнес-класса</t>
        </r>
      </text>
    </comment>
    <comment ref="AD36" authorId="0" shapeId="0">
      <text>
        <r>
          <rPr>
            <b/>
            <sz val="8"/>
            <color indexed="81"/>
            <rFont val="Tahoma"/>
            <charset val="1"/>
          </rPr>
          <t>Автор:</t>
        </r>
        <r>
          <rPr>
            <sz val="8"/>
            <color indexed="81"/>
            <rFont val="Tahoma"/>
            <charset val="1"/>
          </rPr>
          <t xml:space="preserve">
арки</t>
        </r>
      </text>
    </comment>
    <comment ref="AD37" authorId="0" shapeId="0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Арки</t>
        </r>
      </text>
    </comment>
    <comment ref="AD40" authorId="0" shapeId="0">
      <text>
        <r>
          <rPr>
            <b/>
            <sz val="8"/>
            <color indexed="81"/>
            <rFont val="Tahoma"/>
            <charset val="1"/>
          </rPr>
          <t>Автор:</t>
        </r>
        <r>
          <rPr>
            <sz val="8"/>
            <color indexed="81"/>
            <rFont val="Tahoma"/>
            <charset val="1"/>
          </rPr>
          <t xml:space="preserve">
арки</t>
        </r>
      </text>
    </comment>
    <comment ref="AD41" authorId="0" shapeId="0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Аркм</t>
        </r>
      </text>
    </comment>
    <comment ref="A43" authorId="0" shapeId="0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Представительские атомобили</t>
        </r>
      </text>
    </comment>
    <comment ref="AD45" authorId="0" shapeId="0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Арки</t>
        </r>
      </text>
    </comment>
    <comment ref="AD49" authorId="0" shapeId="0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Аркм</t>
        </r>
      </text>
    </comment>
    <comment ref="A51" authorId="0" shapeId="0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Спортивне купе
</t>
        </r>
      </text>
    </comment>
    <comment ref="AD53" authorId="0" shapeId="0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Арки</t>
        </r>
      </text>
    </comment>
    <comment ref="AD57" authorId="0" shapeId="0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Аркм</t>
        </r>
      </text>
    </comment>
    <comment ref="A59" authorId="0" shapeId="0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Минивэны и коммерческие автомобили</t>
        </r>
      </text>
    </comment>
    <comment ref="AD61" authorId="0" shapeId="0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Арки</t>
        </r>
      </text>
    </comment>
    <comment ref="AD65" authorId="0" shapeId="0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Аркм</t>
        </r>
      </text>
    </comment>
    <comment ref="A67" authorId="0" shapeId="0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Кроссоверы и внедорожники</t>
        </r>
      </text>
    </comment>
    <comment ref="AD68" authorId="0" shapeId="0">
      <text>
        <r>
          <rPr>
            <b/>
            <sz val="8"/>
            <color indexed="81"/>
            <rFont val="Tahoma"/>
            <charset val="1"/>
          </rPr>
          <t>Автор:</t>
        </r>
        <r>
          <rPr>
            <sz val="8"/>
            <color indexed="81"/>
            <rFont val="Tahoma"/>
            <charset val="1"/>
          </rPr>
          <t xml:space="preserve">
арки</t>
        </r>
      </text>
    </comment>
    <comment ref="AD69" authorId="0" shapeId="0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Арки</t>
        </r>
      </text>
    </comment>
    <comment ref="AD72" authorId="0" shapeId="0">
      <text>
        <r>
          <rPr>
            <b/>
            <sz val="8"/>
            <color indexed="81"/>
            <rFont val="Tahoma"/>
            <charset val="1"/>
          </rPr>
          <t>Автор:</t>
        </r>
        <r>
          <rPr>
            <sz val="8"/>
            <color indexed="81"/>
            <rFont val="Tahoma"/>
            <charset val="1"/>
          </rPr>
          <t xml:space="preserve">
арки</t>
        </r>
      </text>
    </comment>
    <comment ref="AD73" authorId="0" shapeId="0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Аркм</t>
        </r>
      </text>
    </comment>
    <comment ref="A75" authorId="0" shapeId="0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Внедорожники</t>
        </r>
      </text>
    </comment>
    <comment ref="AD76" authorId="0" shapeId="0">
      <text>
        <r>
          <rPr>
            <b/>
            <sz val="8"/>
            <color indexed="81"/>
            <rFont val="Tahoma"/>
            <charset val="1"/>
          </rPr>
          <t>Автор:</t>
        </r>
        <r>
          <rPr>
            <sz val="8"/>
            <color indexed="81"/>
            <rFont val="Tahoma"/>
            <charset val="1"/>
          </rPr>
          <t xml:space="preserve">
арки</t>
        </r>
      </text>
    </comment>
    <comment ref="AD77" authorId="0" shapeId="0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Арки</t>
        </r>
      </text>
    </comment>
    <comment ref="AD80" authorId="0" shapeId="0">
      <text>
        <r>
          <rPr>
            <b/>
            <sz val="8"/>
            <color indexed="81"/>
            <rFont val="Tahoma"/>
            <charset val="1"/>
          </rPr>
          <t>Автор:</t>
        </r>
        <r>
          <rPr>
            <sz val="8"/>
            <color indexed="81"/>
            <rFont val="Tahoma"/>
            <charset val="1"/>
          </rPr>
          <t xml:space="preserve">
арки</t>
        </r>
      </text>
    </comment>
    <comment ref="AD81" authorId="0" shapeId="0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Аркм</t>
        </r>
      </text>
    </comment>
    <comment ref="A85" authorId="0" shapeId="0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Мини-автомобили</t>
        </r>
      </text>
    </comment>
    <comment ref="A95" authorId="0" shapeId="0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Маленькие автомобили</t>
        </r>
      </text>
    </comment>
    <comment ref="A105" authorId="0" shapeId="0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Среднеразмерные автомобили</t>
        </r>
      </text>
    </comment>
    <comment ref="A115" authorId="0" shapeId="0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Полноразмерные автомобили</t>
        </r>
      </text>
    </comment>
    <comment ref="A123" authorId="0" shapeId="0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Автомобили бизнес-класса</t>
        </r>
      </text>
    </comment>
    <comment ref="A131" authorId="0" shapeId="0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Представительские атомобили</t>
        </r>
      </text>
    </comment>
    <comment ref="A139" authorId="0" shapeId="0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Спортивне купе
</t>
        </r>
      </text>
    </comment>
    <comment ref="A147" authorId="0" shapeId="0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Минивэны и коммерческие автомобили</t>
        </r>
      </text>
    </comment>
    <comment ref="A155" authorId="0" shapeId="0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Кроссоверы и внедорожники</t>
        </r>
      </text>
    </comment>
    <comment ref="A163" authorId="0" shapeId="0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Внедорожники</t>
        </r>
      </text>
    </comment>
  </commentList>
</comments>
</file>

<file path=xl/comments2.xml><?xml version="1.0" encoding="utf-8"?>
<comments xmlns="http://schemas.openxmlformats.org/spreadsheetml/2006/main">
  <authors>
    <author>Автор</author>
  </authors>
  <commentList>
    <comment ref="C20" authorId="0" shapeId="0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Арки</t>
        </r>
      </text>
    </comment>
    <comment ref="C24" authorId="0" shapeId="0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Аркм</t>
        </r>
      </text>
    </comment>
  </commentList>
</comments>
</file>

<file path=xl/sharedStrings.xml><?xml version="1.0" encoding="utf-8"?>
<sst xmlns="http://schemas.openxmlformats.org/spreadsheetml/2006/main" count="807" uniqueCount="200">
  <si>
    <t>SGM Roof (0.75x1.0)</t>
  </si>
  <si>
    <t>Антискрип -1 КС (0,75х1,0)</t>
  </si>
  <si>
    <t>Антискрип -1 КС (1,0*0.025) лента</t>
  </si>
  <si>
    <t>Антискрип -10 КС  (ППУ) (0.75x1.0)</t>
  </si>
  <si>
    <t>Антискрип -5 КС  (ППУ) (0.75x1.0)</t>
  </si>
  <si>
    <t>Виолон  ПТ-540 ( Автовойлок)КС (0,75х1,0) (10мм)</t>
  </si>
  <si>
    <t>Виолон Black-Vell волна 15 КС (0,75х1,0)</t>
  </si>
  <si>
    <t>Виолон Бета 10 КС (0,75х1,0) (10мм)</t>
  </si>
  <si>
    <t>Виолон Бета 5 КС (0,75х1,0) (5мм)</t>
  </si>
  <si>
    <t>Виолон Вэл 10 КС (0,75х1,0) (10мм)</t>
  </si>
  <si>
    <t>Виолон Вэл 5 КС (0,75х1,0) (5мм)</t>
  </si>
  <si>
    <t>Виолон Вэл волна 15 КС (0,75х1,0)</t>
  </si>
  <si>
    <t>Виолон Вэл-волна 25 КС (0,75х1,0)</t>
  </si>
  <si>
    <t>R-TON 6KC (0.75x1.0)</t>
  </si>
  <si>
    <t>БиБи-Тон 4 КС (0,75х1.0)</t>
  </si>
  <si>
    <t>БиБи-Тон 8 КС (0,75х1.0)</t>
  </si>
  <si>
    <t>Изолонтейп (1,0х1,5м) (4004 ВБФ, Серый)</t>
  </si>
  <si>
    <t>Изолонтейп (1,0х1,5м) (4004 ВП, Серый)</t>
  </si>
  <si>
    <t>Изолонтейп (1,0х1,5м) (4008 ВБФ, Серый)</t>
  </si>
  <si>
    <t>Изолонтейп (1,0х1,5м) (4008 ВП, Серый)</t>
  </si>
  <si>
    <t>Шумо-виброизоляционные материалы SGM AIR 2 (М2Ф) (0,5х0,8)</t>
  </si>
  <si>
    <t>Шумо-виброизоляционные материалы SGM AIR 3 (М3Ф) (0,5х0,8)</t>
  </si>
  <si>
    <t>Шумо-виброизоляционные материалы SGM AIR 4 (М3Ф) (0,5х0,8)</t>
  </si>
  <si>
    <t>Шумо-виброизоляционные материалы SGM Barrier 3 (0,5х0,8)</t>
  </si>
  <si>
    <t>SGM Barrier Lite  (0,5х0,8)</t>
  </si>
  <si>
    <t>Шумо-виброизоляционные материалы SGM Barrier Mix  (0,5х0,8)</t>
  </si>
  <si>
    <t>Шумо-виброизоляционные материалы SGM Barrier Mix Profi (0,5х0,8)</t>
  </si>
  <si>
    <t>Шумо-виброизоляционные материалы SGM Barrier Ultra  (0,5х0,8)</t>
  </si>
  <si>
    <t>SGM Dual 4 (0,5х0,8)</t>
  </si>
  <si>
    <t>SGM Onux 2  (0,5х0,8)</t>
  </si>
  <si>
    <t>SGM Onux 3  (0,5х0,8)</t>
  </si>
  <si>
    <t>SGM Onux 4  (0,5х0,8)</t>
  </si>
  <si>
    <t>SGM Silshot (0.5x0.8)</t>
  </si>
  <si>
    <t>SGM Stripe Lite</t>
  </si>
  <si>
    <t>SGM Stripe Mix</t>
  </si>
  <si>
    <t>SGM Stripe Силтон</t>
  </si>
  <si>
    <t>SGM Силтон (0,5х0,8)</t>
  </si>
  <si>
    <t>Алюмаст Base 1 (М1Ф1) (0,5х0,7)</t>
  </si>
  <si>
    <t>Алюмаст Base 2 (М2Ф1) (0,5х0,7)</t>
  </si>
  <si>
    <t>Алюмаст Base 3 (М3Ф1) (0,5х0,7)</t>
  </si>
  <si>
    <t>Алюмаст Base 4 (М4Ф1) (0,5х0,7)</t>
  </si>
  <si>
    <t>Алюмаст Альфа1  (М1Ф) (0,5х0,8) (1,7 мм)</t>
  </si>
  <si>
    <t>Алюмаст Альфа2  (М2Ф) (0,5х0,8) (2мм)</t>
  </si>
  <si>
    <t>Алюмаст Альфа3  (М3Ф) (0,5х0,8) (3мм)</t>
  </si>
  <si>
    <t>Алюмаст Альфа4  (М4Ф) (0,5х0,8) (4мм)</t>
  </si>
  <si>
    <t>Алюмаст Бета1 (М1Ф1) (0,5х0,8) (1,7мм)</t>
  </si>
  <si>
    <t>Алюмаст Бета2 (М2Ф1) (0,5х0,8) (2мм)</t>
  </si>
  <si>
    <t>Алюмаст Бета3 (М3Ф1) (0,5х0,8) (3мм)</t>
  </si>
  <si>
    <t>Алюмаст Бета4 (М4Ф1) (0,5х0,8) (4мм)</t>
  </si>
  <si>
    <t>Алюмаст БРОНЯ М4 (0,4х0,25)</t>
  </si>
  <si>
    <t>Алюмаст БРОНЯ М8 (0,4х0,23)</t>
  </si>
  <si>
    <t>SGM</t>
  </si>
  <si>
    <t>Turbo M1</t>
  </si>
  <si>
    <t>Turbo M2</t>
  </si>
  <si>
    <t>Turbo M3</t>
  </si>
  <si>
    <t>Turbo M4</t>
  </si>
  <si>
    <t>Bronze 1</t>
  </si>
  <si>
    <t>Bronze 2</t>
  </si>
  <si>
    <t>Bronze 3</t>
  </si>
  <si>
    <t>Bronze 4</t>
  </si>
  <si>
    <t>S2</t>
  </si>
  <si>
    <t>S3</t>
  </si>
  <si>
    <t>G2</t>
  </si>
  <si>
    <t>G3</t>
  </si>
  <si>
    <t>G4</t>
  </si>
  <si>
    <t>D2</t>
  </si>
  <si>
    <t>D3</t>
  </si>
  <si>
    <t>Cobra</t>
  </si>
  <si>
    <t>Pro Max</t>
  </si>
  <si>
    <t>Viper</t>
  </si>
  <si>
    <t>Atom</t>
  </si>
  <si>
    <t>Extreme</t>
  </si>
  <si>
    <t>Extreme Pro</t>
  </si>
  <si>
    <t>Turbo i8</t>
  </si>
  <si>
    <t>Turbo i4</t>
  </si>
  <si>
    <t>Turbo Fi8</t>
  </si>
  <si>
    <t>Turbo Fi4</t>
  </si>
  <si>
    <t>SkyLine</t>
  </si>
  <si>
    <t>V-ton 4</t>
  </si>
  <si>
    <t>Bitoflex 5</t>
  </si>
  <si>
    <t>Defender</t>
  </si>
  <si>
    <t>Bitosoft</t>
  </si>
  <si>
    <t>Автовойлок</t>
  </si>
  <si>
    <t>Tsunami</t>
  </si>
  <si>
    <t>V-ton 8</t>
  </si>
  <si>
    <t>Ultra Soft 5</t>
  </si>
  <si>
    <t>Volna</t>
  </si>
  <si>
    <t>Integra</t>
  </si>
  <si>
    <t>Blockshot</t>
  </si>
  <si>
    <t>Raptor</t>
  </si>
  <si>
    <t>V6</t>
  </si>
  <si>
    <t>Fusion</t>
  </si>
  <si>
    <t>Bitosoft 10</t>
  </si>
  <si>
    <t>Ultra Soft 10</t>
  </si>
  <si>
    <t>V10</t>
  </si>
  <si>
    <t>Titan</t>
  </si>
  <si>
    <t>Felton</t>
  </si>
  <si>
    <t>Vision</t>
  </si>
  <si>
    <t>Blockator</t>
  </si>
  <si>
    <t>Изолонтейп 8</t>
  </si>
  <si>
    <t>Вес</t>
  </si>
  <si>
    <t>Толщина</t>
  </si>
  <si>
    <t>Цена</t>
  </si>
  <si>
    <t>Наименование</t>
  </si>
  <si>
    <t>Скидка</t>
  </si>
  <si>
    <t>Наша цена</t>
  </si>
  <si>
    <t>A</t>
  </si>
  <si>
    <t>Класс авто</t>
  </si>
  <si>
    <t>B</t>
  </si>
  <si>
    <t>F</t>
  </si>
  <si>
    <t>S</t>
  </si>
  <si>
    <t>M</t>
  </si>
  <si>
    <t>Comfort</t>
  </si>
  <si>
    <t>Норма</t>
  </si>
  <si>
    <t>Материал</t>
  </si>
  <si>
    <t>Кол-во</t>
  </si>
  <si>
    <t>Цена материала</t>
  </si>
  <si>
    <t>Норм.ч.</t>
  </si>
  <si>
    <t>Тариф</t>
  </si>
  <si>
    <t>Линейка</t>
  </si>
  <si>
    <t>Премиум</t>
  </si>
  <si>
    <t>Антискрип</t>
  </si>
  <si>
    <t>Skyline</t>
  </si>
  <si>
    <t>SoftWave 15</t>
  </si>
  <si>
    <t>ComfortMat</t>
  </si>
  <si>
    <t>SoftWave Expert</t>
  </si>
  <si>
    <t>Суммарный вес, кг</t>
  </si>
  <si>
    <t>Стоимость материала</t>
  </si>
  <si>
    <t>Себестоимость</t>
  </si>
  <si>
    <t>Работа сотр.</t>
  </si>
  <si>
    <t>ЦЕНА</t>
  </si>
  <si>
    <t>Прибыль</t>
  </si>
  <si>
    <t>Rпр, %</t>
  </si>
  <si>
    <t>Полы (до багажника)</t>
  </si>
  <si>
    <t>Потолок</t>
  </si>
  <si>
    <t>Капот</t>
  </si>
  <si>
    <t>Крышка багажника</t>
  </si>
  <si>
    <t>Багажник (без крышки)</t>
  </si>
  <si>
    <t>Комплекс</t>
  </si>
  <si>
    <t>g2</t>
  </si>
  <si>
    <t>vision</t>
  </si>
  <si>
    <t>cobra</t>
  </si>
  <si>
    <t>g3</t>
  </si>
  <si>
    <t>atom</t>
  </si>
  <si>
    <t>fusion</t>
  </si>
  <si>
    <t>integra</t>
  </si>
  <si>
    <t>viper</t>
  </si>
  <si>
    <t>titan</t>
  </si>
  <si>
    <t>raptor</t>
  </si>
  <si>
    <t>Двери (4 шт.)</t>
  </si>
  <si>
    <t>Арки (4 шт.)</t>
  </si>
  <si>
    <t>Вес, кг</t>
  </si>
  <si>
    <t>ДВЕРИ</t>
  </si>
  <si>
    <t>АРКИ</t>
  </si>
  <si>
    <t>ПОЛЫ</t>
  </si>
  <si>
    <t>БАГАЖНИК</t>
  </si>
  <si>
    <t>ПОТОЛОК</t>
  </si>
  <si>
    <t>КАПОТ</t>
  </si>
  <si>
    <t>КРЫШКА БАГАЖНИКА</t>
  </si>
  <si>
    <t>intrigo</t>
  </si>
  <si>
    <t>Bitoplast red</t>
  </si>
  <si>
    <t>Genio</t>
  </si>
  <si>
    <t>Bromto</t>
  </si>
  <si>
    <t>Qattara</t>
  </si>
  <si>
    <t>Sonara</t>
  </si>
  <si>
    <t>spider</t>
  </si>
  <si>
    <t>vespa</t>
  </si>
  <si>
    <t>Голд</t>
  </si>
  <si>
    <t>Эксперт</t>
  </si>
  <si>
    <t>хетчбек</t>
  </si>
  <si>
    <t>седан</t>
  </si>
  <si>
    <t>бизнес седан</t>
  </si>
  <si>
    <t>кроссовер</t>
  </si>
  <si>
    <t>внедорожник</t>
  </si>
  <si>
    <t>внедорожники</t>
  </si>
  <si>
    <t>кроссоверы</t>
  </si>
  <si>
    <t>f</t>
  </si>
  <si>
    <t>стоимость материала</t>
  </si>
  <si>
    <t>Soundtrap</t>
  </si>
  <si>
    <t>Band лента</t>
  </si>
  <si>
    <t>1 класс - малоразмерные седаны, хетчбеки иностранного и российского  производства</t>
  </si>
  <si>
    <t>2 класс - среднеразмерные седаны, малые кроссоверы</t>
  </si>
  <si>
    <t>3 класс - седаны класса люкс, среднеразмерные кроссоверы</t>
  </si>
  <si>
    <t>4 класс - крупные кроссоверы, рамные внедорожники</t>
  </si>
  <si>
    <t>4+ класс - микроавтобусы, внедорожники с увеличенной базой, спорткары</t>
  </si>
  <si>
    <t>ШУМО-, ВИБОИЗОЛЯЦИЯ ТС</t>
  </si>
  <si>
    <t>Двери</t>
  </si>
  <si>
    <t>Полы</t>
  </si>
  <si>
    <t xml:space="preserve">Багажник </t>
  </si>
  <si>
    <t>Арки</t>
  </si>
  <si>
    <t>Хетчбек</t>
  </si>
  <si>
    <t>Седан</t>
  </si>
  <si>
    <t>Бизнес седан</t>
  </si>
  <si>
    <t>Кроссовер</t>
  </si>
  <si>
    <t>Внедорожник</t>
  </si>
  <si>
    <t>розница</t>
  </si>
  <si>
    <t>цена с крышкой</t>
  </si>
  <si>
    <t>stp</t>
  </si>
  <si>
    <t>Комплекс (без арок)</t>
  </si>
  <si>
    <t>STP Aerocel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</si>
</sst>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\ &quot;₽&quot;"/>
    <numFmt numFmtId="165" formatCode="#,##0.00\ &quot;₽&quot;"/>
    <numFmt numFmtId="166" formatCode="0.0"/>
    <numFmt numFmtId="167" formatCode="#,##0\ _₽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8"/>
      <color indexed="81"/>
      <name val="Tahoma"/>
      <family val="2"/>
      <charset val="204"/>
    </font>
    <font>
      <b/>
      <sz val="8"/>
      <color indexed="81"/>
      <name val="Tahoma"/>
      <family val="2"/>
      <charset val="204"/>
    </font>
    <font>
      <sz val="11"/>
      <color theme="0"/>
      <name val="Calibri"/>
      <family val="2"/>
      <charset val="204"/>
      <scheme val="minor"/>
    </font>
    <font>
      <sz val="12"/>
      <color theme="0"/>
      <name val="Calibri"/>
      <family val="2"/>
      <charset val="204"/>
      <scheme val="minor"/>
    </font>
    <font>
      <sz val="8"/>
      <color indexed="81"/>
      <name val="Tahoma"/>
      <charset val="1"/>
    </font>
    <font>
      <b/>
      <sz val="8"/>
      <color indexed="81"/>
      <name val="Tahoma"/>
      <charset val="1"/>
    </font>
    <font>
      <sz val="12"/>
      <name val="Calibri"/>
      <family val="2"/>
      <charset val="204"/>
      <scheme val="minor"/>
    </font>
    <font>
      <b/>
      <sz val="14"/>
      <color theme="0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charset val="204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88">
    <xf numFmtId="0" fontId="0" fillId="0" borderId="0" xfId="0"/>
    <xf numFmtId="0" fontId="0" fillId="0" borderId="2" xfId="0" applyBorder="1" applyAlignment="1">
      <alignment horizontal="left" vertical="center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2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right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11" fillId="0" borderId="0" xfId="0" applyFont="1" applyAlignment="1">
      <alignment horizontal="center" vertical="center"/>
    </xf>
    <xf numFmtId="165" fontId="0" fillId="0" borderId="2" xfId="0" applyNumberFormat="1" applyFont="1" applyBorder="1" applyAlignment="1">
      <alignment horizontal="right" vertical="center"/>
    </xf>
    <xf numFmtId="165" fontId="0" fillId="0" borderId="3" xfId="0" applyNumberFormat="1" applyFont="1" applyBorder="1" applyAlignment="1">
      <alignment horizontal="right" vertical="center"/>
    </xf>
    <xf numFmtId="1" fontId="0" fillId="0" borderId="2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right" vertical="center"/>
    </xf>
    <xf numFmtId="0" fontId="13" fillId="0" borderId="2" xfId="0" applyFont="1" applyFill="1" applyBorder="1" applyAlignment="1">
      <alignment horizontal="left" vertical="center"/>
    </xf>
    <xf numFmtId="164" fontId="13" fillId="0" borderId="2" xfId="0" applyNumberFormat="1" applyFont="1" applyFill="1" applyBorder="1" applyAlignment="1">
      <alignment horizontal="right" vertical="center"/>
    </xf>
    <xf numFmtId="0" fontId="13" fillId="0" borderId="2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164" fontId="0" fillId="0" borderId="2" xfId="0" applyNumberForma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2" fontId="11" fillId="0" borderId="2" xfId="0" applyNumberFormat="1" applyFont="1" applyBorder="1" applyAlignment="1">
      <alignment vertical="center"/>
    </xf>
    <xf numFmtId="165" fontId="11" fillId="0" borderId="2" xfId="0" applyNumberFormat="1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0" fontId="11" fillId="2" borderId="2" xfId="0" applyFont="1" applyFill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2" fontId="11" fillId="2" borderId="2" xfId="0" applyNumberFormat="1" applyFont="1" applyFill="1" applyBorder="1" applyAlignment="1">
      <alignment vertical="center"/>
    </xf>
    <xf numFmtId="165" fontId="11" fillId="2" borderId="2" xfId="0" applyNumberFormat="1" applyFont="1" applyFill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2" fontId="11" fillId="3" borderId="2" xfId="0" applyNumberFormat="1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11" fillId="3" borderId="0" xfId="0" applyFont="1" applyFill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vertical="center"/>
    </xf>
    <xf numFmtId="0" fontId="11" fillId="5" borderId="2" xfId="0" applyFont="1" applyFill="1" applyBorder="1" applyAlignment="1">
      <alignment horizontal="center" vertical="center"/>
    </xf>
    <xf numFmtId="2" fontId="11" fillId="5" borderId="2" xfId="0" applyNumberFormat="1" applyFont="1" applyFill="1" applyBorder="1" applyAlignment="1">
      <alignment vertical="center"/>
    </xf>
    <xf numFmtId="165" fontId="11" fillId="5" borderId="2" xfId="0" applyNumberFormat="1" applyFont="1" applyFill="1" applyBorder="1" applyAlignment="1">
      <alignment vertical="center"/>
    </xf>
    <xf numFmtId="0" fontId="0" fillId="5" borderId="2" xfId="0" applyFill="1" applyBorder="1" applyAlignment="1">
      <alignment horizontal="left" vertical="center"/>
    </xf>
    <xf numFmtId="0" fontId="15" fillId="6" borderId="2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 textRotation="90"/>
    </xf>
    <xf numFmtId="0" fontId="9" fillId="6" borderId="2" xfId="0" applyFont="1" applyFill="1" applyBorder="1" applyAlignment="1">
      <alignment horizontal="center" vertical="center" wrapText="1"/>
    </xf>
    <xf numFmtId="165" fontId="15" fillId="6" borderId="2" xfId="0" applyNumberFormat="1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16" fillId="6" borderId="2" xfId="0" applyFont="1" applyFill="1" applyBorder="1" applyAlignment="1">
      <alignment horizontal="center" vertical="center" wrapText="1"/>
    </xf>
    <xf numFmtId="0" fontId="15" fillId="7" borderId="2" xfId="0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 textRotation="90"/>
    </xf>
    <xf numFmtId="0" fontId="9" fillId="7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0" fontId="15" fillId="8" borderId="2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 textRotation="90"/>
    </xf>
    <xf numFmtId="0" fontId="9" fillId="8" borderId="2" xfId="0" applyFont="1" applyFill="1" applyBorder="1" applyAlignment="1">
      <alignment horizontal="center" vertical="center" wrapText="1"/>
    </xf>
    <xf numFmtId="165" fontId="15" fillId="8" borderId="2" xfId="0" applyNumberFormat="1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16" fillId="8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vertical="center"/>
    </xf>
    <xf numFmtId="0" fontId="11" fillId="9" borderId="2" xfId="0" applyFont="1" applyFill="1" applyBorder="1" applyAlignment="1">
      <alignment horizontal="center" vertical="center"/>
    </xf>
    <xf numFmtId="2" fontId="11" fillId="9" borderId="2" xfId="0" applyNumberFormat="1" applyFont="1" applyFill="1" applyBorder="1" applyAlignment="1">
      <alignment vertical="center"/>
    </xf>
    <xf numFmtId="165" fontId="11" fillId="9" borderId="2" xfId="0" applyNumberFormat="1" applyFont="1" applyFill="1" applyBorder="1" applyAlignment="1">
      <alignment vertical="center"/>
    </xf>
    <xf numFmtId="0" fontId="0" fillId="9" borderId="2" xfId="0" applyFill="1" applyBorder="1" applyAlignment="1">
      <alignment horizontal="left" vertical="center"/>
    </xf>
    <xf numFmtId="0" fontId="11" fillId="2" borderId="2" xfId="0" applyFont="1" applyFill="1" applyBorder="1" applyAlignment="1">
      <alignment horizontal="center" vertical="center"/>
    </xf>
    <xf numFmtId="0" fontId="15" fillId="11" borderId="2" xfId="0" applyFont="1" applyFill="1" applyBorder="1" applyAlignment="1">
      <alignment horizontal="center" vertical="center"/>
    </xf>
    <xf numFmtId="0" fontId="15" fillId="11" borderId="2" xfId="0" applyFont="1" applyFill="1" applyBorder="1" applyAlignment="1">
      <alignment horizontal="center" vertical="center" textRotation="90"/>
    </xf>
    <xf numFmtId="0" fontId="9" fillId="11" borderId="2" xfId="0" applyFont="1" applyFill="1" applyBorder="1" applyAlignment="1">
      <alignment horizontal="center" vertical="center" wrapText="1"/>
    </xf>
    <xf numFmtId="165" fontId="15" fillId="11" borderId="2" xfId="0" applyNumberFormat="1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center" vertical="center" wrapText="1"/>
    </xf>
    <xf numFmtId="0" fontId="16" fillId="11" borderId="2" xfId="0" applyFont="1" applyFill="1" applyBorder="1" applyAlignment="1">
      <alignment horizontal="center" vertical="center" wrapText="1"/>
    </xf>
    <xf numFmtId="0" fontId="8" fillId="12" borderId="2" xfId="0" applyFont="1" applyFill="1" applyBorder="1" applyAlignment="1">
      <alignment vertical="center"/>
    </xf>
    <xf numFmtId="0" fontId="11" fillId="12" borderId="2" xfId="0" applyFont="1" applyFill="1" applyBorder="1" applyAlignment="1">
      <alignment horizontal="center" vertical="center"/>
    </xf>
    <xf numFmtId="2" fontId="11" fillId="12" borderId="2" xfId="0" applyNumberFormat="1" applyFont="1" applyFill="1" applyBorder="1" applyAlignment="1">
      <alignment vertical="center"/>
    </xf>
    <xf numFmtId="165" fontId="11" fillId="12" borderId="2" xfId="0" applyNumberFormat="1" applyFont="1" applyFill="1" applyBorder="1" applyAlignment="1">
      <alignment vertical="center"/>
    </xf>
    <xf numFmtId="0" fontId="0" fillId="12" borderId="2" xfId="0" applyFill="1" applyBorder="1" applyAlignment="1">
      <alignment horizontal="left" vertical="center"/>
    </xf>
    <xf numFmtId="0" fontId="15" fillId="13" borderId="2" xfId="0" applyFont="1" applyFill="1" applyBorder="1" applyAlignment="1">
      <alignment horizontal="center" vertical="center"/>
    </xf>
    <xf numFmtId="0" fontId="15" fillId="13" borderId="2" xfId="0" applyFont="1" applyFill="1" applyBorder="1" applyAlignment="1">
      <alignment horizontal="center" vertical="center" textRotation="90"/>
    </xf>
    <xf numFmtId="0" fontId="9" fillId="13" borderId="2" xfId="0" applyFont="1" applyFill="1" applyBorder="1" applyAlignment="1">
      <alignment horizontal="center" vertical="center" wrapText="1"/>
    </xf>
    <xf numFmtId="165" fontId="15" fillId="13" borderId="2" xfId="0" applyNumberFormat="1" applyFont="1" applyFill="1" applyBorder="1" applyAlignment="1">
      <alignment horizontal="center" vertical="center" wrapText="1"/>
    </xf>
    <xf numFmtId="0" fontId="8" fillId="13" borderId="2" xfId="0" applyFont="1" applyFill="1" applyBorder="1" applyAlignment="1">
      <alignment horizontal="center" vertical="center" wrapText="1"/>
    </xf>
    <xf numFmtId="0" fontId="16" fillId="13" borderId="2" xfId="0" applyFont="1" applyFill="1" applyBorder="1" applyAlignment="1">
      <alignment horizontal="center" vertical="center" wrapText="1"/>
    </xf>
    <xf numFmtId="0" fontId="15" fillId="14" borderId="2" xfId="0" applyFont="1" applyFill="1" applyBorder="1" applyAlignment="1">
      <alignment horizontal="center" vertical="center"/>
    </xf>
    <xf numFmtId="0" fontId="15" fillId="14" borderId="2" xfId="0" applyFont="1" applyFill="1" applyBorder="1" applyAlignment="1">
      <alignment horizontal="center" vertical="center" textRotation="90"/>
    </xf>
    <xf numFmtId="0" fontId="9" fillId="14" borderId="2" xfId="0" applyFont="1" applyFill="1" applyBorder="1" applyAlignment="1">
      <alignment horizontal="center" vertical="center" wrapText="1"/>
    </xf>
    <xf numFmtId="165" fontId="15" fillId="14" borderId="2" xfId="0" applyNumberFormat="1" applyFont="1" applyFill="1" applyBorder="1" applyAlignment="1">
      <alignment horizontal="center" vertical="center" wrapText="1"/>
    </xf>
    <xf numFmtId="0" fontId="8" fillId="14" borderId="2" xfId="0" applyFont="1" applyFill="1" applyBorder="1" applyAlignment="1">
      <alignment horizontal="center" vertical="center" wrapText="1"/>
    </xf>
    <xf numFmtId="0" fontId="16" fillId="14" borderId="2" xfId="0" applyFont="1" applyFill="1" applyBorder="1" applyAlignment="1">
      <alignment horizontal="center" vertical="center" wrapText="1"/>
    </xf>
    <xf numFmtId="0" fontId="15" fillId="15" borderId="2" xfId="0" applyFont="1" applyFill="1" applyBorder="1" applyAlignment="1">
      <alignment horizontal="center" vertical="center"/>
    </xf>
    <xf numFmtId="0" fontId="15" fillId="15" borderId="2" xfId="0" applyFont="1" applyFill="1" applyBorder="1" applyAlignment="1">
      <alignment horizontal="center" vertical="center" textRotation="90"/>
    </xf>
    <xf numFmtId="0" fontId="9" fillId="15" borderId="2" xfId="0" applyFont="1" applyFill="1" applyBorder="1" applyAlignment="1">
      <alignment horizontal="center" vertical="center" wrapText="1"/>
    </xf>
    <xf numFmtId="165" fontId="15" fillId="15" borderId="2" xfId="0" applyNumberFormat="1" applyFont="1" applyFill="1" applyBorder="1" applyAlignment="1">
      <alignment horizontal="center" vertical="center" wrapText="1"/>
    </xf>
    <xf numFmtId="0" fontId="8" fillId="15" borderId="2" xfId="0" applyFont="1" applyFill="1" applyBorder="1" applyAlignment="1">
      <alignment horizontal="center" vertical="center" wrapText="1"/>
    </xf>
    <xf numFmtId="0" fontId="16" fillId="15" borderId="2" xfId="0" applyFont="1" applyFill="1" applyBorder="1" applyAlignment="1">
      <alignment horizontal="center" vertical="center" wrapText="1"/>
    </xf>
    <xf numFmtId="0" fontId="8" fillId="16" borderId="2" xfId="0" applyFont="1" applyFill="1" applyBorder="1" applyAlignment="1">
      <alignment vertical="center"/>
    </xf>
    <xf numFmtId="0" fontId="11" fillId="16" borderId="2" xfId="0" applyFont="1" applyFill="1" applyBorder="1" applyAlignment="1">
      <alignment horizontal="center" vertical="center"/>
    </xf>
    <xf numFmtId="2" fontId="11" fillId="16" borderId="2" xfId="0" applyNumberFormat="1" applyFont="1" applyFill="1" applyBorder="1" applyAlignment="1">
      <alignment vertical="center"/>
    </xf>
    <xf numFmtId="165" fontId="11" fillId="16" borderId="2" xfId="0" applyNumberFormat="1" applyFont="1" applyFill="1" applyBorder="1" applyAlignment="1">
      <alignment vertical="center"/>
    </xf>
    <xf numFmtId="0" fontId="0" fillId="16" borderId="2" xfId="0" applyFill="1" applyBorder="1" applyAlignment="1">
      <alignment horizontal="left" vertical="center"/>
    </xf>
    <xf numFmtId="0" fontId="11" fillId="16" borderId="2" xfId="0" applyFont="1" applyFill="1" applyBorder="1" applyAlignment="1">
      <alignment horizontal="center" vertical="center"/>
    </xf>
    <xf numFmtId="0" fontId="8" fillId="17" borderId="2" xfId="0" applyFont="1" applyFill="1" applyBorder="1" applyAlignment="1">
      <alignment vertical="center"/>
    </xf>
    <xf numFmtId="0" fontId="11" fillId="17" borderId="2" xfId="0" applyFont="1" applyFill="1" applyBorder="1" applyAlignment="1">
      <alignment horizontal="center" vertical="center"/>
    </xf>
    <xf numFmtId="2" fontId="11" fillId="17" borderId="2" xfId="0" applyNumberFormat="1" applyFont="1" applyFill="1" applyBorder="1" applyAlignment="1">
      <alignment vertical="center"/>
    </xf>
    <xf numFmtId="165" fontId="11" fillId="17" borderId="2" xfId="0" applyNumberFormat="1" applyFont="1" applyFill="1" applyBorder="1" applyAlignment="1">
      <alignment vertical="center"/>
    </xf>
    <xf numFmtId="0" fontId="0" fillId="17" borderId="2" xfId="0" applyFill="1" applyBorder="1" applyAlignment="1">
      <alignment horizontal="left" vertical="center"/>
    </xf>
    <xf numFmtId="0" fontId="11" fillId="18" borderId="2" xfId="0" applyFont="1" applyFill="1" applyBorder="1" applyAlignment="1">
      <alignment horizontal="center" vertical="center"/>
    </xf>
    <xf numFmtId="2" fontId="11" fillId="18" borderId="2" xfId="0" applyNumberFormat="1" applyFont="1" applyFill="1" applyBorder="1" applyAlignment="1">
      <alignment vertical="center"/>
    </xf>
    <xf numFmtId="165" fontId="11" fillId="18" borderId="2" xfId="0" applyNumberFormat="1" applyFont="1" applyFill="1" applyBorder="1" applyAlignment="1">
      <alignment vertical="center"/>
    </xf>
    <xf numFmtId="0" fontId="0" fillId="18" borderId="2" xfId="0" applyFill="1" applyBorder="1" applyAlignment="1">
      <alignment horizontal="left" vertical="center"/>
    </xf>
    <xf numFmtId="0" fontId="7" fillId="16" borderId="2" xfId="0" applyFont="1" applyFill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0" fontId="7" fillId="17" borderId="2" xfId="0" applyFont="1" applyFill="1" applyBorder="1" applyAlignment="1">
      <alignment vertical="center"/>
    </xf>
    <xf numFmtId="0" fontId="7" fillId="18" borderId="2" xfId="0" applyFont="1" applyFill="1" applyBorder="1" applyAlignment="1">
      <alignment vertical="center"/>
    </xf>
    <xf numFmtId="0" fontId="11" fillId="0" borderId="0" xfId="0" applyFont="1" applyFill="1" applyAlignment="1">
      <alignment horizontal="center" vertical="center"/>
    </xf>
    <xf numFmtId="0" fontId="6" fillId="2" borderId="2" xfId="0" applyFont="1" applyFill="1" applyBorder="1" applyAlignment="1">
      <alignment vertical="center"/>
    </xf>
    <xf numFmtId="0" fontId="6" fillId="17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5" fillId="12" borderId="2" xfId="0" applyFont="1" applyFill="1" applyBorder="1" applyAlignment="1">
      <alignment vertical="center"/>
    </xf>
    <xf numFmtId="0" fontId="5" fillId="18" borderId="2" xfId="0" applyFont="1" applyFill="1" applyBorder="1" applyAlignment="1">
      <alignment vertical="center"/>
    </xf>
    <xf numFmtId="0" fontId="5" fillId="16" borderId="2" xfId="0" applyFont="1" applyFill="1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3" fillId="17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7" fillId="0" borderId="0" xfId="0" applyFont="1" applyFill="1" applyBorder="1" applyAlignment="1">
      <alignment vertical="center"/>
    </xf>
    <xf numFmtId="165" fontId="11" fillId="0" borderId="0" xfId="0" applyNumberFormat="1" applyFont="1" applyFill="1" applyBorder="1" applyAlignment="1">
      <alignment horizontal="center" vertical="center"/>
    </xf>
    <xf numFmtId="166" fontId="11" fillId="2" borderId="2" xfId="0" applyNumberFormat="1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166" fontId="11" fillId="18" borderId="2" xfId="0" applyNumberFormat="1" applyFont="1" applyFill="1" applyBorder="1" applyAlignment="1">
      <alignment horizontal="center" vertical="center"/>
    </xf>
    <xf numFmtId="0" fontId="11" fillId="18" borderId="2" xfId="0" applyFont="1" applyFill="1" applyBorder="1" applyAlignment="1">
      <alignment horizontal="center" vertical="center"/>
    </xf>
    <xf numFmtId="166" fontId="11" fillId="17" borderId="2" xfId="0" applyNumberFormat="1" applyFont="1" applyFill="1" applyBorder="1" applyAlignment="1">
      <alignment horizontal="center" vertical="center"/>
    </xf>
    <xf numFmtId="0" fontId="11" fillId="17" borderId="2" xfId="0" applyFont="1" applyFill="1" applyBorder="1" applyAlignment="1">
      <alignment horizontal="center" vertical="center"/>
    </xf>
    <xf numFmtId="166" fontId="11" fillId="16" borderId="2" xfId="0" applyNumberFormat="1" applyFont="1" applyFill="1" applyBorder="1" applyAlignment="1">
      <alignment horizontal="center" vertical="center"/>
    </xf>
    <xf numFmtId="0" fontId="11" fillId="16" borderId="2" xfId="0" applyFont="1" applyFill="1" applyBorder="1" applyAlignment="1">
      <alignment horizontal="center" vertical="center"/>
    </xf>
    <xf numFmtId="166" fontId="11" fillId="12" borderId="2" xfId="0" applyNumberFormat="1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166" fontId="11" fillId="0" borderId="2" xfId="0" applyNumberFormat="1" applyFont="1" applyBorder="1" applyAlignment="1">
      <alignment horizontal="center" vertical="center"/>
    </xf>
    <xf numFmtId="166" fontId="11" fillId="9" borderId="2" xfId="0" applyNumberFormat="1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166" fontId="11" fillId="3" borderId="2" xfId="0" applyNumberFormat="1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165" fontId="15" fillId="7" borderId="2" xfId="0" applyNumberFormat="1" applyFont="1" applyFill="1" applyBorder="1" applyAlignment="1">
      <alignment horizontal="left" vertical="center" wrapText="1"/>
    </xf>
    <xf numFmtId="165" fontId="11" fillId="2" borderId="2" xfId="0" applyNumberFormat="1" applyFont="1" applyFill="1" applyBorder="1" applyAlignment="1">
      <alignment horizontal="left" vertical="center"/>
    </xf>
    <xf numFmtId="165" fontId="11" fillId="3" borderId="2" xfId="0" applyNumberFormat="1" applyFont="1" applyFill="1" applyBorder="1" applyAlignment="1">
      <alignment horizontal="left" vertical="center"/>
    </xf>
    <xf numFmtId="165" fontId="11" fillId="0" borderId="2" xfId="0" applyNumberFormat="1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20" borderId="2" xfId="0" applyFill="1" applyBorder="1" applyAlignment="1">
      <alignment horizontal="left" vertical="center"/>
    </xf>
    <xf numFmtId="0" fontId="11" fillId="0" borderId="2" xfId="0" applyFont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20" fillId="19" borderId="2" xfId="0" applyFont="1" applyFill="1" applyBorder="1" applyAlignment="1">
      <alignment horizontal="center" vertical="center"/>
    </xf>
    <xf numFmtId="164" fontId="13" fillId="21" borderId="2" xfId="0" applyNumberFormat="1" applyFont="1" applyFill="1" applyBorder="1" applyAlignment="1">
      <alignment horizontal="right" vertical="center"/>
    </xf>
    <xf numFmtId="0" fontId="11" fillId="21" borderId="2" xfId="0" applyFont="1" applyFill="1" applyBorder="1" applyAlignment="1">
      <alignment vertical="center"/>
    </xf>
    <xf numFmtId="0" fontId="1" fillId="21" borderId="2" xfId="0" applyFont="1" applyFill="1" applyBorder="1" applyAlignment="1">
      <alignment vertical="center"/>
    </xf>
    <xf numFmtId="0" fontId="11" fillId="22" borderId="2" xfId="0" applyFont="1" applyFill="1" applyBorder="1" applyAlignment="1">
      <alignment vertical="center"/>
    </xf>
    <xf numFmtId="0" fontId="0" fillId="22" borderId="2" xfId="0" applyFill="1" applyBorder="1" applyAlignment="1">
      <alignment horizontal="left" vertical="center"/>
    </xf>
    <xf numFmtId="0" fontId="1" fillId="21" borderId="15" xfId="0" applyFont="1" applyFill="1" applyBorder="1" applyAlignment="1">
      <alignment vertical="center"/>
    </xf>
    <xf numFmtId="0" fontId="11" fillId="0" borderId="15" xfId="0" applyFont="1" applyBorder="1" applyAlignment="1">
      <alignment horizontal="center" vertical="center"/>
    </xf>
    <xf numFmtId="2" fontId="11" fillId="0" borderId="15" xfId="0" applyNumberFormat="1" applyFont="1" applyBorder="1" applyAlignment="1">
      <alignment vertical="center"/>
    </xf>
    <xf numFmtId="165" fontId="11" fillId="0" borderId="15" xfId="0" applyNumberFormat="1" applyFont="1" applyBorder="1" applyAlignment="1">
      <alignment vertical="center"/>
    </xf>
    <xf numFmtId="165" fontId="11" fillId="0" borderId="15" xfId="0" applyNumberFormat="1" applyFont="1" applyBorder="1" applyAlignment="1">
      <alignment horizontal="left" vertical="center"/>
    </xf>
    <xf numFmtId="0" fontId="11" fillId="2" borderId="15" xfId="0" applyFont="1" applyFill="1" applyBorder="1" applyAlignment="1">
      <alignment horizontal="center" vertical="center"/>
    </xf>
    <xf numFmtId="2" fontId="11" fillId="2" borderId="15" xfId="0" applyNumberFormat="1" applyFont="1" applyFill="1" applyBorder="1" applyAlignment="1">
      <alignment vertical="center"/>
    </xf>
    <xf numFmtId="165" fontId="11" fillId="2" borderId="15" xfId="0" applyNumberFormat="1" applyFont="1" applyFill="1" applyBorder="1" applyAlignment="1">
      <alignment vertical="center"/>
    </xf>
    <xf numFmtId="0" fontId="11" fillId="22" borderId="16" xfId="0" applyFont="1" applyFill="1" applyBorder="1" applyAlignment="1">
      <alignment vertical="center"/>
    </xf>
    <xf numFmtId="0" fontId="11" fillId="5" borderId="16" xfId="0" applyFont="1" applyFill="1" applyBorder="1" applyAlignment="1">
      <alignment horizontal="center" vertical="center"/>
    </xf>
    <xf numFmtId="2" fontId="11" fillId="5" borderId="16" xfId="0" applyNumberFormat="1" applyFont="1" applyFill="1" applyBorder="1" applyAlignment="1">
      <alignment vertical="center"/>
    </xf>
    <xf numFmtId="165" fontId="11" fillId="5" borderId="16" xfId="0" applyNumberFormat="1" applyFont="1" applyFill="1" applyBorder="1" applyAlignment="1">
      <alignment vertical="center"/>
    </xf>
    <xf numFmtId="0" fontId="11" fillId="3" borderId="16" xfId="0" applyFont="1" applyFill="1" applyBorder="1" applyAlignment="1">
      <alignment horizontal="center" vertical="center"/>
    </xf>
    <xf numFmtId="2" fontId="11" fillId="3" borderId="16" xfId="0" applyNumberFormat="1" applyFont="1" applyFill="1" applyBorder="1" applyAlignment="1">
      <alignment vertical="center"/>
    </xf>
    <xf numFmtId="165" fontId="11" fillId="3" borderId="16" xfId="0" applyNumberFormat="1" applyFont="1" applyFill="1" applyBorder="1" applyAlignment="1">
      <alignment horizontal="left" vertical="center"/>
    </xf>
    <xf numFmtId="0" fontId="11" fillId="9" borderId="16" xfId="0" applyFont="1" applyFill="1" applyBorder="1" applyAlignment="1">
      <alignment horizontal="center" vertical="center"/>
    </xf>
    <xf numFmtId="2" fontId="11" fillId="9" borderId="16" xfId="0" applyNumberFormat="1" applyFont="1" applyFill="1" applyBorder="1" applyAlignment="1">
      <alignment vertical="center"/>
    </xf>
    <xf numFmtId="165" fontId="11" fillId="9" borderId="16" xfId="0" applyNumberFormat="1" applyFont="1" applyFill="1" applyBorder="1" applyAlignment="1">
      <alignment vertical="center"/>
    </xf>
    <xf numFmtId="0" fontId="11" fillId="12" borderId="16" xfId="0" applyFont="1" applyFill="1" applyBorder="1" applyAlignment="1">
      <alignment horizontal="center" vertical="center"/>
    </xf>
    <xf numFmtId="2" fontId="11" fillId="12" borderId="16" xfId="0" applyNumberFormat="1" applyFont="1" applyFill="1" applyBorder="1" applyAlignment="1">
      <alignment vertical="center"/>
    </xf>
    <xf numFmtId="165" fontId="11" fillId="12" borderId="16" xfId="0" applyNumberFormat="1" applyFont="1" applyFill="1" applyBorder="1" applyAlignment="1">
      <alignment vertical="center"/>
    </xf>
    <xf numFmtId="0" fontId="11" fillId="16" borderId="16" xfId="0" applyFont="1" applyFill="1" applyBorder="1" applyAlignment="1">
      <alignment horizontal="center" vertical="center"/>
    </xf>
    <xf numFmtId="2" fontId="11" fillId="16" borderId="16" xfId="0" applyNumberFormat="1" applyFont="1" applyFill="1" applyBorder="1" applyAlignment="1">
      <alignment vertical="center"/>
    </xf>
    <xf numFmtId="165" fontId="11" fillId="16" borderId="16" xfId="0" applyNumberFormat="1" applyFont="1" applyFill="1" applyBorder="1" applyAlignment="1">
      <alignment vertical="center"/>
    </xf>
    <xf numFmtId="0" fontId="11" fillId="17" borderId="16" xfId="0" applyFont="1" applyFill="1" applyBorder="1" applyAlignment="1">
      <alignment horizontal="center" vertical="center"/>
    </xf>
    <xf numFmtId="2" fontId="11" fillId="17" borderId="16" xfId="0" applyNumberFormat="1" applyFont="1" applyFill="1" applyBorder="1" applyAlignment="1">
      <alignment vertical="center"/>
    </xf>
    <xf numFmtId="165" fontId="11" fillId="17" borderId="16" xfId="0" applyNumberFormat="1" applyFont="1" applyFill="1" applyBorder="1" applyAlignment="1">
      <alignment vertical="center"/>
    </xf>
    <xf numFmtId="0" fontId="11" fillId="18" borderId="16" xfId="0" applyFont="1" applyFill="1" applyBorder="1" applyAlignment="1">
      <alignment horizontal="center" vertical="center"/>
    </xf>
    <xf numFmtId="2" fontId="11" fillId="18" borderId="16" xfId="0" applyNumberFormat="1" applyFont="1" applyFill="1" applyBorder="1" applyAlignment="1">
      <alignment vertical="center"/>
    </xf>
    <xf numFmtId="165" fontId="11" fillId="18" borderId="16" xfId="0" applyNumberFormat="1" applyFont="1" applyFill="1" applyBorder="1" applyAlignment="1">
      <alignment vertical="center"/>
    </xf>
    <xf numFmtId="0" fontId="11" fillId="3" borderId="17" xfId="0" applyFont="1" applyFill="1" applyBorder="1" applyAlignment="1">
      <alignment horizontal="center" vertical="center"/>
    </xf>
    <xf numFmtId="0" fontId="5" fillId="22" borderId="2" xfId="0" applyFont="1" applyFill="1" applyBorder="1" applyAlignment="1">
      <alignment vertical="center"/>
    </xf>
    <xf numFmtId="0" fontId="4" fillId="22" borderId="2" xfId="0" applyFont="1" applyFill="1" applyBorder="1" applyAlignment="1">
      <alignment vertical="center"/>
    </xf>
    <xf numFmtId="0" fontId="8" fillId="22" borderId="16" xfId="0" applyFont="1" applyFill="1" applyBorder="1" applyAlignment="1">
      <alignment vertical="center"/>
    </xf>
    <xf numFmtId="0" fontId="5" fillId="21" borderId="2" xfId="0" applyFont="1" applyFill="1" applyBorder="1" applyAlignment="1">
      <alignment vertical="center"/>
    </xf>
    <xf numFmtId="0" fontId="8" fillId="21" borderId="2" xfId="0" applyFont="1" applyFill="1" applyBorder="1" applyAlignment="1">
      <alignment vertical="center"/>
    </xf>
    <xf numFmtId="0" fontId="8" fillId="22" borderId="2" xfId="0" applyFont="1" applyFill="1" applyBorder="1" applyAlignment="1">
      <alignment vertical="center"/>
    </xf>
    <xf numFmtId="0" fontId="1" fillId="22" borderId="16" xfId="0" applyFont="1" applyFill="1" applyBorder="1" applyAlignment="1">
      <alignment vertical="center"/>
    </xf>
    <xf numFmtId="0" fontId="7" fillId="21" borderId="2" xfId="0" applyFont="1" applyFill="1" applyBorder="1" applyAlignment="1">
      <alignment vertical="center"/>
    </xf>
    <xf numFmtId="0" fontId="5" fillId="21" borderId="15" xfId="0" applyFont="1" applyFill="1" applyBorder="1" applyAlignment="1">
      <alignment vertical="center"/>
    </xf>
    <xf numFmtId="0" fontId="7" fillId="22" borderId="2" xfId="0" applyFont="1" applyFill="1" applyBorder="1" applyAlignment="1">
      <alignment vertical="center"/>
    </xf>
    <xf numFmtId="0" fontId="3" fillId="21" borderId="2" xfId="0" applyFont="1" applyFill="1" applyBorder="1" applyAlignment="1">
      <alignment vertical="center"/>
    </xf>
    <xf numFmtId="0" fontId="3" fillId="21" borderId="15" xfId="0" applyFont="1" applyFill="1" applyBorder="1" applyAlignment="1">
      <alignment vertical="center"/>
    </xf>
    <xf numFmtId="0" fontId="3" fillId="22" borderId="2" xfId="0" applyFont="1" applyFill="1" applyBorder="1" applyAlignment="1">
      <alignment vertical="center"/>
    </xf>
    <xf numFmtId="0" fontId="9" fillId="24" borderId="2" xfId="0" applyFont="1" applyFill="1" applyBorder="1" applyAlignment="1">
      <alignment horizontal="center" vertical="center" textRotation="90" wrapText="1"/>
    </xf>
    <xf numFmtId="0" fontId="11" fillId="0" borderId="2" xfId="0" applyFont="1" applyFill="1" applyBorder="1" applyAlignment="1">
      <alignment vertical="center"/>
    </xf>
    <xf numFmtId="0" fontId="11" fillId="22" borderId="3" xfId="0" applyFont="1" applyFill="1" applyBorder="1" applyAlignment="1">
      <alignment vertical="center"/>
    </xf>
    <xf numFmtId="0" fontId="11" fillId="5" borderId="3" xfId="0" applyFont="1" applyFill="1" applyBorder="1" applyAlignment="1">
      <alignment horizontal="center" vertical="center"/>
    </xf>
    <xf numFmtId="2" fontId="11" fillId="5" borderId="3" xfId="0" applyNumberFormat="1" applyFont="1" applyFill="1" applyBorder="1" applyAlignment="1">
      <alignment vertical="center"/>
    </xf>
    <xf numFmtId="165" fontId="11" fillId="5" borderId="3" xfId="0" applyNumberFormat="1" applyFont="1" applyFill="1" applyBorder="1" applyAlignment="1">
      <alignment vertical="center"/>
    </xf>
    <xf numFmtId="0" fontId="19" fillId="19" borderId="2" xfId="0" applyFont="1" applyFill="1" applyBorder="1" applyAlignment="1">
      <alignment horizontal="center" vertical="center" wrapText="1"/>
    </xf>
    <xf numFmtId="0" fontId="20" fillId="19" borderId="2" xfId="0" applyFont="1" applyFill="1" applyBorder="1" applyAlignment="1">
      <alignment horizontal="center" vertical="center" wrapText="1"/>
    </xf>
    <xf numFmtId="0" fontId="20" fillId="19" borderId="2" xfId="0" applyFont="1" applyFill="1" applyBorder="1" applyAlignment="1">
      <alignment horizontal="center" vertical="center" textRotation="90"/>
    </xf>
    <xf numFmtId="0" fontId="14" fillId="0" borderId="9" xfId="0" applyFont="1" applyFill="1" applyBorder="1" applyAlignment="1">
      <alignment horizontal="center" vertical="center"/>
    </xf>
    <xf numFmtId="0" fontId="0" fillId="21" borderId="2" xfId="0" applyFill="1" applyBorder="1"/>
    <xf numFmtId="0" fontId="25" fillId="0" borderId="0" xfId="0" applyFont="1" applyAlignment="1">
      <alignment horizontal="center" vertical="center"/>
    </xf>
    <xf numFmtId="0" fontId="25" fillId="0" borderId="0" xfId="0" applyFont="1"/>
    <xf numFmtId="0" fontId="2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6" fillId="10" borderId="6" xfId="0" applyFont="1" applyFill="1" applyBorder="1"/>
    <xf numFmtId="0" fontId="16" fillId="10" borderId="8" xfId="0" applyFont="1" applyFill="1" applyBorder="1"/>
    <xf numFmtId="0" fontId="16" fillId="10" borderId="2" xfId="0" applyFont="1" applyFill="1" applyBorder="1" applyAlignment="1">
      <alignment horizontal="center" vertical="center"/>
    </xf>
    <xf numFmtId="0" fontId="16" fillId="10" borderId="2" xfId="0" applyFont="1" applyFill="1" applyBorder="1" applyAlignment="1">
      <alignment horizontal="center" vertical="center" wrapText="1"/>
    </xf>
    <xf numFmtId="0" fontId="26" fillId="2" borderId="2" xfId="0" applyFont="1" applyFill="1" applyBorder="1" applyAlignment="1">
      <alignment horizontal="center"/>
    </xf>
    <xf numFmtId="167" fontId="23" fillId="2" borderId="2" xfId="0" applyNumberFormat="1" applyFont="1" applyFill="1" applyBorder="1" applyAlignment="1">
      <alignment horizontal="center"/>
    </xf>
    <xf numFmtId="0" fontId="26" fillId="4" borderId="2" xfId="0" applyFont="1" applyFill="1" applyBorder="1" applyAlignment="1">
      <alignment horizontal="center"/>
    </xf>
    <xf numFmtId="167" fontId="23" fillId="4" borderId="2" xfId="0" applyNumberFormat="1" applyFont="1" applyFill="1" applyBorder="1" applyAlignment="1">
      <alignment horizontal="center"/>
    </xf>
    <xf numFmtId="0" fontId="25" fillId="0" borderId="0" xfId="0" applyFont="1" applyFill="1"/>
    <xf numFmtId="164" fontId="16" fillId="2" borderId="2" xfId="0" applyNumberFormat="1" applyFont="1" applyFill="1" applyBorder="1" applyAlignment="1">
      <alignment horizontal="center" vertical="center"/>
    </xf>
    <xf numFmtId="164" fontId="16" fillId="12" borderId="2" xfId="0" applyNumberFormat="1" applyFont="1" applyFill="1" applyBorder="1" applyAlignment="1">
      <alignment horizontal="center" vertical="center"/>
    </xf>
    <xf numFmtId="0" fontId="15" fillId="11" borderId="7" xfId="0" applyFont="1" applyFill="1" applyBorder="1" applyAlignment="1">
      <alignment horizontal="center" vertical="center"/>
    </xf>
    <xf numFmtId="0" fontId="0" fillId="0" borderId="2" xfId="0" applyBorder="1"/>
    <xf numFmtId="0" fontId="0" fillId="25" borderId="0" xfId="0" applyFill="1"/>
    <xf numFmtId="0" fontId="0" fillId="22" borderId="0" xfId="0" applyFill="1" applyAlignment="1">
      <alignment horizontal="center"/>
    </xf>
    <xf numFmtId="167" fontId="0" fillId="0" borderId="0" xfId="0" applyNumberFormat="1"/>
    <xf numFmtId="0" fontId="25" fillId="0" borderId="18" xfId="0" applyFont="1" applyFill="1" applyBorder="1" applyAlignment="1">
      <alignment horizontal="center" vertical="center"/>
    </xf>
    <xf numFmtId="0" fontId="25" fillId="0" borderId="19" xfId="0" applyFont="1" applyFill="1" applyBorder="1" applyAlignment="1">
      <alignment horizontal="center" vertical="center"/>
    </xf>
    <xf numFmtId="0" fontId="25" fillId="0" borderId="10" xfId="0" applyFont="1" applyFill="1" applyBorder="1" applyAlignment="1">
      <alignment horizontal="center" vertical="center"/>
    </xf>
    <xf numFmtId="0" fontId="25" fillId="0" borderId="11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12" fillId="0" borderId="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164" fontId="16" fillId="21" borderId="3" xfId="0" applyNumberFormat="1" applyFont="1" applyFill="1" applyBorder="1" applyAlignment="1">
      <alignment horizontal="center" vertical="center"/>
    </xf>
    <xf numFmtId="164" fontId="16" fillId="21" borderId="4" xfId="0" applyNumberFormat="1" applyFont="1" applyFill="1" applyBorder="1" applyAlignment="1">
      <alignment horizontal="center" vertical="center"/>
    </xf>
    <xf numFmtId="164" fontId="16" fillId="21" borderId="15" xfId="0" applyNumberFormat="1" applyFont="1" applyFill="1" applyBorder="1" applyAlignment="1">
      <alignment horizontal="center" vertical="center"/>
    </xf>
    <xf numFmtId="164" fontId="16" fillId="22" borderId="3" xfId="0" applyNumberFormat="1" applyFont="1" applyFill="1" applyBorder="1" applyAlignment="1">
      <alignment horizontal="center" vertical="center"/>
    </xf>
    <xf numFmtId="164" fontId="16" fillId="22" borderId="4" xfId="0" applyNumberFormat="1" applyFont="1" applyFill="1" applyBorder="1" applyAlignment="1">
      <alignment horizontal="center" vertical="center"/>
    </xf>
    <xf numFmtId="164" fontId="16" fillId="22" borderId="15" xfId="0" applyNumberFormat="1" applyFont="1" applyFill="1" applyBorder="1" applyAlignment="1">
      <alignment horizontal="center" vertical="center"/>
    </xf>
    <xf numFmtId="165" fontId="11" fillId="21" borderId="2" xfId="0" applyNumberFormat="1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1" fontId="11" fillId="21" borderId="2" xfId="0" applyNumberFormat="1" applyFont="1" applyFill="1" applyBorder="1" applyAlignment="1">
      <alignment horizontal="center" vertical="center"/>
    </xf>
    <xf numFmtId="0" fontId="11" fillId="21" borderId="2" xfId="0" applyFont="1" applyFill="1" applyBorder="1" applyAlignment="1">
      <alignment horizontal="center" vertical="center"/>
    </xf>
    <xf numFmtId="0" fontId="11" fillId="23" borderId="2" xfId="0" applyFont="1" applyFill="1" applyBorder="1" applyAlignment="1">
      <alignment horizontal="center" vertical="center"/>
    </xf>
    <xf numFmtId="1" fontId="11" fillId="2" borderId="2" xfId="0" applyNumberFormat="1" applyFont="1" applyFill="1" applyBorder="1" applyAlignment="1">
      <alignment horizontal="center" vertical="center"/>
    </xf>
    <xf numFmtId="164" fontId="16" fillId="21" borderId="2" xfId="0" applyNumberFormat="1" applyFont="1" applyFill="1" applyBorder="1" applyAlignment="1">
      <alignment horizontal="center" vertical="center"/>
    </xf>
    <xf numFmtId="166" fontId="11" fillId="12" borderId="2" xfId="0" applyNumberFormat="1" applyFont="1" applyFill="1" applyBorder="1" applyAlignment="1">
      <alignment horizontal="center" vertical="center"/>
    </xf>
    <xf numFmtId="1" fontId="11" fillId="22" borderId="2" xfId="0" applyNumberFormat="1" applyFont="1" applyFill="1" applyBorder="1" applyAlignment="1">
      <alignment horizontal="center" vertical="center"/>
    </xf>
    <xf numFmtId="0" fontId="11" fillId="22" borderId="2" xfId="0" applyFont="1" applyFill="1" applyBorder="1" applyAlignment="1">
      <alignment horizontal="center" vertical="center"/>
    </xf>
    <xf numFmtId="1" fontId="11" fillId="12" borderId="2" xfId="0" applyNumberFormat="1" applyFont="1" applyFill="1" applyBorder="1" applyAlignment="1">
      <alignment horizontal="center" vertical="center"/>
    </xf>
    <xf numFmtId="164" fontId="16" fillId="22" borderId="2" xfId="0" applyNumberFormat="1" applyFont="1" applyFill="1" applyBorder="1" applyAlignment="1">
      <alignment horizontal="center" vertical="center"/>
    </xf>
    <xf numFmtId="166" fontId="11" fillId="2" borderId="2" xfId="0" applyNumberFormat="1" applyFont="1" applyFill="1" applyBorder="1" applyAlignment="1">
      <alignment horizontal="center" vertical="center"/>
    </xf>
    <xf numFmtId="165" fontId="11" fillId="22" borderId="2" xfId="0" applyNumberFormat="1" applyFont="1" applyFill="1" applyBorder="1" applyAlignment="1">
      <alignment horizontal="center" vertical="center"/>
    </xf>
    <xf numFmtId="0" fontId="20" fillId="19" borderId="2" xfId="0" applyFont="1" applyFill="1" applyBorder="1" applyAlignment="1">
      <alignment horizontal="center" vertical="center"/>
    </xf>
    <xf numFmtId="2" fontId="11" fillId="0" borderId="0" xfId="0" applyNumberFormat="1" applyFont="1" applyFill="1" applyBorder="1" applyAlignment="1">
      <alignment horizontal="center" vertical="center"/>
    </xf>
    <xf numFmtId="166" fontId="11" fillId="16" borderId="2" xfId="0" applyNumberFormat="1" applyFont="1" applyFill="1" applyBorder="1" applyAlignment="1">
      <alignment horizontal="center" vertical="center"/>
    </xf>
    <xf numFmtId="1" fontId="11" fillId="16" borderId="2" xfId="0" applyNumberFormat="1" applyFont="1" applyFill="1" applyBorder="1" applyAlignment="1">
      <alignment horizontal="center" vertical="center"/>
    </xf>
    <xf numFmtId="166" fontId="11" fillId="18" borderId="2" xfId="0" applyNumberFormat="1" applyFont="1" applyFill="1" applyBorder="1" applyAlignment="1">
      <alignment horizontal="center" vertical="center"/>
    </xf>
    <xf numFmtId="1" fontId="11" fillId="18" borderId="2" xfId="0" applyNumberFormat="1" applyFont="1" applyFill="1" applyBorder="1" applyAlignment="1">
      <alignment horizontal="center" vertical="center"/>
    </xf>
    <xf numFmtId="166" fontId="11" fillId="17" borderId="2" xfId="0" applyNumberFormat="1" applyFont="1" applyFill="1" applyBorder="1" applyAlignment="1">
      <alignment horizontal="center" vertical="center"/>
    </xf>
    <xf numFmtId="1" fontId="11" fillId="17" borderId="2" xfId="0" applyNumberFormat="1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164" fontId="16" fillId="2" borderId="2" xfId="0" applyNumberFormat="1" applyFont="1" applyFill="1" applyBorder="1" applyAlignment="1">
      <alignment horizontal="center" vertical="center"/>
    </xf>
    <xf numFmtId="0" fontId="11" fillId="18" borderId="2" xfId="0" applyFont="1" applyFill="1" applyBorder="1" applyAlignment="1">
      <alignment horizontal="center" vertical="center"/>
    </xf>
    <xf numFmtId="164" fontId="16" fillId="18" borderId="2" xfId="0" applyNumberFormat="1" applyFont="1" applyFill="1" applyBorder="1" applyAlignment="1">
      <alignment horizontal="center" vertical="center"/>
    </xf>
    <xf numFmtId="0" fontId="11" fillId="17" borderId="2" xfId="0" applyFont="1" applyFill="1" applyBorder="1" applyAlignment="1">
      <alignment horizontal="center" vertical="center"/>
    </xf>
    <xf numFmtId="164" fontId="16" fillId="17" borderId="2" xfId="0" applyNumberFormat="1" applyFont="1" applyFill="1" applyBorder="1" applyAlignment="1">
      <alignment horizontal="center" vertical="center"/>
    </xf>
    <xf numFmtId="0" fontId="11" fillId="16" borderId="2" xfId="0" applyFont="1" applyFill="1" applyBorder="1" applyAlignment="1">
      <alignment horizontal="center" vertical="center"/>
    </xf>
    <xf numFmtId="164" fontId="16" fillId="16" borderId="2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5" fillId="13" borderId="6" xfId="0" applyFont="1" applyFill="1" applyBorder="1" applyAlignment="1">
      <alignment horizontal="center" vertical="center"/>
    </xf>
    <xf numFmtId="0" fontId="15" fillId="13" borderId="7" xfId="0" applyFont="1" applyFill="1" applyBorder="1" applyAlignment="1">
      <alignment horizontal="center" vertical="center"/>
    </xf>
    <xf numFmtId="0" fontId="15" fillId="13" borderId="8" xfId="0" applyFont="1" applyFill="1" applyBorder="1" applyAlignment="1">
      <alignment horizontal="center" vertical="center"/>
    </xf>
    <xf numFmtId="0" fontId="15" fillId="14" borderId="6" xfId="0" applyFont="1" applyFill="1" applyBorder="1" applyAlignment="1">
      <alignment horizontal="center" vertical="center"/>
    </xf>
    <xf numFmtId="0" fontId="15" fillId="14" borderId="7" xfId="0" applyFont="1" applyFill="1" applyBorder="1" applyAlignment="1">
      <alignment horizontal="center" vertical="center"/>
    </xf>
    <xf numFmtId="0" fontId="15" fillId="14" borderId="8" xfId="0" applyFont="1" applyFill="1" applyBorder="1" applyAlignment="1">
      <alignment horizontal="center" vertical="center"/>
    </xf>
    <xf numFmtId="0" fontId="15" fillId="15" borderId="6" xfId="0" applyFont="1" applyFill="1" applyBorder="1" applyAlignment="1">
      <alignment horizontal="center" vertical="center"/>
    </xf>
    <xf numFmtId="0" fontId="15" fillId="15" borderId="7" xfId="0" applyFont="1" applyFill="1" applyBorder="1" applyAlignment="1">
      <alignment horizontal="center" vertical="center"/>
    </xf>
    <xf numFmtId="0" fontId="15" fillId="15" borderId="8" xfId="0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164" fontId="16" fillId="12" borderId="2" xfId="0" applyNumberFormat="1" applyFont="1" applyFill="1" applyBorder="1" applyAlignment="1">
      <alignment horizontal="center" vertical="center"/>
    </xf>
    <xf numFmtId="0" fontId="15" fillId="11" borderId="6" xfId="0" applyFont="1" applyFill="1" applyBorder="1" applyAlignment="1">
      <alignment horizontal="center" vertical="center"/>
    </xf>
    <xf numFmtId="0" fontId="15" fillId="11" borderId="7" xfId="0" applyFont="1" applyFill="1" applyBorder="1" applyAlignment="1">
      <alignment horizontal="center" vertical="center"/>
    </xf>
    <xf numFmtId="0" fontId="15" fillId="11" borderId="8" xfId="0" applyFont="1" applyFill="1" applyBorder="1" applyAlignment="1">
      <alignment horizontal="center" vertical="center"/>
    </xf>
    <xf numFmtId="166" fontId="11" fillId="0" borderId="2" xfId="0" applyNumberFormat="1" applyFont="1" applyBorder="1" applyAlignment="1">
      <alignment horizontal="center" vertical="center"/>
    </xf>
    <xf numFmtId="1" fontId="11" fillId="0" borderId="2" xfId="0" applyNumberFormat="1" applyFont="1" applyBorder="1" applyAlignment="1">
      <alignment horizontal="center" vertical="center"/>
    </xf>
    <xf numFmtId="166" fontId="11" fillId="9" borderId="2" xfId="0" applyNumberFormat="1" applyFont="1" applyFill="1" applyBorder="1" applyAlignment="1">
      <alignment horizontal="center" vertical="center"/>
    </xf>
    <xf numFmtId="1" fontId="11" fillId="9" borderId="2" xfId="0" applyNumberFormat="1" applyFont="1" applyFill="1" applyBorder="1" applyAlignment="1">
      <alignment horizontal="center" vertical="center"/>
    </xf>
    <xf numFmtId="164" fontId="16" fillId="0" borderId="2" xfId="0" applyNumberFormat="1" applyFont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164" fontId="16" fillId="9" borderId="2" xfId="0" applyNumberFormat="1" applyFont="1" applyFill="1" applyBorder="1" applyAlignment="1">
      <alignment horizontal="center" vertical="center"/>
    </xf>
    <xf numFmtId="0" fontId="15" fillId="8" borderId="6" xfId="0" applyFont="1" applyFill="1" applyBorder="1" applyAlignment="1">
      <alignment horizontal="center" vertical="center"/>
    </xf>
    <xf numFmtId="0" fontId="15" fillId="8" borderId="7" xfId="0" applyFont="1" applyFill="1" applyBorder="1" applyAlignment="1">
      <alignment horizontal="center" vertical="center"/>
    </xf>
    <xf numFmtId="0" fontId="15" fillId="8" borderId="8" xfId="0" applyFont="1" applyFill="1" applyBorder="1" applyAlignment="1">
      <alignment horizontal="center" vertical="center"/>
    </xf>
    <xf numFmtId="164" fontId="11" fillId="23" borderId="3" xfId="0" applyNumberFormat="1" applyFont="1" applyFill="1" applyBorder="1" applyAlignment="1">
      <alignment horizontal="center" vertical="center"/>
    </xf>
    <xf numFmtId="164" fontId="11" fillId="23" borderId="4" xfId="0" applyNumberFormat="1" applyFont="1" applyFill="1" applyBorder="1" applyAlignment="1">
      <alignment horizontal="center" vertical="center"/>
    </xf>
    <xf numFmtId="164" fontId="11" fillId="23" borderId="15" xfId="0" applyNumberFormat="1" applyFont="1" applyFill="1" applyBorder="1" applyAlignment="1">
      <alignment horizontal="center" vertical="center"/>
    </xf>
    <xf numFmtId="166" fontId="11" fillId="3" borderId="2" xfId="0" applyNumberFormat="1" applyFont="1" applyFill="1" applyBorder="1" applyAlignment="1">
      <alignment horizontal="center" vertical="center"/>
    </xf>
    <xf numFmtId="1" fontId="11" fillId="3" borderId="2" xfId="0" applyNumberFormat="1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164" fontId="16" fillId="3" borderId="2" xfId="0" applyNumberFormat="1" applyFont="1" applyFill="1" applyBorder="1" applyAlignment="1">
      <alignment horizontal="center" vertical="center"/>
    </xf>
    <xf numFmtId="164" fontId="11" fillId="21" borderId="2" xfId="0" applyNumberFormat="1" applyFont="1" applyFill="1" applyBorder="1" applyAlignment="1">
      <alignment horizontal="center" vertical="center"/>
    </xf>
    <xf numFmtId="164" fontId="11" fillId="22" borderId="2" xfId="0" applyNumberFormat="1" applyFont="1" applyFill="1" applyBorder="1" applyAlignment="1">
      <alignment horizontal="center" vertical="center"/>
    </xf>
    <xf numFmtId="0" fontId="15" fillId="7" borderId="6" xfId="0" applyFont="1" applyFill="1" applyBorder="1" applyAlignment="1">
      <alignment horizontal="center" vertical="center"/>
    </xf>
    <xf numFmtId="0" fontId="15" fillId="7" borderId="7" xfId="0" applyFont="1" applyFill="1" applyBorder="1" applyAlignment="1">
      <alignment horizontal="center" vertical="center"/>
    </xf>
    <xf numFmtId="0" fontId="15" fillId="7" borderId="8" xfId="0" applyFont="1" applyFill="1" applyBorder="1" applyAlignment="1">
      <alignment horizontal="center" vertical="center"/>
    </xf>
    <xf numFmtId="164" fontId="16" fillId="5" borderId="2" xfId="0" applyNumberFormat="1" applyFont="1" applyFill="1" applyBorder="1" applyAlignment="1">
      <alignment horizontal="center" vertical="center"/>
    </xf>
    <xf numFmtId="1" fontId="11" fillId="5" borderId="2" xfId="0" applyNumberFormat="1" applyFont="1" applyFill="1" applyBorder="1" applyAlignment="1">
      <alignment horizontal="center" vertical="center"/>
    </xf>
    <xf numFmtId="0" fontId="11" fillId="23" borderId="3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1" fillId="22" borderId="3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0" fontId="1" fillId="21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6" fontId="11" fillId="5" borderId="2" xfId="0" applyNumberFormat="1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6" borderId="6" xfId="0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vertical="center"/>
    </xf>
    <xf numFmtId="0" fontId="15" fillId="6" borderId="8" xfId="0" applyFont="1" applyFill="1" applyBorder="1" applyAlignment="1">
      <alignment horizontal="center" vertical="center"/>
    </xf>
    <xf numFmtId="0" fontId="15" fillId="0" borderId="5" xfId="0" applyFont="1" applyFill="1" applyBorder="1" applyAlignment="1">
      <alignment horizontal="center" vertical="center"/>
    </xf>
    <xf numFmtId="0" fontId="15" fillId="0" borderId="9" xfId="0" applyFont="1" applyFill="1" applyBorder="1" applyAlignment="1">
      <alignment horizontal="center" vertical="center"/>
    </xf>
    <xf numFmtId="0" fontId="15" fillId="0" borderId="10" xfId="0" applyFont="1" applyFill="1" applyBorder="1" applyAlignment="1">
      <alignment horizontal="center" vertical="center"/>
    </xf>
    <xf numFmtId="0" fontId="15" fillId="0" borderId="11" xfId="0" applyFont="1" applyFill="1" applyBorder="1" applyAlignment="1">
      <alignment horizontal="center" vertical="center"/>
    </xf>
    <xf numFmtId="1" fontId="11" fillId="5" borderId="3" xfId="0" applyNumberFormat="1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" fillId="21" borderId="2" xfId="0" applyFont="1" applyFill="1" applyBorder="1" applyAlignment="1">
      <alignment horizontal="center" vertical="center" wrapText="1"/>
    </xf>
    <xf numFmtId="0" fontId="11" fillId="21" borderId="2" xfId="0" applyFont="1" applyFill="1" applyBorder="1" applyAlignment="1">
      <alignment horizontal="center" vertical="center" wrapText="1"/>
    </xf>
    <xf numFmtId="166" fontId="11" fillId="5" borderId="3" xfId="0" applyNumberFormat="1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1" fontId="11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164" fontId="16" fillId="0" borderId="0" xfId="0" applyNumberFormat="1" applyFont="1" applyFill="1" applyBorder="1" applyAlignment="1">
      <alignment horizontal="center" vertical="center"/>
    </xf>
    <xf numFmtId="166" fontId="11" fillId="4" borderId="6" xfId="0" applyNumberFormat="1" applyFont="1" applyFill="1" applyBorder="1" applyAlignment="1">
      <alignment horizontal="center" vertical="center"/>
    </xf>
    <xf numFmtId="1" fontId="11" fillId="22" borderId="3" xfId="0" applyNumberFormat="1" applyFont="1" applyFill="1" applyBorder="1" applyAlignment="1">
      <alignment horizontal="center" vertical="center"/>
    </xf>
    <xf numFmtId="166" fontId="11" fillId="21" borderId="6" xfId="0" applyNumberFormat="1" applyFont="1" applyFill="1" applyBorder="1" applyAlignment="1">
      <alignment horizontal="center" vertical="center"/>
    </xf>
    <xf numFmtId="164" fontId="11" fillId="23" borderId="2" xfId="0" applyNumberFormat="1" applyFont="1" applyFill="1" applyBorder="1" applyAlignment="1">
      <alignment horizontal="center" vertical="center"/>
    </xf>
    <xf numFmtId="164" fontId="16" fillId="21" borderId="14" xfId="0" applyNumberFormat="1" applyFont="1" applyFill="1" applyBorder="1" applyAlignment="1">
      <alignment horizontal="center" vertical="center"/>
    </xf>
    <xf numFmtId="164" fontId="16" fillId="21" borderId="12" xfId="0" applyNumberFormat="1" applyFont="1" applyFill="1" applyBorder="1" applyAlignment="1">
      <alignment horizontal="center" vertical="center"/>
    </xf>
    <xf numFmtId="164" fontId="16" fillId="21" borderId="13" xfId="0" applyNumberFormat="1" applyFont="1" applyFill="1" applyBorder="1" applyAlignment="1">
      <alignment horizontal="center" vertical="center"/>
    </xf>
    <xf numFmtId="166" fontId="11" fillId="22" borderId="18" xfId="0" applyNumberFormat="1" applyFont="1" applyFill="1" applyBorder="1" applyAlignment="1">
      <alignment horizontal="center" vertical="center"/>
    </xf>
    <xf numFmtId="166" fontId="11" fillId="22" borderId="5" xfId="0" applyNumberFormat="1" applyFont="1" applyFill="1" applyBorder="1" applyAlignment="1">
      <alignment horizontal="center" vertical="center"/>
    </xf>
    <xf numFmtId="166" fontId="11" fillId="22" borderId="10" xfId="0" applyNumberFormat="1" applyFont="1" applyFill="1" applyBorder="1" applyAlignment="1">
      <alignment horizontal="center" vertical="center"/>
    </xf>
    <xf numFmtId="164" fontId="16" fillId="22" borderId="14" xfId="0" applyNumberFormat="1" applyFont="1" applyFill="1" applyBorder="1" applyAlignment="1">
      <alignment horizontal="center" vertical="center"/>
    </xf>
    <xf numFmtId="164" fontId="16" fillId="22" borderId="12" xfId="0" applyNumberFormat="1" applyFont="1" applyFill="1" applyBorder="1" applyAlignment="1">
      <alignment horizontal="center" vertical="center"/>
    </xf>
    <xf numFmtId="164" fontId="16" fillId="22" borderId="13" xfId="0" applyNumberFormat="1" applyFont="1" applyFill="1" applyBorder="1" applyAlignment="1">
      <alignment horizontal="center" vertical="center"/>
    </xf>
    <xf numFmtId="0" fontId="24" fillId="24" borderId="2" xfId="0" applyFont="1" applyFill="1" applyBorder="1" applyAlignment="1">
      <alignment horizontal="center" vertical="center"/>
    </xf>
    <xf numFmtId="166" fontId="11" fillId="2" borderId="10" xfId="0" applyNumberFormat="1" applyFont="1" applyFill="1" applyBorder="1" applyAlignment="1">
      <alignment horizontal="center" vertical="center"/>
    </xf>
    <xf numFmtId="166" fontId="11" fillId="2" borderId="6" xfId="0" applyNumberFormat="1" applyFont="1" applyFill="1" applyBorder="1" applyAlignment="1">
      <alignment horizontal="center" vertical="center"/>
    </xf>
    <xf numFmtId="165" fontId="11" fillId="0" borderId="0" xfId="0" applyNumberFormat="1" applyFont="1" applyFill="1" applyBorder="1" applyAlignment="1">
      <alignment horizontal="center" vertical="center"/>
    </xf>
    <xf numFmtId="166" fontId="11" fillId="22" borderId="6" xfId="0" applyNumberFormat="1" applyFont="1" applyFill="1" applyBorder="1" applyAlignment="1">
      <alignment horizontal="center" vertical="center"/>
    </xf>
    <xf numFmtId="0" fontId="11" fillId="23" borderId="4" xfId="0" applyFont="1" applyFill="1" applyBorder="1" applyAlignment="1">
      <alignment horizontal="center" vertical="center"/>
    </xf>
    <xf numFmtId="0" fontId="11" fillId="23" borderId="15" xfId="0" applyFont="1" applyFill="1" applyBorder="1" applyAlignment="1">
      <alignment horizontal="center" vertical="center"/>
    </xf>
    <xf numFmtId="1" fontId="11" fillId="0" borderId="2" xfId="0" applyNumberFormat="1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164" fontId="16" fillId="0" borderId="15" xfId="0" applyNumberFormat="1" applyFont="1" applyFill="1" applyBorder="1" applyAlignment="1">
      <alignment horizontal="center" vertical="center"/>
    </xf>
    <xf numFmtId="164" fontId="16" fillId="0" borderId="2" xfId="0" applyNumberFormat="1" applyFont="1" applyFill="1" applyBorder="1" applyAlignment="1">
      <alignment horizontal="center" vertical="center"/>
    </xf>
    <xf numFmtId="164" fontId="16" fillId="0" borderId="3" xfId="0" applyNumberFormat="1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/>
    </xf>
    <xf numFmtId="0" fontId="10" fillId="21" borderId="2" xfId="0" applyFont="1" applyFill="1" applyBorder="1" applyAlignment="1">
      <alignment horizontal="center" vertical="center"/>
    </xf>
    <xf numFmtId="165" fontId="11" fillId="0" borderId="2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textRotation="9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2"/>
  <sheetViews>
    <sheetView tabSelected="1" workbookViewId="0">
      <selection activeCell="K25" sqref="K25"/>
    </sheetView>
  </sheetViews>
  <sheetFormatPr defaultRowHeight="15" x14ac:dyDescent="0.25"/>
  <cols>
    <col min="2" max="2" width="10.28515625" customWidth="1"/>
    <col min="3" max="3" width="14" customWidth="1"/>
    <col min="4" max="4" width="17.42578125" customWidth="1"/>
    <col min="5" max="10" width="14" customWidth="1"/>
  </cols>
  <sheetData>
    <row r="1" spans="1:12" ht="15.75" x14ac:dyDescent="0.25">
      <c r="A1" s="230"/>
      <c r="B1" s="230"/>
      <c r="C1" s="230"/>
      <c r="D1" s="230"/>
      <c r="E1" s="230"/>
      <c r="F1" s="230"/>
      <c r="G1" s="230"/>
      <c r="H1" s="230"/>
      <c r="I1" s="231"/>
    </row>
    <row r="2" spans="1:12" ht="15.75" x14ac:dyDescent="0.25">
      <c r="A2" s="255" t="s">
        <v>180</v>
      </c>
      <c r="B2" s="255"/>
      <c r="C2" s="255"/>
      <c r="D2" s="255"/>
      <c r="E2" s="255"/>
      <c r="F2" s="255"/>
      <c r="G2" s="255"/>
      <c r="H2" s="255"/>
      <c r="I2" s="255"/>
    </row>
    <row r="3" spans="1:12" ht="15.75" x14ac:dyDescent="0.25">
      <c r="A3" s="255" t="s">
        <v>181</v>
      </c>
      <c r="B3" s="255"/>
      <c r="C3" s="255"/>
      <c r="D3" s="255"/>
      <c r="E3" s="255"/>
      <c r="F3" s="255"/>
      <c r="G3" s="255"/>
      <c r="H3" s="255"/>
      <c r="I3" s="255"/>
    </row>
    <row r="4" spans="1:12" ht="15.75" x14ac:dyDescent="0.25">
      <c r="A4" s="255" t="s">
        <v>182</v>
      </c>
      <c r="B4" s="255"/>
      <c r="C4" s="255"/>
      <c r="D4" s="255"/>
      <c r="E4" s="255"/>
      <c r="F4" s="255"/>
      <c r="G4" s="255"/>
      <c r="H4" s="255"/>
      <c r="I4" s="255"/>
    </row>
    <row r="5" spans="1:12" ht="15.75" x14ac:dyDescent="0.25">
      <c r="A5" s="255" t="s">
        <v>183</v>
      </c>
      <c r="B5" s="255"/>
      <c r="C5" s="255"/>
      <c r="D5" s="255"/>
      <c r="E5" s="255"/>
      <c r="F5" s="255"/>
      <c r="G5" s="255"/>
      <c r="H5" s="255"/>
      <c r="I5" s="255"/>
    </row>
    <row r="6" spans="1:12" ht="15.75" x14ac:dyDescent="0.25">
      <c r="A6" s="255" t="s">
        <v>184</v>
      </c>
      <c r="B6" s="255"/>
      <c r="C6" s="255"/>
      <c r="D6" s="255"/>
      <c r="E6" s="255"/>
      <c r="F6" s="255"/>
      <c r="G6" s="255"/>
      <c r="H6" s="255"/>
      <c r="I6" s="255"/>
    </row>
    <row r="7" spans="1:12" ht="15.75" x14ac:dyDescent="0.25">
      <c r="A7" s="232"/>
      <c r="B7" s="232"/>
      <c r="C7" s="232"/>
      <c r="D7" s="232"/>
      <c r="E7" s="232"/>
      <c r="F7" s="232"/>
      <c r="G7" s="232"/>
      <c r="H7" s="232"/>
      <c r="I7" s="232"/>
    </row>
    <row r="8" spans="1:12" ht="15.75" x14ac:dyDescent="0.25">
      <c r="A8" s="254" t="s">
        <v>185</v>
      </c>
      <c r="B8" s="254"/>
      <c r="C8" s="254"/>
      <c r="D8" s="254"/>
      <c r="E8" s="254"/>
      <c r="F8" s="254"/>
      <c r="G8" s="254"/>
      <c r="H8" s="254"/>
      <c r="I8" s="254"/>
      <c r="J8" s="254"/>
    </row>
    <row r="9" spans="1:12" ht="15.75" x14ac:dyDescent="0.25">
      <c r="A9" s="233"/>
      <c r="B9" s="233"/>
      <c r="C9" s="233"/>
      <c r="D9" s="233"/>
      <c r="E9" s="233"/>
      <c r="F9" s="233"/>
      <c r="G9" s="233"/>
      <c r="H9" s="233"/>
      <c r="I9" s="233"/>
    </row>
    <row r="10" spans="1:12" ht="33" customHeight="1" x14ac:dyDescent="0.25">
      <c r="A10" s="234"/>
      <c r="B10" s="235"/>
      <c r="C10" s="235"/>
      <c r="D10" s="237" t="s">
        <v>198</v>
      </c>
      <c r="E10" s="236" t="s">
        <v>186</v>
      </c>
      <c r="F10" s="236" t="s">
        <v>187</v>
      </c>
      <c r="G10" s="237" t="s">
        <v>188</v>
      </c>
      <c r="H10" s="236" t="s">
        <v>134</v>
      </c>
      <c r="I10" s="236" t="s">
        <v>135</v>
      </c>
      <c r="J10" s="236" t="s">
        <v>189</v>
      </c>
    </row>
    <row r="11" spans="1:12" ht="15.75" x14ac:dyDescent="0.25">
      <c r="A11" s="250" t="s">
        <v>190</v>
      </c>
      <c r="B11" s="251"/>
      <c r="C11" s="238"/>
      <c r="D11" s="239"/>
      <c r="E11" s="239"/>
      <c r="F11" s="239"/>
      <c r="G11" s="239"/>
      <c r="H11" s="239"/>
      <c r="I11" s="239"/>
      <c r="J11" s="239"/>
    </row>
    <row r="12" spans="1:12" ht="15.75" x14ac:dyDescent="0.25">
      <c r="A12" s="252"/>
      <c r="B12" s="253"/>
      <c r="C12" s="240" t="s">
        <v>199</v>
      </c>
      <c r="D12" s="241">
        <v>94500</v>
      </c>
      <c r="E12" s="241">
        <v>25000</v>
      </c>
      <c r="F12" s="241">
        <v>31000</v>
      </c>
      <c r="G12" s="241">
        <v>24000</v>
      </c>
      <c r="H12" s="241">
        <v>15000</v>
      </c>
      <c r="I12" s="241">
        <v>5000</v>
      </c>
      <c r="J12" s="241">
        <v>25000</v>
      </c>
      <c r="L12" s="249"/>
    </row>
    <row r="13" spans="1:12" ht="15.75" x14ac:dyDescent="0.25">
      <c r="A13" s="250" t="s">
        <v>191</v>
      </c>
      <c r="B13" s="251"/>
      <c r="C13" s="238"/>
      <c r="D13" s="239"/>
      <c r="E13" s="239"/>
      <c r="F13" s="239"/>
      <c r="G13" s="239"/>
      <c r="H13" s="239"/>
      <c r="I13" s="239"/>
      <c r="J13" s="239"/>
    </row>
    <row r="14" spans="1:12" ht="15.75" x14ac:dyDescent="0.25">
      <c r="A14" s="252"/>
      <c r="B14" s="253"/>
      <c r="C14" s="240" t="s">
        <v>199</v>
      </c>
      <c r="D14" s="241">
        <v>95500</v>
      </c>
      <c r="E14" s="241">
        <v>25000</v>
      </c>
      <c r="F14" s="241">
        <v>31000</v>
      </c>
      <c r="G14" s="241">
        <v>25000</v>
      </c>
      <c r="H14" s="241">
        <v>15000</v>
      </c>
      <c r="I14" s="241">
        <v>5000</v>
      </c>
      <c r="J14" s="241">
        <v>28000</v>
      </c>
      <c r="L14" s="249"/>
    </row>
    <row r="15" spans="1:12" ht="15.75" x14ac:dyDescent="0.25">
      <c r="A15" s="250" t="s">
        <v>192</v>
      </c>
      <c r="B15" s="251"/>
      <c r="C15" s="238"/>
      <c r="D15" s="239"/>
      <c r="E15" s="239"/>
      <c r="F15" s="239"/>
      <c r="G15" s="239"/>
      <c r="H15" s="239"/>
      <c r="I15" s="239"/>
      <c r="J15" s="239"/>
    </row>
    <row r="16" spans="1:12" ht="15.75" x14ac:dyDescent="0.25">
      <c r="A16" s="252"/>
      <c r="B16" s="253"/>
      <c r="C16" s="240" t="s">
        <v>199</v>
      </c>
      <c r="D16" s="241">
        <v>103500</v>
      </c>
      <c r="E16" s="241">
        <v>26000</v>
      </c>
      <c r="F16" s="241">
        <v>36000</v>
      </c>
      <c r="G16" s="241">
        <v>26500</v>
      </c>
      <c r="H16" s="241">
        <v>15500</v>
      </c>
      <c r="I16" s="241">
        <v>6000</v>
      </c>
      <c r="J16" s="241">
        <v>30000</v>
      </c>
      <c r="L16" s="249"/>
    </row>
    <row r="17" spans="1:12" ht="15.75" x14ac:dyDescent="0.25">
      <c r="A17" s="250" t="s">
        <v>193</v>
      </c>
      <c r="B17" s="251"/>
      <c r="C17" s="238"/>
      <c r="D17" s="239"/>
      <c r="E17" s="239"/>
      <c r="F17" s="239"/>
      <c r="G17" s="239"/>
      <c r="H17" s="239"/>
      <c r="I17" s="239"/>
      <c r="J17" s="239"/>
    </row>
    <row r="18" spans="1:12" ht="15.75" x14ac:dyDescent="0.25">
      <c r="A18" s="252"/>
      <c r="B18" s="253"/>
      <c r="C18" s="240" t="s">
        <v>199</v>
      </c>
      <c r="D18" s="241">
        <v>106500</v>
      </c>
      <c r="E18" s="241">
        <v>27000</v>
      </c>
      <c r="F18" s="241">
        <v>36000</v>
      </c>
      <c r="G18" s="241">
        <v>26500</v>
      </c>
      <c r="H18" s="241">
        <v>18000</v>
      </c>
      <c r="I18" s="241">
        <v>6000</v>
      </c>
      <c r="J18" s="241">
        <v>30000</v>
      </c>
      <c r="L18" s="249"/>
    </row>
    <row r="19" spans="1:12" ht="15.75" x14ac:dyDescent="0.25">
      <c r="A19" s="250" t="s">
        <v>194</v>
      </c>
      <c r="B19" s="251"/>
      <c r="C19" s="238"/>
      <c r="D19" s="239"/>
      <c r="E19" s="239"/>
      <c r="F19" s="239"/>
      <c r="G19" s="239"/>
      <c r="H19" s="239"/>
      <c r="I19" s="239"/>
      <c r="J19" s="239"/>
    </row>
    <row r="20" spans="1:12" ht="15.75" x14ac:dyDescent="0.25">
      <c r="A20" s="252"/>
      <c r="B20" s="253"/>
      <c r="C20" s="240" t="s">
        <v>199</v>
      </c>
      <c r="D20" s="241">
        <v>114500</v>
      </c>
      <c r="E20" s="241">
        <v>28000</v>
      </c>
      <c r="F20" s="241">
        <v>37000</v>
      </c>
      <c r="G20" s="241">
        <v>30000</v>
      </c>
      <c r="H20" s="241">
        <v>20000</v>
      </c>
      <c r="I20" s="241">
        <v>6500</v>
      </c>
      <c r="J20" s="241">
        <v>32000</v>
      </c>
      <c r="L20" s="249"/>
    </row>
    <row r="21" spans="1:12" ht="15.75" x14ac:dyDescent="0.25">
      <c r="A21" s="242"/>
      <c r="B21" s="242"/>
      <c r="C21" s="242"/>
      <c r="D21" s="242"/>
      <c r="E21" s="242"/>
      <c r="F21" s="242"/>
      <c r="G21" s="242"/>
      <c r="H21" s="242"/>
      <c r="I21" s="242"/>
    </row>
    <row r="22" spans="1:12" ht="15.75" x14ac:dyDescent="0.25">
      <c r="A22" s="242"/>
      <c r="B22" s="242"/>
      <c r="C22" s="242"/>
      <c r="D22" s="242"/>
      <c r="E22" s="242"/>
      <c r="F22" s="242"/>
      <c r="G22" s="242"/>
      <c r="H22" s="242"/>
      <c r="I22" s="242"/>
    </row>
  </sheetData>
  <mergeCells count="11">
    <mergeCell ref="A8:J8"/>
    <mergeCell ref="A2:I2"/>
    <mergeCell ref="A3:I3"/>
    <mergeCell ref="A4:I4"/>
    <mergeCell ref="A5:I5"/>
    <mergeCell ref="A6:I6"/>
    <mergeCell ref="A11:B12"/>
    <mergeCell ref="A13:B14"/>
    <mergeCell ref="A15:B16"/>
    <mergeCell ref="A17:B18"/>
    <mergeCell ref="A19:B20"/>
  </mergeCells>
  <pageMargins left="0.7" right="0.7" top="0.75" bottom="0.75" header="0.3" footer="0.3"/>
  <pageSetup paperSize="9" scale="6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0"/>
  <sheetViews>
    <sheetView zoomScale="90" zoomScaleNormal="90" workbookViewId="0">
      <selection activeCell="S35" sqref="S35"/>
    </sheetView>
  </sheetViews>
  <sheetFormatPr defaultRowHeight="15" customHeight="1" x14ac:dyDescent="0.25"/>
  <cols>
    <col min="1" max="1" width="63.85546875" style="6" customWidth="1"/>
    <col min="2" max="2" width="17.85546875" style="7" customWidth="1"/>
    <col min="4" max="4" width="12.28515625" customWidth="1"/>
    <col min="8" max="8" width="22.85546875" customWidth="1"/>
    <col min="10" max="10" width="8.42578125" customWidth="1"/>
    <col min="11" max="11" width="11.140625" customWidth="1"/>
    <col min="12" max="12" width="12" customWidth="1"/>
    <col min="13" max="13" width="16.7109375" customWidth="1"/>
    <col min="15" max="15" width="8.85546875" customWidth="1"/>
    <col min="16" max="16" width="12" customWidth="1"/>
  </cols>
  <sheetData>
    <row r="1" spans="1:18" ht="15" customHeight="1" x14ac:dyDescent="0.25">
      <c r="A1" s="256" t="s">
        <v>51</v>
      </c>
      <c r="B1" s="256"/>
      <c r="C1" s="256"/>
      <c r="D1" s="256"/>
      <c r="E1" s="256"/>
      <c r="F1" s="256"/>
      <c r="H1" s="257" t="s">
        <v>124</v>
      </c>
      <c r="I1" s="257"/>
      <c r="J1" s="257"/>
      <c r="K1" s="257"/>
      <c r="L1" s="257"/>
      <c r="M1" s="257"/>
    </row>
    <row r="2" spans="1:18" ht="15" customHeight="1" x14ac:dyDescent="0.25">
      <c r="A2" s="1" t="s">
        <v>103</v>
      </c>
      <c r="B2" s="4" t="s">
        <v>102</v>
      </c>
      <c r="C2" s="4" t="s">
        <v>104</v>
      </c>
      <c r="D2" s="4" t="s">
        <v>105</v>
      </c>
      <c r="E2" s="4" t="s">
        <v>100</v>
      </c>
      <c r="F2" s="4" t="s">
        <v>101</v>
      </c>
      <c r="H2" s="1" t="s">
        <v>103</v>
      </c>
      <c r="I2" s="4" t="s">
        <v>102</v>
      </c>
      <c r="J2" s="4" t="s">
        <v>104</v>
      </c>
      <c r="K2" s="4" t="s">
        <v>105</v>
      </c>
      <c r="L2" s="4" t="s">
        <v>100</v>
      </c>
      <c r="M2" s="4" t="s">
        <v>101</v>
      </c>
      <c r="Q2" t="s">
        <v>100</v>
      </c>
      <c r="R2" t="s">
        <v>101</v>
      </c>
    </row>
    <row r="3" spans="1:18" ht="15" customHeight="1" x14ac:dyDescent="0.25">
      <c r="A3" s="5" t="s">
        <v>0</v>
      </c>
      <c r="B3" s="13">
        <v>806</v>
      </c>
      <c r="C3" s="15"/>
      <c r="D3" s="17">
        <f>B3-(B3/100)*C3</f>
        <v>806</v>
      </c>
      <c r="E3" s="4"/>
      <c r="F3" s="4"/>
      <c r="H3" s="18" t="s">
        <v>52</v>
      </c>
      <c r="I3" s="19">
        <v>190</v>
      </c>
      <c r="J3" s="20">
        <v>35</v>
      </c>
      <c r="K3" s="19">
        <f t="shared" ref="K3:K34" si="0">I3-I3/100*J3</f>
        <v>123.5</v>
      </c>
      <c r="L3" s="21">
        <v>0.95</v>
      </c>
      <c r="M3" s="21">
        <v>1.5</v>
      </c>
    </row>
    <row r="4" spans="1:18" ht="15" customHeight="1" x14ac:dyDescent="0.25">
      <c r="A4" s="5" t="s">
        <v>1</v>
      </c>
      <c r="B4" s="13">
        <v>322</v>
      </c>
      <c r="C4" s="15"/>
      <c r="D4" s="17">
        <f t="shared" ref="D4:D53" si="1">B4-(B4/100)*C4</f>
        <v>322</v>
      </c>
      <c r="E4" s="4"/>
      <c r="F4" s="4"/>
      <c r="H4" s="3" t="s">
        <v>53</v>
      </c>
      <c r="I4" s="22">
        <v>210</v>
      </c>
      <c r="J4" s="20">
        <v>35</v>
      </c>
      <c r="K4" s="19">
        <f t="shared" si="0"/>
        <v>136.5</v>
      </c>
      <c r="L4" s="21">
        <v>1.3</v>
      </c>
      <c r="M4" s="21">
        <v>2</v>
      </c>
    </row>
    <row r="5" spans="1:18" ht="15" customHeight="1" x14ac:dyDescent="0.25">
      <c r="A5" s="5" t="s">
        <v>2</v>
      </c>
      <c r="B5" s="13">
        <v>27</v>
      </c>
      <c r="C5" s="15"/>
      <c r="D5" s="17">
        <f t="shared" si="1"/>
        <v>27</v>
      </c>
      <c r="E5" s="4"/>
      <c r="F5" s="4"/>
      <c r="H5" s="3" t="s">
        <v>54</v>
      </c>
      <c r="I5" s="22">
        <v>265</v>
      </c>
      <c r="J5" s="20">
        <v>35</v>
      </c>
      <c r="K5" s="19">
        <f t="shared" si="0"/>
        <v>172.25</v>
      </c>
      <c r="L5" s="21">
        <v>1.96</v>
      </c>
      <c r="M5" s="21">
        <v>3</v>
      </c>
    </row>
    <row r="6" spans="1:18" ht="15" customHeight="1" x14ac:dyDescent="0.25">
      <c r="A6" s="5" t="s">
        <v>3</v>
      </c>
      <c r="B6" s="13">
        <v>369</v>
      </c>
      <c r="C6" s="15"/>
      <c r="D6" s="17">
        <f t="shared" si="1"/>
        <v>369</v>
      </c>
      <c r="E6" s="4"/>
      <c r="F6" s="4"/>
      <c r="H6" s="3" t="s">
        <v>55</v>
      </c>
      <c r="I6" s="22">
        <v>340</v>
      </c>
      <c r="J6" s="20">
        <v>35</v>
      </c>
      <c r="K6" s="19">
        <f t="shared" si="0"/>
        <v>221</v>
      </c>
      <c r="L6" s="21">
        <v>2.64</v>
      </c>
      <c r="M6" s="21">
        <v>4</v>
      </c>
    </row>
    <row r="7" spans="1:18" ht="15" customHeight="1" x14ac:dyDescent="0.25">
      <c r="A7" s="5" t="s">
        <v>4</v>
      </c>
      <c r="B7" s="13">
        <v>275</v>
      </c>
      <c r="C7" s="15"/>
      <c r="D7" s="17">
        <f t="shared" si="1"/>
        <v>275</v>
      </c>
      <c r="E7" s="4"/>
      <c r="F7" s="4"/>
      <c r="H7" s="3" t="s">
        <v>56</v>
      </c>
      <c r="I7" s="22">
        <v>240</v>
      </c>
      <c r="J7" s="20">
        <v>35</v>
      </c>
      <c r="K7" s="19">
        <f t="shared" si="0"/>
        <v>156</v>
      </c>
      <c r="L7" s="21">
        <v>0.95</v>
      </c>
      <c r="M7" s="21">
        <v>1.5</v>
      </c>
    </row>
    <row r="8" spans="1:18" ht="15" customHeight="1" x14ac:dyDescent="0.25">
      <c r="A8" s="5" t="s">
        <v>5</v>
      </c>
      <c r="B8" s="13">
        <v>403</v>
      </c>
      <c r="C8" s="15"/>
      <c r="D8" s="17">
        <f t="shared" si="1"/>
        <v>403</v>
      </c>
      <c r="E8" s="4"/>
      <c r="F8" s="4"/>
      <c r="H8" s="3" t="s">
        <v>57</v>
      </c>
      <c r="I8" s="22">
        <v>265</v>
      </c>
      <c r="J8" s="20">
        <v>35</v>
      </c>
      <c r="K8" s="19">
        <f t="shared" si="0"/>
        <v>172.25</v>
      </c>
      <c r="L8" s="21">
        <v>1.3</v>
      </c>
      <c r="M8" s="21">
        <v>2</v>
      </c>
    </row>
    <row r="9" spans="1:18" ht="15" customHeight="1" x14ac:dyDescent="0.25">
      <c r="A9" s="5" t="s">
        <v>6</v>
      </c>
      <c r="B9" s="13">
        <v>553</v>
      </c>
      <c r="C9" s="15"/>
      <c r="D9" s="17">
        <f t="shared" si="1"/>
        <v>553</v>
      </c>
      <c r="E9" s="4"/>
      <c r="F9" s="4"/>
      <c r="H9" s="3" t="s">
        <v>58</v>
      </c>
      <c r="I9" s="22">
        <v>350</v>
      </c>
      <c r="J9" s="20">
        <v>35</v>
      </c>
      <c r="K9" s="19">
        <f t="shared" si="0"/>
        <v>227.5</v>
      </c>
      <c r="L9" s="21">
        <v>1.96</v>
      </c>
      <c r="M9" s="21">
        <v>3</v>
      </c>
    </row>
    <row r="10" spans="1:18" ht="15" customHeight="1" x14ac:dyDescent="0.25">
      <c r="A10" s="5" t="s">
        <v>7</v>
      </c>
      <c r="B10" s="13">
        <v>461</v>
      </c>
      <c r="C10" s="15"/>
      <c r="D10" s="17">
        <f t="shared" si="1"/>
        <v>461</v>
      </c>
      <c r="E10" s="4"/>
      <c r="F10" s="4"/>
      <c r="H10" s="3" t="s">
        <v>59</v>
      </c>
      <c r="I10" s="22">
        <v>430</v>
      </c>
      <c r="J10" s="20">
        <v>35</v>
      </c>
      <c r="K10" s="19">
        <f t="shared" si="0"/>
        <v>279.5</v>
      </c>
      <c r="L10" s="21">
        <v>2.64</v>
      </c>
      <c r="M10" s="21">
        <v>4</v>
      </c>
    </row>
    <row r="11" spans="1:18" ht="15" customHeight="1" x14ac:dyDescent="0.25">
      <c r="A11" s="5" t="s">
        <v>8</v>
      </c>
      <c r="B11" s="13">
        <v>335</v>
      </c>
      <c r="C11" s="15"/>
      <c r="D11" s="17">
        <f t="shared" si="1"/>
        <v>335</v>
      </c>
      <c r="E11" s="4"/>
      <c r="F11" s="4"/>
      <c r="H11" s="3" t="s">
        <v>60</v>
      </c>
      <c r="I11" s="22">
        <v>330</v>
      </c>
      <c r="J11" s="20">
        <v>35</v>
      </c>
      <c r="K11" s="19">
        <f t="shared" si="0"/>
        <v>214.5</v>
      </c>
      <c r="L11" s="21">
        <v>1.32</v>
      </c>
      <c r="M11" s="21">
        <v>2</v>
      </c>
      <c r="O11" s="247" t="s">
        <v>195</v>
      </c>
      <c r="P11" s="248" t="s">
        <v>197</v>
      </c>
    </row>
    <row r="12" spans="1:18" ht="15" customHeight="1" x14ac:dyDescent="0.25">
      <c r="A12" s="5" t="s">
        <v>9</v>
      </c>
      <c r="B12" s="13">
        <v>480</v>
      </c>
      <c r="C12" s="15"/>
      <c r="D12" s="17">
        <f t="shared" si="1"/>
        <v>480</v>
      </c>
      <c r="E12" s="4"/>
      <c r="F12" s="4"/>
      <c r="H12" s="3" t="s">
        <v>61</v>
      </c>
      <c r="I12" s="22">
        <v>390</v>
      </c>
      <c r="J12" s="20">
        <v>35</v>
      </c>
      <c r="K12" s="19">
        <f t="shared" si="0"/>
        <v>253.5</v>
      </c>
      <c r="L12" s="21">
        <v>2.02</v>
      </c>
      <c r="M12" s="21">
        <v>3</v>
      </c>
      <c r="O12" s="246"/>
    </row>
    <row r="13" spans="1:18" ht="15" customHeight="1" x14ac:dyDescent="0.25">
      <c r="A13" s="5" t="s">
        <v>10</v>
      </c>
      <c r="B13" s="13">
        <v>335</v>
      </c>
      <c r="C13" s="15"/>
      <c r="D13" s="17">
        <f t="shared" si="1"/>
        <v>335</v>
      </c>
      <c r="E13" s="4"/>
      <c r="F13" s="4"/>
      <c r="H13" s="166" t="s">
        <v>166</v>
      </c>
      <c r="I13" s="22">
        <v>390</v>
      </c>
      <c r="J13" s="20">
        <v>35</v>
      </c>
      <c r="K13" s="170">
        <v>255</v>
      </c>
      <c r="L13" s="21">
        <v>1.23</v>
      </c>
      <c r="M13" s="21">
        <v>2.2999999999999998</v>
      </c>
      <c r="N13" t="s">
        <v>139</v>
      </c>
      <c r="O13" s="229">
        <v>420</v>
      </c>
    </row>
    <row r="14" spans="1:18" ht="15" customHeight="1" x14ac:dyDescent="0.25">
      <c r="A14" s="5" t="s">
        <v>11</v>
      </c>
      <c r="B14" s="13">
        <v>490</v>
      </c>
      <c r="C14" s="15"/>
      <c r="D14" s="17">
        <f t="shared" si="1"/>
        <v>490</v>
      </c>
      <c r="E14" s="4"/>
      <c r="F14" s="4"/>
      <c r="H14" s="166" t="s">
        <v>165</v>
      </c>
      <c r="I14" s="22">
        <v>480</v>
      </c>
      <c r="J14" s="20">
        <v>35</v>
      </c>
      <c r="K14" s="170">
        <v>318</v>
      </c>
      <c r="L14" s="21">
        <v>1.85</v>
      </c>
      <c r="M14" s="21">
        <v>3</v>
      </c>
      <c r="N14" t="s">
        <v>142</v>
      </c>
      <c r="O14" s="229">
        <v>515</v>
      </c>
    </row>
    <row r="15" spans="1:18" ht="15" customHeight="1" x14ac:dyDescent="0.25">
      <c r="A15" s="5" t="s">
        <v>12</v>
      </c>
      <c r="B15" s="13">
        <v>796</v>
      </c>
      <c r="C15" s="15"/>
      <c r="D15" s="17">
        <f t="shared" si="1"/>
        <v>796</v>
      </c>
      <c r="E15" s="4"/>
      <c r="F15" s="4"/>
      <c r="H15" s="3" t="s">
        <v>64</v>
      </c>
      <c r="I15" s="22">
        <v>570</v>
      </c>
      <c r="J15" s="20">
        <v>35</v>
      </c>
      <c r="K15" s="19">
        <f t="shared" si="0"/>
        <v>370.5</v>
      </c>
      <c r="L15" s="21">
        <v>2.34</v>
      </c>
      <c r="M15" s="21">
        <v>4</v>
      </c>
      <c r="O15" s="246"/>
    </row>
    <row r="16" spans="1:18" ht="15" customHeight="1" x14ac:dyDescent="0.25">
      <c r="A16" s="5" t="s">
        <v>13</v>
      </c>
      <c r="B16" s="13">
        <v>576</v>
      </c>
      <c r="C16" s="15"/>
      <c r="D16" s="17">
        <f t="shared" si="1"/>
        <v>576</v>
      </c>
      <c r="E16" s="4"/>
      <c r="F16" s="4"/>
      <c r="H16" s="3" t="s">
        <v>65</v>
      </c>
      <c r="I16" s="22">
        <v>430</v>
      </c>
      <c r="J16" s="20">
        <v>35</v>
      </c>
      <c r="K16" s="19">
        <f t="shared" si="0"/>
        <v>279.5</v>
      </c>
      <c r="L16" s="21">
        <v>0.9</v>
      </c>
      <c r="M16" s="21">
        <v>2.2999999999999998</v>
      </c>
      <c r="O16" s="246"/>
    </row>
    <row r="17" spans="1:20" ht="15" customHeight="1" x14ac:dyDescent="0.25">
      <c r="A17" s="5" t="s">
        <v>14</v>
      </c>
      <c r="B17" s="13">
        <v>289</v>
      </c>
      <c r="C17" s="15"/>
      <c r="D17" s="17">
        <f t="shared" si="1"/>
        <v>289</v>
      </c>
      <c r="E17" s="4"/>
      <c r="F17" s="4"/>
      <c r="H17" s="3" t="s">
        <v>66</v>
      </c>
      <c r="I17" s="22">
        <v>495</v>
      </c>
      <c r="J17" s="20">
        <v>35</v>
      </c>
      <c r="K17" s="19">
        <f t="shared" si="0"/>
        <v>321.75</v>
      </c>
      <c r="L17" s="21">
        <v>1.19</v>
      </c>
      <c r="M17" s="21">
        <v>3</v>
      </c>
      <c r="O17" s="246"/>
    </row>
    <row r="18" spans="1:20" ht="15" customHeight="1" x14ac:dyDescent="0.25">
      <c r="A18" s="5" t="s">
        <v>15</v>
      </c>
      <c r="B18" s="13">
        <v>404</v>
      </c>
      <c r="C18" s="15"/>
      <c r="D18" s="17">
        <f t="shared" si="1"/>
        <v>404</v>
      </c>
      <c r="E18" s="4"/>
      <c r="F18" s="4"/>
      <c r="H18" s="166" t="s">
        <v>67</v>
      </c>
      <c r="I18" s="22">
        <v>495</v>
      </c>
      <c r="J18" s="20">
        <v>35</v>
      </c>
      <c r="K18" s="170">
        <v>338</v>
      </c>
      <c r="L18" s="21">
        <v>0.9</v>
      </c>
      <c r="M18" s="21">
        <v>2.2999999999999998</v>
      </c>
      <c r="O18" s="229">
        <v>510</v>
      </c>
    </row>
    <row r="19" spans="1:20" ht="15" customHeight="1" x14ac:dyDescent="0.25">
      <c r="A19" s="5" t="s">
        <v>16</v>
      </c>
      <c r="B19" s="13">
        <v>505</v>
      </c>
      <c r="C19" s="15"/>
      <c r="D19" s="17">
        <f t="shared" si="1"/>
        <v>505</v>
      </c>
      <c r="E19" s="4"/>
      <c r="F19" s="4"/>
      <c r="H19" s="3" t="s">
        <v>68</v>
      </c>
      <c r="I19" s="22">
        <v>550</v>
      </c>
      <c r="J19" s="20">
        <v>35</v>
      </c>
      <c r="K19" s="19">
        <f t="shared" si="0"/>
        <v>357.5</v>
      </c>
      <c r="L19" s="21">
        <v>2.5</v>
      </c>
      <c r="M19" s="21">
        <v>8</v>
      </c>
      <c r="O19" s="246"/>
    </row>
    <row r="20" spans="1:20" ht="15" customHeight="1" x14ac:dyDescent="0.25">
      <c r="A20" s="5" t="s">
        <v>17</v>
      </c>
      <c r="B20" s="13">
        <v>311</v>
      </c>
      <c r="C20" s="15"/>
      <c r="D20" s="17">
        <f t="shared" si="1"/>
        <v>311</v>
      </c>
      <c r="E20" s="4"/>
      <c r="F20" s="4"/>
      <c r="H20" s="166" t="s">
        <v>69</v>
      </c>
      <c r="I20" s="22">
        <v>580</v>
      </c>
      <c r="J20" s="20">
        <v>35</v>
      </c>
      <c r="K20" s="170">
        <v>398</v>
      </c>
      <c r="L20" s="21">
        <v>1.19</v>
      </c>
      <c r="M20" s="21">
        <v>3</v>
      </c>
      <c r="O20" s="229">
        <v>600</v>
      </c>
    </row>
    <row r="21" spans="1:20" ht="15" customHeight="1" x14ac:dyDescent="0.25">
      <c r="A21" s="5" t="s">
        <v>18</v>
      </c>
      <c r="B21" s="13">
        <v>498</v>
      </c>
      <c r="C21" s="15"/>
      <c r="D21" s="17">
        <f t="shared" si="1"/>
        <v>498</v>
      </c>
      <c r="E21" s="4"/>
      <c r="F21" s="4"/>
      <c r="H21" s="166" t="s">
        <v>70</v>
      </c>
      <c r="I21" s="22">
        <v>660</v>
      </c>
      <c r="J21" s="20">
        <v>35</v>
      </c>
      <c r="K21" s="170">
        <v>469</v>
      </c>
      <c r="L21" s="21">
        <v>2.4</v>
      </c>
      <c r="M21" s="21">
        <v>4.2</v>
      </c>
      <c r="O21" s="229">
        <v>745</v>
      </c>
    </row>
    <row r="22" spans="1:20" ht="15" customHeight="1" x14ac:dyDescent="0.25">
      <c r="A22" s="5" t="s">
        <v>19</v>
      </c>
      <c r="B22" s="13">
        <v>530</v>
      </c>
      <c r="C22" s="15"/>
      <c r="D22" s="17">
        <f t="shared" si="1"/>
        <v>530</v>
      </c>
      <c r="E22" s="4"/>
      <c r="F22" s="4"/>
      <c r="H22" s="166" t="s">
        <v>71</v>
      </c>
      <c r="I22" s="22">
        <v>690</v>
      </c>
      <c r="J22" s="20">
        <v>35</v>
      </c>
      <c r="K22" s="170">
        <v>487</v>
      </c>
      <c r="L22" s="21">
        <v>2.25</v>
      </c>
      <c r="M22" s="21">
        <v>3.5</v>
      </c>
      <c r="O22" s="229">
        <v>775</v>
      </c>
    </row>
    <row r="23" spans="1:20" ht="15" customHeight="1" x14ac:dyDescent="0.25">
      <c r="A23" s="5" t="s">
        <v>20</v>
      </c>
      <c r="B23" s="13">
        <v>278</v>
      </c>
      <c r="C23" s="15"/>
      <c r="D23" s="17">
        <f t="shared" si="1"/>
        <v>278</v>
      </c>
      <c r="E23" s="4"/>
      <c r="F23" s="4"/>
      <c r="H23" s="3" t="s">
        <v>72</v>
      </c>
      <c r="I23" s="22">
        <v>775</v>
      </c>
      <c r="J23" s="20">
        <v>35</v>
      </c>
      <c r="K23" s="19">
        <f t="shared" si="0"/>
        <v>503.75</v>
      </c>
      <c r="L23" s="21">
        <v>3.37</v>
      </c>
      <c r="M23" s="21"/>
      <c r="O23" s="246"/>
    </row>
    <row r="24" spans="1:20" ht="15" customHeight="1" x14ac:dyDescent="0.25">
      <c r="A24" s="5" t="s">
        <v>21</v>
      </c>
      <c r="B24" s="13">
        <v>335</v>
      </c>
      <c r="C24" s="15"/>
      <c r="D24" s="17">
        <f t="shared" si="1"/>
        <v>335</v>
      </c>
      <c r="E24" s="4"/>
      <c r="F24" s="4"/>
      <c r="H24" s="3" t="s">
        <v>73</v>
      </c>
      <c r="I24" s="22">
        <v>300</v>
      </c>
      <c r="J24" s="20">
        <v>35</v>
      </c>
      <c r="K24" s="19">
        <f t="shared" si="0"/>
        <v>195</v>
      </c>
      <c r="L24" s="2"/>
      <c r="M24" s="2"/>
      <c r="O24" s="246"/>
    </row>
    <row r="25" spans="1:20" ht="15" customHeight="1" x14ac:dyDescent="0.25">
      <c r="A25" s="5" t="s">
        <v>22</v>
      </c>
      <c r="B25" s="13">
        <v>404</v>
      </c>
      <c r="C25" s="15"/>
      <c r="D25" s="17">
        <f t="shared" si="1"/>
        <v>404</v>
      </c>
      <c r="E25" s="4"/>
      <c r="F25" s="4"/>
      <c r="H25" s="3" t="s">
        <v>74</v>
      </c>
      <c r="I25" s="22">
        <v>245</v>
      </c>
      <c r="J25" s="20">
        <v>35</v>
      </c>
      <c r="K25" s="19">
        <f t="shared" si="0"/>
        <v>159.25</v>
      </c>
      <c r="L25" s="2"/>
      <c r="M25" s="2"/>
      <c r="O25" s="246"/>
    </row>
    <row r="26" spans="1:20" ht="15" customHeight="1" x14ac:dyDescent="0.25">
      <c r="A26" s="5" t="s">
        <v>23</v>
      </c>
      <c r="B26" s="13">
        <v>323</v>
      </c>
      <c r="C26" s="15"/>
      <c r="D26" s="17">
        <f t="shared" si="1"/>
        <v>323</v>
      </c>
      <c r="E26" s="4"/>
      <c r="F26" s="4"/>
      <c r="H26" s="3" t="s">
        <v>75</v>
      </c>
      <c r="I26" s="22">
        <v>330</v>
      </c>
      <c r="J26" s="20">
        <v>35</v>
      </c>
      <c r="K26" s="19">
        <f t="shared" si="0"/>
        <v>214.5</v>
      </c>
      <c r="L26" s="2"/>
      <c r="M26" s="2"/>
      <c r="O26" s="246"/>
    </row>
    <row r="27" spans="1:20" ht="15" customHeight="1" x14ac:dyDescent="0.25">
      <c r="A27" s="5" t="s">
        <v>24</v>
      </c>
      <c r="B27" s="13">
        <v>328</v>
      </c>
      <c r="C27" s="15"/>
      <c r="D27" s="17">
        <f t="shared" si="1"/>
        <v>328</v>
      </c>
      <c r="E27" s="4"/>
      <c r="F27" s="4"/>
      <c r="H27" s="3" t="s">
        <v>76</v>
      </c>
      <c r="I27" s="22">
        <v>280</v>
      </c>
      <c r="J27" s="20">
        <v>35</v>
      </c>
      <c r="K27" s="19">
        <f t="shared" si="0"/>
        <v>182</v>
      </c>
      <c r="L27" s="2"/>
      <c r="M27" s="2"/>
      <c r="O27" s="246"/>
      <c r="T27">
        <v>30</v>
      </c>
    </row>
    <row r="28" spans="1:20" ht="15" customHeight="1" x14ac:dyDescent="0.25">
      <c r="A28" s="5" t="s">
        <v>25</v>
      </c>
      <c r="B28" s="13">
        <v>357</v>
      </c>
      <c r="C28" s="15"/>
      <c r="D28" s="17">
        <f t="shared" si="1"/>
        <v>357</v>
      </c>
      <c r="E28" s="4"/>
      <c r="F28" s="4"/>
      <c r="H28" s="166" t="s">
        <v>77</v>
      </c>
      <c r="I28" s="22">
        <v>275</v>
      </c>
      <c r="J28" s="20">
        <v>35</v>
      </c>
      <c r="K28" s="170">
        <v>166</v>
      </c>
      <c r="L28" s="21">
        <v>0.6</v>
      </c>
      <c r="M28" s="21">
        <v>6</v>
      </c>
      <c r="O28" s="229">
        <v>300</v>
      </c>
    </row>
    <row r="29" spans="1:20" ht="15" customHeight="1" x14ac:dyDescent="0.25">
      <c r="A29" s="5" t="s">
        <v>26</v>
      </c>
      <c r="B29" s="13">
        <v>553</v>
      </c>
      <c r="C29" s="15"/>
      <c r="D29" s="17">
        <f t="shared" si="1"/>
        <v>553</v>
      </c>
      <c r="E29" s="4"/>
      <c r="F29" s="4"/>
      <c r="H29" s="3" t="s">
        <v>78</v>
      </c>
      <c r="I29" s="22">
        <v>350</v>
      </c>
      <c r="J29" s="20">
        <v>35</v>
      </c>
      <c r="K29" s="19">
        <f t="shared" si="0"/>
        <v>227.5</v>
      </c>
      <c r="L29" s="21">
        <v>0.42</v>
      </c>
      <c r="M29" s="21">
        <v>4</v>
      </c>
      <c r="O29" s="246"/>
    </row>
    <row r="30" spans="1:20" ht="15" customHeight="1" x14ac:dyDescent="0.25">
      <c r="A30" s="5" t="s">
        <v>27</v>
      </c>
      <c r="B30" s="13">
        <v>404</v>
      </c>
      <c r="C30" s="15"/>
      <c r="D30" s="17">
        <f t="shared" si="1"/>
        <v>404</v>
      </c>
      <c r="E30" s="4"/>
      <c r="F30" s="4"/>
      <c r="H30" s="3" t="s">
        <v>79</v>
      </c>
      <c r="I30" s="22">
        <v>400</v>
      </c>
      <c r="J30" s="20">
        <v>35</v>
      </c>
      <c r="K30" s="19">
        <f t="shared" si="0"/>
        <v>260</v>
      </c>
      <c r="L30" s="21">
        <v>0.21</v>
      </c>
      <c r="M30" s="21">
        <v>5</v>
      </c>
      <c r="O30" s="246"/>
    </row>
    <row r="31" spans="1:20" ht="15" customHeight="1" x14ac:dyDescent="0.25">
      <c r="A31" s="5" t="s">
        <v>28</v>
      </c>
      <c r="B31" s="13">
        <v>490</v>
      </c>
      <c r="C31" s="15"/>
      <c r="D31" s="17">
        <f t="shared" si="1"/>
        <v>490</v>
      </c>
      <c r="E31" s="4"/>
      <c r="F31" s="4"/>
      <c r="H31" s="166" t="s">
        <v>80</v>
      </c>
      <c r="I31" s="22">
        <v>440</v>
      </c>
      <c r="J31" s="20">
        <v>35</v>
      </c>
      <c r="K31" s="170">
        <v>312</v>
      </c>
      <c r="L31" s="21">
        <v>0.64</v>
      </c>
      <c r="M31" s="21">
        <v>4.5</v>
      </c>
      <c r="O31" s="229">
        <v>470</v>
      </c>
    </row>
    <row r="32" spans="1:20" ht="15" customHeight="1" x14ac:dyDescent="0.25">
      <c r="A32" s="5" t="s">
        <v>29</v>
      </c>
      <c r="B32" s="13">
        <v>265</v>
      </c>
      <c r="C32" s="15"/>
      <c r="D32" s="17">
        <f t="shared" si="1"/>
        <v>265</v>
      </c>
      <c r="E32" s="4"/>
      <c r="F32" s="4"/>
      <c r="H32" s="3" t="s">
        <v>81</v>
      </c>
      <c r="I32" s="22">
        <v>450</v>
      </c>
      <c r="J32" s="20">
        <v>35</v>
      </c>
      <c r="K32" s="19">
        <f t="shared" si="0"/>
        <v>292.5</v>
      </c>
      <c r="L32" s="21">
        <v>0.24</v>
      </c>
      <c r="M32" s="21">
        <v>5</v>
      </c>
      <c r="O32" s="246"/>
    </row>
    <row r="33" spans="1:15" ht="15" customHeight="1" x14ac:dyDescent="0.25">
      <c r="A33" s="5" t="s">
        <v>30</v>
      </c>
      <c r="B33" s="13">
        <v>311</v>
      </c>
      <c r="C33" s="15"/>
      <c r="D33" s="17">
        <f t="shared" si="1"/>
        <v>311</v>
      </c>
      <c r="E33" s="4"/>
      <c r="F33" s="4"/>
      <c r="H33" s="3" t="s">
        <v>82</v>
      </c>
      <c r="I33" s="22">
        <v>460</v>
      </c>
      <c r="J33" s="20">
        <v>35</v>
      </c>
      <c r="K33" s="19">
        <f t="shared" si="0"/>
        <v>299</v>
      </c>
      <c r="L33" s="21">
        <v>0.43</v>
      </c>
      <c r="M33" s="21">
        <v>10</v>
      </c>
      <c r="O33" s="246"/>
    </row>
    <row r="34" spans="1:15" ht="15" customHeight="1" x14ac:dyDescent="0.25">
      <c r="A34" s="5" t="s">
        <v>31</v>
      </c>
      <c r="B34" s="13">
        <v>363</v>
      </c>
      <c r="C34" s="15"/>
      <c r="D34" s="17">
        <f t="shared" si="1"/>
        <v>363</v>
      </c>
      <c r="E34" s="4"/>
      <c r="F34" s="4"/>
      <c r="H34" s="3" t="s">
        <v>83</v>
      </c>
      <c r="I34" s="22">
        <v>490</v>
      </c>
      <c r="J34" s="20">
        <v>35</v>
      </c>
      <c r="K34" s="19">
        <f t="shared" si="0"/>
        <v>318.5</v>
      </c>
      <c r="L34" s="21"/>
      <c r="M34" s="21">
        <v>18</v>
      </c>
      <c r="O34" s="246"/>
    </row>
    <row r="35" spans="1:15" ht="15" customHeight="1" x14ac:dyDescent="0.25">
      <c r="A35" s="5" t="s">
        <v>32</v>
      </c>
      <c r="B35" s="13">
        <v>289</v>
      </c>
      <c r="C35" s="15"/>
      <c r="D35" s="17">
        <f t="shared" si="1"/>
        <v>289</v>
      </c>
      <c r="E35" s="4"/>
      <c r="F35" s="4"/>
      <c r="H35" s="3" t="s">
        <v>84</v>
      </c>
      <c r="I35" s="22">
        <v>500</v>
      </c>
      <c r="J35" s="20">
        <v>35</v>
      </c>
      <c r="K35" s="19">
        <f t="shared" ref="K35:K52" si="2">I35-I35/100*J35</f>
        <v>325</v>
      </c>
      <c r="L35" s="21">
        <v>0.76</v>
      </c>
      <c r="M35" s="21">
        <v>8</v>
      </c>
      <c r="O35" s="246"/>
    </row>
    <row r="36" spans="1:15" ht="15" customHeight="1" x14ac:dyDescent="0.25">
      <c r="A36" s="5" t="s">
        <v>33</v>
      </c>
      <c r="B36" s="13">
        <v>26</v>
      </c>
      <c r="C36" s="15"/>
      <c r="D36" s="17">
        <f t="shared" si="1"/>
        <v>26</v>
      </c>
      <c r="E36" s="4"/>
      <c r="F36" s="4"/>
      <c r="H36" s="3" t="s">
        <v>85</v>
      </c>
      <c r="I36" s="22">
        <v>520</v>
      </c>
      <c r="J36" s="20">
        <v>35</v>
      </c>
      <c r="K36" s="19">
        <f t="shared" si="2"/>
        <v>338</v>
      </c>
      <c r="L36" s="21">
        <v>0.28999999999999998</v>
      </c>
      <c r="M36" s="21">
        <v>5</v>
      </c>
      <c r="O36" s="246"/>
    </row>
    <row r="37" spans="1:15" ht="15" customHeight="1" x14ac:dyDescent="0.25">
      <c r="A37" s="5" t="s">
        <v>34</v>
      </c>
      <c r="B37" s="13">
        <v>26</v>
      </c>
      <c r="C37" s="15"/>
      <c r="D37" s="17">
        <f t="shared" si="1"/>
        <v>26</v>
      </c>
      <c r="E37" s="4"/>
      <c r="F37" s="4"/>
      <c r="H37" s="3" t="s">
        <v>86</v>
      </c>
      <c r="I37" s="22">
        <v>520</v>
      </c>
      <c r="J37" s="20">
        <v>35</v>
      </c>
      <c r="K37" s="19">
        <f t="shared" si="2"/>
        <v>338</v>
      </c>
      <c r="L37" s="21">
        <v>0.34</v>
      </c>
      <c r="M37" s="21">
        <v>15</v>
      </c>
      <c r="O37" s="246"/>
    </row>
    <row r="38" spans="1:15" ht="15" customHeight="1" x14ac:dyDescent="0.25">
      <c r="A38" s="5" t="s">
        <v>35</v>
      </c>
      <c r="B38" s="13">
        <v>26</v>
      </c>
      <c r="C38" s="15"/>
      <c r="D38" s="17">
        <f t="shared" si="1"/>
        <v>26</v>
      </c>
      <c r="E38" s="4"/>
      <c r="F38" s="4"/>
      <c r="H38" s="166" t="s">
        <v>87</v>
      </c>
      <c r="I38" s="22">
        <v>550</v>
      </c>
      <c r="J38" s="20">
        <v>35</v>
      </c>
      <c r="K38" s="170">
        <v>378</v>
      </c>
      <c r="L38" s="21">
        <v>1.2</v>
      </c>
      <c r="M38" s="21">
        <v>6</v>
      </c>
      <c r="O38" s="229">
        <v>600</v>
      </c>
    </row>
    <row r="39" spans="1:15" ht="15" customHeight="1" x14ac:dyDescent="0.25">
      <c r="A39" s="5" t="s">
        <v>36</v>
      </c>
      <c r="B39" s="13">
        <v>311</v>
      </c>
      <c r="C39" s="15"/>
      <c r="D39" s="17">
        <f t="shared" si="1"/>
        <v>311</v>
      </c>
      <c r="E39" s="4"/>
      <c r="F39" s="4"/>
      <c r="H39" s="166" t="s">
        <v>88</v>
      </c>
      <c r="I39" s="22">
        <v>580</v>
      </c>
      <c r="J39" s="20">
        <v>35</v>
      </c>
      <c r="K39" s="170">
        <v>388</v>
      </c>
      <c r="L39" s="21">
        <v>1.8</v>
      </c>
      <c r="M39" s="21">
        <v>7</v>
      </c>
      <c r="O39" s="229">
        <v>635</v>
      </c>
    </row>
    <row r="40" spans="1:15" ht="15" customHeight="1" x14ac:dyDescent="0.25">
      <c r="A40" s="5" t="s">
        <v>37</v>
      </c>
      <c r="B40" s="13">
        <v>126</v>
      </c>
      <c r="C40" s="15"/>
      <c r="D40" s="17">
        <f t="shared" si="1"/>
        <v>126</v>
      </c>
      <c r="E40" s="4"/>
      <c r="F40" s="4"/>
      <c r="H40" s="166" t="s">
        <v>89</v>
      </c>
      <c r="I40" s="22">
        <v>580</v>
      </c>
      <c r="J40" s="20">
        <v>35</v>
      </c>
      <c r="K40" s="170">
        <v>400</v>
      </c>
      <c r="L40" s="21">
        <v>1.1499999999999999</v>
      </c>
      <c r="M40" s="21">
        <v>4.5</v>
      </c>
      <c r="O40" s="229">
        <v>655</v>
      </c>
    </row>
    <row r="41" spans="1:15" ht="15" customHeight="1" x14ac:dyDescent="0.25">
      <c r="A41" s="5" t="s">
        <v>38</v>
      </c>
      <c r="B41" s="13">
        <v>138</v>
      </c>
      <c r="C41" s="15"/>
      <c r="D41" s="17">
        <f t="shared" si="1"/>
        <v>138</v>
      </c>
      <c r="E41" s="4"/>
      <c r="F41" s="4"/>
      <c r="H41" s="3" t="s">
        <v>90</v>
      </c>
      <c r="I41" s="22">
        <v>650</v>
      </c>
      <c r="J41" s="20">
        <v>35</v>
      </c>
      <c r="K41" s="19">
        <f t="shared" si="2"/>
        <v>422.5</v>
      </c>
      <c r="L41" s="21">
        <v>0.37</v>
      </c>
      <c r="M41" s="21">
        <v>6</v>
      </c>
      <c r="O41" s="246"/>
    </row>
    <row r="42" spans="1:15" ht="15" customHeight="1" x14ac:dyDescent="0.25">
      <c r="A42" s="5" t="s">
        <v>39</v>
      </c>
      <c r="B42" s="13">
        <v>173</v>
      </c>
      <c r="C42" s="15"/>
      <c r="D42" s="17">
        <f t="shared" si="1"/>
        <v>173</v>
      </c>
      <c r="E42" s="4"/>
      <c r="F42" s="4"/>
      <c r="H42" s="166" t="s">
        <v>91</v>
      </c>
      <c r="I42" s="22">
        <v>700</v>
      </c>
      <c r="J42" s="20">
        <v>35</v>
      </c>
      <c r="K42" s="170">
        <v>448</v>
      </c>
      <c r="L42" s="21">
        <v>0.19</v>
      </c>
      <c r="M42" s="21">
        <v>3</v>
      </c>
      <c r="O42" s="229">
        <v>725</v>
      </c>
    </row>
    <row r="43" spans="1:15" ht="15" customHeight="1" x14ac:dyDescent="0.25">
      <c r="A43" s="5" t="s">
        <v>40</v>
      </c>
      <c r="B43" s="13">
        <v>202</v>
      </c>
      <c r="C43" s="15"/>
      <c r="D43" s="17">
        <f t="shared" si="1"/>
        <v>202</v>
      </c>
      <c r="E43" s="4"/>
      <c r="F43" s="4"/>
      <c r="H43" s="3" t="s">
        <v>92</v>
      </c>
      <c r="I43" s="22">
        <v>720</v>
      </c>
      <c r="J43" s="20">
        <v>35</v>
      </c>
      <c r="K43" s="19">
        <f t="shared" si="2"/>
        <v>468</v>
      </c>
      <c r="L43" s="21">
        <v>0.35</v>
      </c>
      <c r="M43" s="21">
        <v>10</v>
      </c>
      <c r="O43" s="246"/>
    </row>
    <row r="44" spans="1:15" ht="15" customHeight="1" x14ac:dyDescent="0.25">
      <c r="A44" s="5" t="s">
        <v>41</v>
      </c>
      <c r="B44" s="13">
        <v>196</v>
      </c>
      <c r="C44" s="15"/>
      <c r="D44" s="17">
        <f t="shared" si="1"/>
        <v>196</v>
      </c>
      <c r="E44" s="4"/>
      <c r="F44" s="4"/>
      <c r="H44" s="3" t="s">
        <v>93</v>
      </c>
      <c r="I44" s="22">
        <v>800</v>
      </c>
      <c r="J44" s="20">
        <v>35</v>
      </c>
      <c r="K44" s="19">
        <f t="shared" si="2"/>
        <v>520</v>
      </c>
      <c r="L44" s="21">
        <v>0.4</v>
      </c>
      <c r="M44" s="21">
        <v>10</v>
      </c>
      <c r="O44" s="246"/>
    </row>
    <row r="45" spans="1:15" ht="15" customHeight="1" x14ac:dyDescent="0.25">
      <c r="A45" s="5" t="s">
        <v>42</v>
      </c>
      <c r="B45" s="13">
        <v>213</v>
      </c>
      <c r="C45" s="15"/>
      <c r="D45" s="17">
        <f t="shared" si="1"/>
        <v>213</v>
      </c>
      <c r="E45" s="4"/>
      <c r="F45" s="4"/>
      <c r="H45" s="3" t="s">
        <v>94</v>
      </c>
      <c r="I45" s="22">
        <v>900</v>
      </c>
      <c r="J45" s="20">
        <v>35</v>
      </c>
      <c r="K45" s="19">
        <f t="shared" si="2"/>
        <v>585</v>
      </c>
      <c r="L45" s="21"/>
      <c r="M45" s="21">
        <v>10</v>
      </c>
      <c r="O45" s="246"/>
    </row>
    <row r="46" spans="1:15" ht="15" customHeight="1" x14ac:dyDescent="0.25">
      <c r="A46" s="5" t="s">
        <v>43</v>
      </c>
      <c r="B46" s="13">
        <v>254</v>
      </c>
      <c r="C46" s="15"/>
      <c r="D46" s="17">
        <f t="shared" si="1"/>
        <v>254</v>
      </c>
      <c r="E46" s="4"/>
      <c r="F46" s="4"/>
      <c r="H46" s="166" t="s">
        <v>95</v>
      </c>
      <c r="I46" s="22">
        <v>900</v>
      </c>
      <c r="J46" s="20">
        <v>35</v>
      </c>
      <c r="K46" s="170">
        <v>552</v>
      </c>
      <c r="L46" s="21">
        <v>2.6</v>
      </c>
      <c r="M46" s="21">
        <v>8</v>
      </c>
      <c r="O46" s="229">
        <v>960</v>
      </c>
    </row>
    <row r="47" spans="1:15" ht="15" customHeight="1" x14ac:dyDescent="0.25">
      <c r="A47" s="5" t="s">
        <v>44</v>
      </c>
      <c r="B47" s="13">
        <v>294</v>
      </c>
      <c r="C47" s="15"/>
      <c r="D47" s="17">
        <f t="shared" si="1"/>
        <v>294</v>
      </c>
      <c r="E47" s="4"/>
      <c r="F47" s="4"/>
      <c r="H47" s="166" t="s">
        <v>123</v>
      </c>
      <c r="I47" s="22">
        <v>920</v>
      </c>
      <c r="J47" s="20">
        <v>35</v>
      </c>
      <c r="K47" s="170">
        <v>624</v>
      </c>
      <c r="L47" s="21">
        <v>0.39</v>
      </c>
      <c r="M47" s="21">
        <v>15</v>
      </c>
      <c r="O47" s="229">
        <v>1040</v>
      </c>
    </row>
    <row r="48" spans="1:15" ht="15" customHeight="1" x14ac:dyDescent="0.25">
      <c r="A48" s="5" t="s">
        <v>45</v>
      </c>
      <c r="B48" s="13">
        <v>159</v>
      </c>
      <c r="C48" s="15"/>
      <c r="D48" s="17">
        <f t="shared" si="1"/>
        <v>159</v>
      </c>
      <c r="E48" s="4"/>
      <c r="F48" s="4"/>
      <c r="H48" s="166" t="s">
        <v>96</v>
      </c>
      <c r="I48" s="22">
        <v>990</v>
      </c>
      <c r="J48" s="20">
        <v>35</v>
      </c>
      <c r="K48" s="170">
        <v>447</v>
      </c>
      <c r="L48" s="21">
        <v>0.78</v>
      </c>
      <c r="M48" s="21">
        <v>0.78</v>
      </c>
      <c r="O48" s="229">
        <v>780</v>
      </c>
    </row>
    <row r="49" spans="1:15" ht="15" customHeight="1" x14ac:dyDescent="0.25">
      <c r="A49" s="5" t="s">
        <v>46</v>
      </c>
      <c r="B49" s="13">
        <v>179</v>
      </c>
      <c r="C49" s="15"/>
      <c r="D49" s="17">
        <f t="shared" si="1"/>
        <v>179</v>
      </c>
      <c r="E49" s="4"/>
      <c r="F49" s="4"/>
      <c r="H49" s="166" t="s">
        <v>97</v>
      </c>
      <c r="I49" s="22">
        <v>1100</v>
      </c>
      <c r="J49" s="20">
        <v>35</v>
      </c>
      <c r="K49" s="170">
        <v>730</v>
      </c>
      <c r="L49" s="21">
        <v>0.37</v>
      </c>
      <c r="M49" s="21">
        <v>6</v>
      </c>
      <c r="O49" s="229">
        <v>1130</v>
      </c>
    </row>
    <row r="50" spans="1:15" ht="15" customHeight="1" x14ac:dyDescent="0.25">
      <c r="A50" s="5" t="s">
        <v>47</v>
      </c>
      <c r="B50" s="13">
        <v>207</v>
      </c>
      <c r="C50" s="15"/>
      <c r="D50" s="17">
        <f t="shared" si="1"/>
        <v>207</v>
      </c>
      <c r="E50" s="4"/>
      <c r="F50" s="4"/>
      <c r="H50" s="166" t="s">
        <v>125</v>
      </c>
      <c r="I50" s="22">
        <v>1200</v>
      </c>
      <c r="J50" s="20">
        <v>35</v>
      </c>
      <c r="K50" s="170">
        <v>822</v>
      </c>
      <c r="L50" s="21">
        <v>0.39</v>
      </c>
      <c r="M50" s="21">
        <v>15</v>
      </c>
      <c r="O50" s="229">
        <v>1360</v>
      </c>
    </row>
    <row r="51" spans="1:15" ht="15" customHeight="1" x14ac:dyDescent="0.25">
      <c r="A51" s="5" t="s">
        <v>48</v>
      </c>
      <c r="B51" s="13">
        <v>254</v>
      </c>
      <c r="C51" s="15"/>
      <c r="D51" s="17">
        <f t="shared" si="1"/>
        <v>254</v>
      </c>
      <c r="E51" s="4"/>
      <c r="F51" s="4"/>
      <c r="H51" s="3" t="s">
        <v>98</v>
      </c>
      <c r="I51" s="22">
        <v>465</v>
      </c>
      <c r="J51" s="20">
        <v>35</v>
      </c>
      <c r="K51" s="19">
        <v>286</v>
      </c>
      <c r="L51" s="21">
        <v>1.8</v>
      </c>
      <c r="M51" s="21">
        <v>3</v>
      </c>
      <c r="O51" s="246"/>
    </row>
    <row r="52" spans="1:15" ht="15" customHeight="1" x14ac:dyDescent="0.25">
      <c r="A52" s="5" t="s">
        <v>49</v>
      </c>
      <c r="B52" s="13">
        <v>109</v>
      </c>
      <c r="C52" s="15"/>
      <c r="D52" s="17">
        <f t="shared" si="1"/>
        <v>109</v>
      </c>
      <c r="E52" s="4"/>
      <c r="F52" s="4"/>
      <c r="H52" s="3" t="s">
        <v>99</v>
      </c>
      <c r="I52" s="2">
        <v>510</v>
      </c>
      <c r="J52" s="20">
        <v>35</v>
      </c>
      <c r="K52" s="19">
        <f t="shared" si="2"/>
        <v>331.5</v>
      </c>
      <c r="L52" s="2"/>
      <c r="M52" s="2"/>
      <c r="O52" s="246"/>
    </row>
    <row r="53" spans="1:15" ht="15" customHeight="1" x14ac:dyDescent="0.25">
      <c r="A53" s="5" t="s">
        <v>50</v>
      </c>
      <c r="B53" s="14">
        <v>156</v>
      </c>
      <c r="C53" s="16"/>
      <c r="D53" s="17">
        <f t="shared" si="1"/>
        <v>156</v>
      </c>
      <c r="E53" s="8"/>
      <c r="F53" s="8"/>
      <c r="H53" s="166" t="s">
        <v>121</v>
      </c>
      <c r="J53" s="20">
        <v>35</v>
      </c>
      <c r="K53" s="229">
        <v>54</v>
      </c>
      <c r="L53" s="228">
        <v>1.32E-2</v>
      </c>
      <c r="O53" s="246"/>
    </row>
    <row r="54" spans="1:15" ht="15" customHeight="1" x14ac:dyDescent="0.25">
      <c r="B54" s="9"/>
      <c r="C54" s="10"/>
      <c r="D54" s="10"/>
      <c r="E54" s="10"/>
      <c r="F54" s="10"/>
      <c r="G54" s="11"/>
      <c r="H54" s="166" t="s">
        <v>179</v>
      </c>
      <c r="J54" s="20"/>
      <c r="K54" s="229">
        <v>432</v>
      </c>
      <c r="O54" s="229">
        <v>620</v>
      </c>
    </row>
    <row r="55" spans="1:15" ht="15" customHeight="1" x14ac:dyDescent="0.25">
      <c r="B55" s="9"/>
      <c r="C55" s="10"/>
      <c r="D55" s="10"/>
      <c r="E55" s="10"/>
      <c r="F55" s="10"/>
      <c r="G55" s="11"/>
      <c r="H55" s="166" t="s">
        <v>178</v>
      </c>
      <c r="J55" s="20"/>
      <c r="K55" s="229">
        <v>576</v>
      </c>
      <c r="O55" s="229">
        <v>890</v>
      </c>
    </row>
    <row r="56" spans="1:15" ht="15" customHeight="1" x14ac:dyDescent="0.25">
      <c r="B56" s="9"/>
      <c r="C56" s="10"/>
      <c r="D56" s="10"/>
      <c r="E56" s="10"/>
      <c r="F56" s="10"/>
      <c r="G56" s="11"/>
      <c r="H56" s="11"/>
    </row>
    <row r="57" spans="1:15" ht="15" customHeight="1" x14ac:dyDescent="0.25">
      <c r="B57" s="9"/>
      <c r="C57" s="10"/>
      <c r="D57" s="10"/>
      <c r="E57" s="10"/>
      <c r="F57" s="10"/>
      <c r="G57" s="11"/>
      <c r="H57" s="11"/>
    </row>
    <row r="58" spans="1:15" ht="15" customHeight="1" x14ac:dyDescent="0.25">
      <c r="B58" s="9"/>
      <c r="C58" s="11"/>
      <c r="D58" s="11"/>
      <c r="E58" s="11"/>
      <c r="F58" s="11"/>
      <c r="G58" s="11"/>
      <c r="H58" s="11"/>
    </row>
    <row r="59" spans="1:15" ht="15" customHeight="1" x14ac:dyDescent="0.25">
      <c r="B59" s="9"/>
      <c r="C59" s="11"/>
      <c r="D59" s="11"/>
      <c r="E59" s="11"/>
      <c r="F59" s="11"/>
      <c r="G59" s="11"/>
      <c r="H59" s="11"/>
    </row>
    <row r="60" spans="1:15" ht="15" customHeight="1" x14ac:dyDescent="0.25">
      <c r="B60" s="9"/>
      <c r="C60" s="11"/>
      <c r="D60" s="11"/>
      <c r="E60" s="11"/>
      <c r="F60" s="11"/>
      <c r="G60" s="11"/>
      <c r="H60" s="11"/>
    </row>
  </sheetData>
  <mergeCells count="2">
    <mergeCell ref="A1:F1"/>
    <mergeCell ref="H1:M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CQ177"/>
  <sheetViews>
    <sheetView zoomScale="70" zoomScaleNormal="70" workbookViewId="0">
      <pane xSplit="1" topLeftCell="B1" activePane="topRight" state="frozen"/>
      <selection pane="topRight" activeCell="AD74" sqref="AD73:AD74"/>
    </sheetView>
  </sheetViews>
  <sheetFormatPr defaultRowHeight="15" x14ac:dyDescent="0.25"/>
  <cols>
    <col min="1" max="1" width="16.7109375" style="42" customWidth="1"/>
    <col min="2" max="2" width="9.140625" style="12" customWidth="1"/>
    <col min="3" max="3" width="10.42578125" style="12" customWidth="1"/>
    <col min="4" max="4" width="22.28515625" style="12" customWidth="1"/>
    <col min="5" max="5" width="5.7109375" style="12" customWidth="1"/>
    <col min="6" max="6" width="10.7109375" style="12" customWidth="1"/>
    <col min="7" max="8" width="12.7109375" style="24" customWidth="1"/>
    <col min="9" max="9" width="13.28515625" style="12" customWidth="1"/>
    <col min="10" max="10" width="5.7109375" style="12" customWidth="1"/>
    <col min="11" max="11" width="10.7109375" style="12" customWidth="1"/>
    <col min="12" max="13" width="8.7109375" style="12" customWidth="1"/>
    <col min="14" max="14" width="12" style="12" customWidth="1"/>
    <col min="15" max="15" width="5.7109375" style="23" customWidth="1"/>
    <col min="16" max="16" width="10.7109375" style="12" customWidth="1"/>
    <col min="17" max="17" width="16.7109375" style="12" customWidth="1"/>
    <col min="18" max="18" width="5.7109375" style="12" customWidth="1"/>
    <col min="19" max="19" width="7.7109375" style="12" customWidth="1"/>
    <col min="20" max="20" width="12.7109375" style="12" customWidth="1"/>
    <col min="21" max="21" width="9.85546875" style="163" customWidth="1"/>
    <col min="22" max="23" width="5.7109375" style="12" customWidth="1"/>
    <col min="24" max="24" width="10.7109375" style="12" customWidth="1"/>
    <col min="25" max="26" width="8.7109375" style="12" customWidth="1"/>
    <col min="27" max="27" width="7.5703125" style="12" customWidth="1"/>
    <col min="28" max="28" width="5.7109375" style="12" customWidth="1"/>
    <col min="29" max="29" width="10.7109375" style="12" customWidth="1"/>
    <col min="30" max="30" width="16.7109375" style="12" customWidth="1"/>
    <col min="31" max="31" width="5.7109375" style="12" customWidth="1"/>
    <col min="32" max="32" width="7.7109375" style="12" customWidth="1"/>
    <col min="33" max="34" width="12.7109375" style="12" customWidth="1"/>
    <col min="35" max="36" width="5.7109375" style="12" customWidth="1"/>
    <col min="37" max="37" width="10.7109375" style="12" customWidth="1"/>
    <col min="38" max="40" width="8.7109375" style="12" customWidth="1"/>
    <col min="41" max="41" width="5.7109375" style="12" customWidth="1"/>
    <col min="42" max="42" width="10.7109375" style="12" customWidth="1"/>
    <col min="43" max="43" width="16.7109375" style="12" customWidth="1"/>
    <col min="44" max="44" width="5.7109375" style="12" customWidth="1"/>
    <col min="45" max="45" width="7.7109375" style="12" customWidth="1"/>
    <col min="46" max="47" width="12.7109375" style="12" customWidth="1"/>
    <col min="48" max="49" width="5.7109375" style="12" customWidth="1"/>
    <col min="50" max="50" width="10.7109375" style="12" customWidth="1"/>
    <col min="51" max="52" width="8.7109375" style="12" customWidth="1"/>
    <col min="53" max="54" width="5.7109375" style="12" customWidth="1"/>
    <col min="55" max="55" width="10.7109375" style="12" customWidth="1"/>
    <col min="56" max="56" width="10.7109375" style="23" customWidth="1"/>
    <col min="57" max="57" width="16.7109375" style="12" customWidth="1"/>
    <col min="58" max="58" width="5.7109375" style="12" customWidth="1"/>
    <col min="59" max="59" width="7.7109375" style="12" customWidth="1"/>
    <col min="60" max="61" width="12.7109375" style="12" customWidth="1"/>
    <col min="62" max="63" width="5.7109375" style="12" customWidth="1"/>
    <col min="64" max="64" width="10.7109375" style="12" customWidth="1"/>
    <col min="65" max="66" width="8.7109375" style="12" customWidth="1"/>
    <col min="67" max="68" width="5.7109375" style="12" customWidth="1"/>
    <col min="69" max="69" width="10.7109375" style="12" customWidth="1"/>
    <col min="70" max="70" width="16.7109375" style="12" customWidth="1"/>
    <col min="71" max="71" width="5.7109375" style="12" customWidth="1"/>
    <col min="72" max="72" width="7.7109375" style="12" customWidth="1"/>
    <col min="73" max="74" width="12.7109375" style="12" customWidth="1"/>
    <col min="75" max="76" width="5.7109375" style="12" customWidth="1"/>
    <col min="77" max="77" width="10.7109375" style="12" customWidth="1"/>
    <col min="78" max="79" width="8.7109375" style="12" customWidth="1"/>
    <col min="80" max="81" width="5.7109375" style="12" customWidth="1"/>
    <col min="82" max="82" width="10.7109375" style="12" customWidth="1"/>
    <col min="83" max="83" width="16.7109375" style="12" customWidth="1"/>
    <col min="84" max="84" width="5.7109375" style="12" customWidth="1"/>
    <col min="85" max="85" width="7.7109375" style="12" customWidth="1"/>
    <col min="86" max="87" width="12.7109375" style="12" customWidth="1"/>
    <col min="88" max="89" width="5.7109375" style="12" customWidth="1"/>
    <col min="90" max="90" width="10.7109375" style="12" customWidth="1"/>
    <col min="91" max="92" width="8.7109375" style="12" customWidth="1"/>
    <col min="93" max="94" width="5.7109375" style="12" customWidth="1"/>
    <col min="95" max="95" width="10.7109375" style="12" customWidth="1"/>
    <col min="96" max="96" width="16.7109375" style="12" customWidth="1"/>
    <col min="97" max="97" width="5.7109375" style="12" customWidth="1"/>
    <col min="98" max="98" width="7.7109375" style="12" customWidth="1"/>
    <col min="99" max="100" width="12.7109375" style="12" customWidth="1"/>
    <col min="101" max="102" width="5.7109375" style="12" customWidth="1"/>
    <col min="103" max="103" width="10.7109375" style="12" customWidth="1"/>
    <col min="104" max="105" width="8.7109375" style="12" customWidth="1"/>
    <col min="106" max="107" width="5.7109375" style="12" customWidth="1"/>
    <col min="108" max="108" width="10.7109375" style="12" customWidth="1"/>
    <col min="109" max="16384" width="9.140625" style="12"/>
  </cols>
  <sheetData>
    <row r="1" spans="1:95" ht="24.75" customHeight="1" x14ac:dyDescent="0.25">
      <c r="A1" s="342" t="s">
        <v>107</v>
      </c>
      <c r="B1" s="346" t="s">
        <v>119</v>
      </c>
      <c r="C1" s="347"/>
      <c r="D1" s="343" t="s">
        <v>149</v>
      </c>
      <c r="E1" s="344"/>
      <c r="F1" s="344"/>
      <c r="G1" s="344"/>
      <c r="H1" s="344"/>
      <c r="I1" s="344"/>
      <c r="J1" s="344"/>
      <c r="K1" s="344"/>
      <c r="L1" s="344"/>
      <c r="M1" s="344"/>
      <c r="N1" s="344"/>
      <c r="O1" s="344"/>
      <c r="P1" s="345"/>
      <c r="Q1" s="328" t="s">
        <v>150</v>
      </c>
      <c r="R1" s="329"/>
      <c r="S1" s="329"/>
      <c r="T1" s="329"/>
      <c r="U1" s="329"/>
      <c r="V1" s="329"/>
      <c r="W1" s="329"/>
      <c r="X1" s="329"/>
      <c r="Y1" s="329"/>
      <c r="Z1" s="329"/>
      <c r="AA1" s="329"/>
      <c r="AB1" s="329"/>
      <c r="AC1" s="330"/>
      <c r="AD1" s="316" t="s">
        <v>133</v>
      </c>
      <c r="AE1" s="317"/>
      <c r="AF1" s="317"/>
      <c r="AG1" s="317"/>
      <c r="AH1" s="317"/>
      <c r="AI1" s="317"/>
      <c r="AJ1" s="317"/>
      <c r="AK1" s="317"/>
      <c r="AL1" s="317"/>
      <c r="AM1" s="317"/>
      <c r="AN1" s="317"/>
      <c r="AO1" s="317"/>
      <c r="AP1" s="318"/>
      <c r="AQ1" s="306" t="s">
        <v>137</v>
      </c>
      <c r="AR1" s="307"/>
      <c r="AS1" s="307"/>
      <c r="AT1" s="307"/>
      <c r="AU1" s="307"/>
      <c r="AV1" s="307"/>
      <c r="AW1" s="307"/>
      <c r="AX1" s="307"/>
      <c r="AY1" s="307"/>
      <c r="AZ1" s="307"/>
      <c r="BA1" s="307"/>
      <c r="BB1" s="307"/>
      <c r="BC1" s="308"/>
      <c r="BD1" s="245"/>
      <c r="BE1" s="295" t="s">
        <v>134</v>
      </c>
      <c r="BF1" s="296"/>
      <c r="BG1" s="296"/>
      <c r="BH1" s="296"/>
      <c r="BI1" s="296"/>
      <c r="BJ1" s="296"/>
      <c r="BK1" s="296"/>
      <c r="BL1" s="296"/>
      <c r="BM1" s="296"/>
      <c r="BN1" s="296"/>
      <c r="BO1" s="296"/>
      <c r="BP1" s="296"/>
      <c r="BQ1" s="297"/>
      <c r="BR1" s="298" t="s">
        <v>135</v>
      </c>
      <c r="BS1" s="299"/>
      <c r="BT1" s="299"/>
      <c r="BU1" s="299"/>
      <c r="BV1" s="299"/>
      <c r="BW1" s="299"/>
      <c r="BX1" s="299"/>
      <c r="BY1" s="299"/>
      <c r="BZ1" s="299"/>
      <c r="CA1" s="299"/>
      <c r="CB1" s="299"/>
      <c r="CC1" s="299"/>
      <c r="CD1" s="300"/>
      <c r="CE1" s="301" t="s">
        <v>136</v>
      </c>
      <c r="CF1" s="302"/>
      <c r="CG1" s="302"/>
      <c r="CH1" s="302"/>
      <c r="CI1" s="302"/>
      <c r="CJ1" s="302"/>
      <c r="CK1" s="302"/>
      <c r="CL1" s="302"/>
      <c r="CM1" s="302"/>
      <c r="CN1" s="302"/>
      <c r="CO1" s="302"/>
      <c r="CP1" s="302"/>
      <c r="CQ1" s="303"/>
    </row>
    <row r="2" spans="1:95" ht="60" customHeight="1" x14ac:dyDescent="0.25">
      <c r="A2" s="342"/>
      <c r="B2" s="348"/>
      <c r="C2" s="349"/>
      <c r="D2" s="49" t="s">
        <v>114</v>
      </c>
      <c r="E2" s="50" t="s">
        <v>115</v>
      </c>
      <c r="F2" s="49" t="s">
        <v>100</v>
      </c>
      <c r="G2" s="51" t="s">
        <v>126</v>
      </c>
      <c r="H2" s="52" t="s">
        <v>116</v>
      </c>
      <c r="I2" s="50" t="s">
        <v>117</v>
      </c>
      <c r="J2" s="50" t="s">
        <v>118</v>
      </c>
      <c r="K2" s="51" t="s">
        <v>127</v>
      </c>
      <c r="L2" s="51" t="s">
        <v>129</v>
      </c>
      <c r="M2" s="51" t="s">
        <v>128</v>
      </c>
      <c r="N2" s="219" t="s">
        <v>131</v>
      </c>
      <c r="O2" s="53" t="s">
        <v>132</v>
      </c>
      <c r="P2" s="54" t="s">
        <v>130</v>
      </c>
      <c r="Q2" s="55" t="s">
        <v>114</v>
      </c>
      <c r="R2" s="56" t="s">
        <v>115</v>
      </c>
      <c r="S2" s="55" t="s">
        <v>100</v>
      </c>
      <c r="T2" s="57" t="s">
        <v>126</v>
      </c>
      <c r="U2" s="159" t="s">
        <v>116</v>
      </c>
      <c r="V2" s="56" t="s">
        <v>117</v>
      </c>
      <c r="W2" s="56" t="s">
        <v>118</v>
      </c>
      <c r="X2" s="57" t="s">
        <v>127</v>
      </c>
      <c r="Y2" s="57" t="s">
        <v>129</v>
      </c>
      <c r="Z2" s="57" t="s">
        <v>128</v>
      </c>
      <c r="AA2" s="219" t="s">
        <v>131</v>
      </c>
      <c r="AB2" s="58" t="s">
        <v>132</v>
      </c>
      <c r="AC2" s="59" t="s">
        <v>130</v>
      </c>
      <c r="AD2" s="60" t="s">
        <v>114</v>
      </c>
      <c r="AE2" s="61" t="s">
        <v>115</v>
      </c>
      <c r="AF2" s="60" t="s">
        <v>100</v>
      </c>
      <c r="AG2" s="62" t="s">
        <v>126</v>
      </c>
      <c r="AH2" s="63" t="s">
        <v>116</v>
      </c>
      <c r="AI2" s="61" t="s">
        <v>117</v>
      </c>
      <c r="AJ2" s="61" t="s">
        <v>118</v>
      </c>
      <c r="AK2" s="62" t="s">
        <v>127</v>
      </c>
      <c r="AL2" s="62" t="s">
        <v>129</v>
      </c>
      <c r="AM2" s="62" t="s">
        <v>128</v>
      </c>
      <c r="AN2" s="219" t="s">
        <v>131</v>
      </c>
      <c r="AO2" s="64" t="s">
        <v>132</v>
      </c>
      <c r="AP2" s="65" t="s">
        <v>130</v>
      </c>
      <c r="AQ2" s="72" t="s">
        <v>114</v>
      </c>
      <c r="AR2" s="73" t="s">
        <v>115</v>
      </c>
      <c r="AS2" s="72" t="s">
        <v>100</v>
      </c>
      <c r="AT2" s="74" t="s">
        <v>126</v>
      </c>
      <c r="AU2" s="75" t="s">
        <v>116</v>
      </c>
      <c r="AV2" s="73" t="s">
        <v>117</v>
      </c>
      <c r="AW2" s="73" t="s">
        <v>118</v>
      </c>
      <c r="AX2" s="74" t="s">
        <v>127</v>
      </c>
      <c r="AY2" s="74" t="s">
        <v>129</v>
      </c>
      <c r="AZ2" s="74" t="s">
        <v>128</v>
      </c>
      <c r="BA2" s="219" t="s">
        <v>131</v>
      </c>
      <c r="BB2" s="76" t="s">
        <v>132</v>
      </c>
      <c r="BC2" s="77" t="s">
        <v>130</v>
      </c>
      <c r="BD2" s="77" t="s">
        <v>196</v>
      </c>
      <c r="BE2" s="83" t="s">
        <v>114</v>
      </c>
      <c r="BF2" s="84" t="s">
        <v>115</v>
      </c>
      <c r="BG2" s="83" t="s">
        <v>100</v>
      </c>
      <c r="BH2" s="85" t="s">
        <v>126</v>
      </c>
      <c r="BI2" s="86" t="s">
        <v>116</v>
      </c>
      <c r="BJ2" s="84" t="s">
        <v>117</v>
      </c>
      <c r="BK2" s="84" t="s">
        <v>118</v>
      </c>
      <c r="BL2" s="85" t="s">
        <v>127</v>
      </c>
      <c r="BM2" s="85" t="s">
        <v>129</v>
      </c>
      <c r="BN2" s="85" t="s">
        <v>128</v>
      </c>
      <c r="BO2" s="219" t="s">
        <v>131</v>
      </c>
      <c r="BP2" s="87" t="s">
        <v>132</v>
      </c>
      <c r="BQ2" s="88" t="s">
        <v>130</v>
      </c>
      <c r="BR2" s="89" t="s">
        <v>114</v>
      </c>
      <c r="BS2" s="90" t="s">
        <v>115</v>
      </c>
      <c r="BT2" s="89" t="s">
        <v>100</v>
      </c>
      <c r="BU2" s="91" t="s">
        <v>126</v>
      </c>
      <c r="BV2" s="92" t="s">
        <v>116</v>
      </c>
      <c r="BW2" s="90" t="s">
        <v>117</v>
      </c>
      <c r="BX2" s="90" t="s">
        <v>118</v>
      </c>
      <c r="BY2" s="91" t="s">
        <v>127</v>
      </c>
      <c r="BZ2" s="91" t="s">
        <v>129</v>
      </c>
      <c r="CA2" s="91" t="s">
        <v>128</v>
      </c>
      <c r="CB2" s="219" t="s">
        <v>131</v>
      </c>
      <c r="CC2" s="93" t="s">
        <v>132</v>
      </c>
      <c r="CD2" s="94" t="s">
        <v>130</v>
      </c>
      <c r="CE2" s="95" t="s">
        <v>114</v>
      </c>
      <c r="CF2" s="96" t="s">
        <v>115</v>
      </c>
      <c r="CG2" s="95" t="s">
        <v>100</v>
      </c>
      <c r="CH2" s="97" t="s">
        <v>126</v>
      </c>
      <c r="CI2" s="98" t="s">
        <v>116</v>
      </c>
      <c r="CJ2" s="96" t="s">
        <v>117</v>
      </c>
      <c r="CK2" s="96" t="s">
        <v>118</v>
      </c>
      <c r="CL2" s="97" t="s">
        <v>127</v>
      </c>
      <c r="CM2" s="97" t="s">
        <v>129</v>
      </c>
      <c r="CN2" s="97" t="s">
        <v>128</v>
      </c>
      <c r="CO2" s="219" t="s">
        <v>131</v>
      </c>
      <c r="CP2" s="99" t="s">
        <v>132</v>
      </c>
      <c r="CQ2" s="100" t="s">
        <v>130</v>
      </c>
    </row>
    <row r="3" spans="1:95" s="36" customFormat="1" ht="15.75" hidden="1" x14ac:dyDescent="0.25">
      <c r="A3" s="341" t="s">
        <v>106</v>
      </c>
      <c r="B3" s="265" t="s">
        <v>112</v>
      </c>
      <c r="C3" s="286" t="s">
        <v>113</v>
      </c>
      <c r="D3" s="31" t="s">
        <v>62</v>
      </c>
      <c r="E3" s="32">
        <v>6</v>
      </c>
      <c r="F3" s="33" t="b">
        <f>IF(D3=Цены!$H$3,Цены!$L$3,IF(D3=Цены!$H$4,Цены!$L$4,IF(D3=Цены!$H$5,Цены!$L$5,IF(D3=Цены!$H$6,Цены!$L$6,IF(D3=Цены!$H$7,Цены!$L$7,IF(D3=Цены!$H$8,Цены!$L$8,IF(D3=Цены!$H$9,Цены!$L$9,IF(D3=Цены!$H$10,Цены!$L$10,IF(D3=Цены!$H$11,Цены!$L$11,IF(D3=Цены!$H$12,Цены!$L$12,IF(D3=Цены!$H$13,Цены!$L$13,IF(D3=Цены!$H$14,Цены!$L$14,IF(D3=Цены!$H$14,Цены!$L$14,IF(D3=Цены!$H$15,Цены!$L$15,IF(D3=Цены!$H$16,Цены!$L$16,IF(D3=Цены!$H$17,Цены!$L$17,IF(D3=Цены!$H$18,Цены!$L$18,IF(D3=Цены!$H$19,Цены!$L$19,IF(D3=Цены!$H$20,Цены!$L$20,IF(D3=Цены!$H$21,Цены!$L$21,IF(D3=Цены!$H$22,Цены!$L$22,IF(D3=Цены!$H$23,Цены!$L$23,IF(D3=Цены!$H$24,Цены!$L$24,IF(D3=Цены!$H$25,Цены!$L$25,IF(D3=Цены!$H$26,Цены!$L$26,IF(D3=Цены!$H$27,Цены!$L$27,IF(D3=Цены!$H$28,Цены!$L$28,IF(D3=Цены!$H$29,Цены!$L$29,IF(D3=Цены!$H$30,Цены!$L$30,IF(D3=Цены!$H$31,Цены!$L$31,IF(D3=Цены!$H$32,Цены!$L$32,IF(D3=Цены!$H$33,Цены!$L$33,IF(D3=Цены!$H$34,Цены!$L$34,IF(D3=Цены!$H$35,Цены!$L$35,IF(D3=Цены!$H$36,Цены!$L$36,IF(D3=Цены!$H$37,Цены!$L$37,IF(D3=Цены!$H$38,Цены!$L$38,IF(D3=Цены!$H$39,Цены!$L$39,IF(D3=Цены!$H$40,Цены!$L$40,IF(D3=Цены!$H$41,Цены!$L$41,IF(D3=Цены!$H$42,Цены!$L$42,IF(D3=Цены!$H$43,Цены!$L$43,IF(D3=Цены!$H$44,Цены!$L$44,IF(D3=Цены!$H$45,Цены!$L$45,IF(D3=Цены!$H$46,Цены!$L$46,IF(D3=Цены!$H$47,Цены!$L$47,IF(D3=Цены!$H$48,Цены!$L$48,IF(D3=Цены!$H$49,Цены!$L$49,IF(D3=Цены!$H$50,Цены!$L$50,IF(D3=Цены!$H$51,Цены!$L$51,IF(D3=Цены!$H$52,Цены!$L$52,IF(D3=Цены!$H$53,Цены!$L$53,IF(D3=Цены!$H$54,Цены!$L$54,IF(D3=Цены!$H$55,Цены!$L$55))))))))))))))))))))))))))))))))))))))))))))))))))))))</f>
        <v>0</v>
      </c>
      <c r="G3" s="276">
        <f>E3*F3+E4*F4+E5*F5+E6*F6</f>
        <v>4.5864000000000003</v>
      </c>
      <c r="H3" s="34" t="b">
        <f>IF(D3=Цены!$H$3,Цены!$K$3,IF(D3=Цены!$H$4,Цены!$K$4,IF(D3=Цены!$H$5,Цены!$K$5,IF(D3=Цены!$H$6,Цены!$K$6,IF(D3=Цены!$H$7,Цены!$K$7,IF(D3=Цены!$H$8,Цены!$K$8,IF(D3=Цены!$H$9,Цены!$K$9,IF(D3=Цены!$H$10,Цены!$K$10,IF(D3=Цены!$H$11,Цены!$K$11,IF(D3=Цены!$H$12,Цены!$K$12,IF(D3=Цены!$H$13,Цены!$K$13,IF(D3=Цены!$H$14,Цены!$K$14,IF(D3=Цены!$H$14,Цены!$K$14,IF(D3=Цены!$H$15,Цены!$K$15,IF(D3=Цены!$H$16,Цены!$K$16,IF(D3=Цены!$H$17,Цены!$K$17,IF(D3=Цены!$H$18,Цены!$K$18,IF(D3=Цены!$H$19,Цены!$K$19,IF(D3=Цены!$H$20,Цены!$K$20,IF(D3=Цены!$H$21,Цены!$K$21,IF(D3=Цены!$H$22,Цены!$K$22,IF(D3=Цены!$H$23,Цены!$K$23,IF(D3=Цены!$H$24,Цены!$K$24,IF(D3=Цены!$H$25,Цены!$K$25,IF(D3=Цены!$H$26,Цены!$K$26,IF(D3=Цены!$H$27,Цены!$K$27,IF(D3=Цены!$H$28,Цены!$K$28,IF(D3=Цены!$H$29,Цены!$K$29,IF(D3=Цены!$H$30,Цены!$K$30,IF(D3=Цены!$H$31,Цены!$K$31,IF(D3=Цены!$H$32,Цены!$K$32,IF(D3=Цены!$H$33,Цены!$K$33,IF(D3=Цены!$H$34,Цены!$K$34,IF(D3=Цены!$H$35,Цены!$K$35,IF(D3=Цены!$H$36,Цены!$K$36,IF(D3=Цены!$H$37,Цены!$K$37,IF(D3=Цены!$H$38,Цены!$K$38,IF(D3=Цены!$H$39,Цены!$K$39,IF(D3=Цены!$H$40,Цены!$K$40,IF(D3=Цены!$H$41,Цены!$K$41,IF(D3=Цены!$H$42,Цены!$K$42,IF(D3=Цены!$H$43,Цены!$K$43,IF(D3=Цены!$H$44,Цены!$K$44,IF(D3=Цены!$H$45,Цены!$K$45,IF(D3=Цены!$H$46,Цены!$K$46,IF(D3=Цены!$H$47,Цены!$K$47,IF(D3=Цены!$H$48,Цены!$K$48,IF(D3=Цены!$H$49,Цены!$K$49,IF(D3=Цены!$H$50,Цены!$K$50,IF(D3=Цены!$H$51,Цены!$K$51,IF(D3=Цены!$H$52,Цены!$K$52,IF(D3=Цены!$H$53,Цены!$K$53,IF(D3=Цены!$H$54,Цены!$K$54,IF(D3=Цены!$H$55,Цены!$K$55))))))))))))))))))))))))))))))))))))))))))))))))))))))</f>
        <v>0</v>
      </c>
      <c r="I3" s="265">
        <v>3.5</v>
      </c>
      <c r="J3" s="265">
        <v>800</v>
      </c>
      <c r="K3" s="269">
        <f>E3*H3+E4*H4+E5*H5+E6*H6</f>
        <v>3434</v>
      </c>
      <c r="L3" s="286">
        <f>$I$3*$J$3</f>
        <v>2800</v>
      </c>
      <c r="M3" s="269">
        <f>K3+L3</f>
        <v>6234</v>
      </c>
      <c r="N3" s="265">
        <f>I3*J3*1.1</f>
        <v>3080.0000000000005</v>
      </c>
      <c r="O3" s="269">
        <f>N3/M3*100</f>
        <v>49.406480590311205</v>
      </c>
      <c r="P3" s="287">
        <f>MROUND(M3+N3,500)</f>
        <v>9500</v>
      </c>
      <c r="Q3" s="123" t="s">
        <v>142</v>
      </c>
      <c r="R3" s="32">
        <v>4</v>
      </c>
      <c r="S3" s="33" t="b">
        <f>IF(Q3=Цены!$H$3,Цены!$L$3,IF(Q3=Цены!$H$4,Цены!$L$4,IF(Q3=Цены!$H$5,Цены!$L$5,IF(Q3=Цены!$H$6,Цены!$L$6,IF(Q3=Цены!$H$7,Цены!$L$7,IF(Q3=Цены!$H$8,Цены!$L$8,IF(Q3=Цены!$H$9,Цены!$L$9,IF(Q3=Цены!$H$10,Цены!$L$10,IF(Q3=Цены!$H$11,Цены!$L$11,IF(Q3=Цены!$H$12,Цены!$L$12,IF(Q3=Цены!$H$13,Цены!$L$13,IF(Q3=Цены!$H$14,Цены!$L$14,IF(Q3=Цены!$H$14,Цены!$L$14,IF(Q3=Цены!$H$15,Цены!$L$15,IF(Q3=Цены!$H$16,Цены!$L$16,IF(Q3=Цены!$H$17,Цены!$L$17,IF(Q3=Цены!$H$18,Цены!$L$18,IF(Q3=Цены!$H$19,Цены!$L$19,IF(Q3=Цены!$H$20,Цены!$L$20,IF(Q3=Цены!$H$21,Цены!$L$21,IF(Q3=Цены!$H$22,Цены!$L$22,IF(Q3=Цены!$H$23,Цены!$L$23,IF(Q3=Цены!$H$24,Цены!$L$24,IF(Q3=Цены!$H$25,Цены!$L$25,IF(Q3=Цены!$H$26,Цены!$L$26,IF(Q3=Цены!$H$27,Цены!$L$27,IF(Q3=Цены!$H$28,Цены!$L$28,IF(Q3=Цены!$H$29,Цены!$L$29,IF(Q3=Цены!$H$30,Цены!$L$30,IF(Q3=Цены!$H$31,Цены!$L$31,IF(Q3=Цены!$H$32,Цены!$L$32,IF(Q3=Цены!$H$33,Цены!$L$33,IF(Q3=Цены!$H$34,Цены!$L$34,IF(Q3=Цены!$H$35,Цены!$L$35,IF(Q3=Цены!$H$36,Цены!$L$36,IF(Q3=Цены!$H$37,Цены!$L$37,IF(Q3=Цены!$H$38,Цены!$L$38,IF(Q3=Цены!$H$39,Цены!$L$39,IF(Q3=Цены!$H$40,Цены!$L$40,IF(Q3=Цены!$H$41,Цены!$L$41,IF(Q3=Цены!$H$42,Цены!$L$42,IF(Q3=Цены!$H$43,Цены!$L$43,IF(Q3=Цены!$H$44,Цены!$L$44,IF(Q3=Цены!$H$45,Цены!$L$45,IF(Q3=Цены!$H$46,Цены!$L$46,IF(Q3=Цены!$H$47,Цены!$L$47,IF(Q3=Цены!$H$48,Цены!$L$48,IF(Q3=Цены!$H$49,Цены!$L$49,IF(Q3=Цены!$H$50,Цены!$L$50,IF(Q3=Цены!$H$51,Цены!$L$51,IF(Q3=Цены!$H$52,Цены!$L$52,IF(Q3=Цены!$H$53,Цены!$L$53,IF(Q3=Цены!$H$54,Цены!$L$54,IF(Q3=Цены!$H$55,Цены!$L$55))))))))))))))))))))))))))))))))))))))))))))))))))))))</f>
        <v>0</v>
      </c>
      <c r="T3" s="276">
        <f>R3*S3+R4*S4+R5*S5+R6*S6</f>
        <v>1.28</v>
      </c>
      <c r="U3" s="160" t="b">
        <f>IF(Q3=Цены!$H$3,Цены!$K$3,IF(Q3=Цены!$H$4,Цены!$K$4,IF(Q3=Цены!$H$5,Цены!$K$5,IF(Q3=Цены!$H$6,Цены!$K$6,IF(Q3=Цены!$H$7,Цены!$K$7,IF(Q3=Цены!$H$8,Цены!$K$8,IF(Q3=Цены!$H$9,Цены!$K$9,IF(Q3=Цены!$H$10,Цены!$K$10,IF(Q3=Цены!$H$11,Цены!$K$11,IF(Q3=Цены!$H$12,Цены!$K$12,IF(Q3=Цены!$H$13,Цены!$K$13,IF(Q3=Цены!$H$14,Цены!$K$14,IF(Q3=Цены!$H$14,Цены!$K$14,IF(Q3=Цены!$H$15,Цены!$K$15,IF(Q3=Цены!$H$16,Цены!$K$16,IF(Q3=Цены!$H$17,Цены!$K$17,IF(Q3=Цены!$H$18,Цены!$K$18,IF(Q3=Цены!$H$19,Цены!$K$19,IF(Q3=Цены!$H$20,Цены!$K$20,IF(Q3=Цены!$H$21,Цены!$K$21,IF(Q3=Цены!$H$22,Цены!$K$22,IF(Q3=Цены!$H$23,Цены!$K$23,IF(Q3=Цены!$H$24,Цены!$K$24,IF(Q3=Цены!$H$25,Цены!$K$25,IF(Q3=Цены!$H$26,Цены!$K$26,IF(Q3=Цены!$H$27,Цены!$K$27,IF(Q3=Цены!$H$28,Цены!$K$28,IF(Q3=Цены!$H$29,Цены!$K$29,IF(Q3=Цены!$H$30,Цены!$K$30,IF(Q3=Цены!$H$31,Цены!$K$31,IF(Q3=Цены!$H$32,Цены!$K$32,IF(Q3=Цены!$H$33,Цены!$K$33,IF(Q3=Цены!$H$34,Цены!$K$34,IF(Q3=Цены!$H$35,Цены!$K$35,IF(Q3=Цены!$H$36,Цены!$K$36,IF(Q3=Цены!$H$37,Цены!$K$37,IF(Q3=Цены!$H$38,Цены!$K$38,IF(Q3=Цены!$H$39,Цены!$K$39,IF(Q3=Цены!$H$40,Цены!$K$40,IF(Q3=Цены!$H$41,Цены!$K$41,IF(Q3=Цены!$H$42,Цены!$K$42,IF(Q3=Цены!$H$43,Цены!$K$43,IF(Q3=Цены!$H$44,Цены!$K$44,IF(Q3=Цены!$H$45,Цены!$K$45,IF(Q3=Цены!$H$46,Цены!$K$46,IF(Q3=Цены!$H$47,Цены!$K$47,IF(Q3=Цены!$H$48,Цены!$K$48,IF(Q3=Цены!$H$49,Цены!$K$49,IF(Q3=Цены!$H$50,Цены!$K$50,IF(Q3=Цены!$H$51,Цены!$K$51,IF(Q3=Цены!$H$52,Цены!$K$52,IF(Q3=Цены!$H$53,Цены!$K$53,IF(Q3=Цены!$H$54,Цены!$K$54,IF(Q3=Цены!$H$55,Цены!$K$55))))))))))))))))))))))))))))))))))))))))))))))))))))))</f>
        <v>0</v>
      </c>
      <c r="V3" s="265">
        <v>4</v>
      </c>
      <c r="W3" s="265">
        <v>800</v>
      </c>
      <c r="X3" s="269">
        <f>R3*U3+R4*U4+R5*U5+R6*U6</f>
        <v>624</v>
      </c>
      <c r="Y3" s="286">
        <f>V3*W3</f>
        <v>3200</v>
      </c>
      <c r="Z3" s="269">
        <f>X3+Y3</f>
        <v>3824</v>
      </c>
      <c r="AA3" s="265">
        <f>V3*W3*1.1</f>
        <v>3520.0000000000005</v>
      </c>
      <c r="AB3" s="269">
        <f>AA3/Z3*100</f>
        <v>92.050209205020934</v>
      </c>
      <c r="AC3" s="287">
        <f>MROUND(Z3+AA3,500)</f>
        <v>7500</v>
      </c>
      <c r="AD3" s="134" t="s">
        <v>63</v>
      </c>
      <c r="AE3" s="32">
        <v>4</v>
      </c>
      <c r="AF3" s="33" t="b">
        <f>IF(AD3=Цены!$H$3,Цены!$L$3,IF(AD3=Цены!$H$4,Цены!$L$4,IF(AD3=Цены!$H$5,Цены!$L$5,IF(AD3=Цены!$H$6,Цены!$L$6,IF(AD3=Цены!$H$7,Цены!$L$7,IF(AD3=Цены!$H$8,Цены!$L$8,IF(AD3=Цены!$H$9,Цены!$L$9,IF(AD3=Цены!$H$10,Цены!$L$10,IF(AD3=Цены!$H$11,Цены!$L$11,IF(AD3=Цены!$H$12,Цены!$L$12,IF(AD3=Цены!$H$13,Цены!$L$13,IF(AD3=Цены!$H$14,Цены!$L$14,IF(AD3=Цены!$H$14,Цены!$L$14,IF(AD3=Цены!$H$15,Цены!$L$15,IF(AD3=Цены!$H$16,Цены!$L$16,IF(AD3=Цены!$H$17,Цены!$L$17,IF(AD3=Цены!$H$18,Цены!$L$18,IF(AD3=Цены!$H$19,Цены!$L$19,IF(AD3=Цены!$H$20,Цены!$L$20,IF(AD3=Цены!$H$21,Цены!$L$21,IF(AD3=Цены!$H$22,Цены!$L$22,IF(AD3=Цены!$H$23,Цены!$L$23,IF(AD3=Цены!$H$24,Цены!$L$24,IF(AD3=Цены!$H$25,Цены!$L$25,IF(AD3=Цены!$H$26,Цены!$L$26,IF(AD3=Цены!$H$27,Цены!$L$27,IF(AD3=Цены!$H$28,Цены!$L$28,IF(AD3=Цены!$H$29,Цены!$L$29,IF(AD3=Цены!$H$30,Цены!$L$30,IF(AD3=Цены!$H$31,Цены!$L$31,IF(AD3=Цены!$H$32,Цены!$L$32,IF(AD3=Цены!$H$33,Цены!$L$33,IF(AD3=Цены!$H$34,Цены!$L$34,IF(AD3=Цены!$H$35,Цены!$L$35,IF(AD3=Цены!$H$36,Цены!$L$36,IF(AD3=Цены!$H$37,Цены!$L$37,IF(AD3=Цены!$H$38,Цены!$L$38,IF(AD3=Цены!$H$39,Цены!$L$39,IF(AD3=Цены!$H$40,Цены!$L$40,IF(AD3=Цены!$H$41,Цены!$L$41,IF(AD3=Цены!$H$42,Цены!$L$42,IF(AD3=Цены!$H$43,Цены!$L$43,IF(AD3=Цены!$H$44,Цены!$L$44,IF(AD3=Цены!$H$45,Цены!$L$45,IF(AD3=Цены!$H$46,Цены!$L$46,IF(AD3=Цены!$H$47,Цены!$L$47,IF(AD3=Цены!$H$48,Цены!$L$48,IF(AD3=Цены!$H$49,Цены!$L$49,IF(AD3=Цены!$H$50,Цены!$L$50,IF(AD3=Цены!$H$51,Цены!$L$51,IF(AD3=Цены!$H$52,Цены!$L$52,IF(AD3=Цены!$H$53,Цены!$L$53,IF(AD3=Цены!$H$54,Цены!$L$54,IF(AD3=Цены!$H$55,Цены!$L$55))))))))))))))))))))))))))))))))))))))))))))))))))))))</f>
        <v>0</v>
      </c>
      <c r="AG3" s="276">
        <f>AE3*AF3+AE4*AF4+AE5*AF5+AE6*AF6</f>
        <v>12.379999999999999</v>
      </c>
      <c r="AH3" s="34" t="b">
        <f>IF(AD3=Цены!$H$3,Цены!$K$3,IF(AD3=Цены!$H$4,Цены!$K$4,IF(AD3=Цены!$H$5,Цены!$K$5,IF(AD3=Цены!$H$6,Цены!$K$6,IF(AD3=Цены!$H$7,Цены!$K$7,IF(AD3=Цены!$H$8,Цены!$K$8,IF(AD3=Цены!$H$9,Цены!$K$9,IF(AD3=Цены!$H$10,Цены!$K$10,IF(AD3=Цены!$H$11,Цены!$K$11,IF(AD3=Цены!$H$12,Цены!$K$12,IF(AD3=Цены!$H$13,Цены!$K$13,IF(AD3=Цены!$H$14,Цены!$K$14,IF(AD3=Цены!$H$14,Цены!$K$14,IF(AD3=Цены!$H$15,Цены!$K$15,IF(AD3=Цены!$H$16,Цены!$K$16,IF(AD3=Цены!$H$17,Цены!$K$17,IF(AD3=Цены!$H$18,Цены!$K$18,IF(AD3=Цены!$H$19,Цены!$K$19,IF(AD3=Цены!$H$20,Цены!$K$20,IF(AD3=Цены!$H$21,Цены!$K$21,IF(AD3=Цены!$H$22,Цены!$K$22,IF(AD3=Цены!$H$23,Цены!$K$23,IF(AD3=Цены!$H$24,Цены!$K$24,IF(AD3=Цены!$H$25,Цены!$K$25,IF(AD3=Цены!$H$26,Цены!$K$26,IF(AD3=Цены!$H$27,Цены!$K$27,IF(AD3=Цены!$H$28,Цены!$K$28,IF(AD3=Цены!$H$29,Цены!$K$29,IF(AD3=Цены!$H$30,Цены!$K$30,IF(AD3=Цены!$H$31,Цены!$K$31,IF(AD3=Цены!$H$32,Цены!$K$32,IF(AD3=Цены!$H$33,Цены!$K$33,IF(AD3=Цены!$H$34,Цены!$K$34,IF(AD3=Цены!$H$35,Цены!$K$35,IF(AD3=Цены!$H$36,Цены!$K$36,IF(AD3=Цены!$H$37,Цены!$K$37,IF(AD3=Цены!$H$38,Цены!$K$38,IF(AD3=Цены!$H$39,Цены!$K$39,IF(AD3=Цены!$H$40,Цены!$K$40,IF(AD3=Цены!$H$41,Цены!$K$41,IF(AD3=Цены!$H$42,Цены!$K$42,IF(AD3=Цены!$H$43,Цены!$K$43,IF(AD3=Цены!$H$44,Цены!$K$44,IF(AD3=Цены!$H$45,Цены!$K$45,IF(AD3=Цены!$H$46,Цены!$K$46,IF(AD3=Цены!$H$47,Цены!$K$47,IF(AD3=Цены!$H$48,Цены!$K$48,IF(AD3=Цены!$H$49,Цены!$K$49,IF(AD3=Цены!$H$50,Цены!$K$50,IF(AD3=Цены!$H$51,Цены!$K$51,IF(AD3=Цены!$H$52,Цены!$K$52,IF(AD3=Цены!$H$53,Цены!$K$53,IF(AD3=Цены!$H$54,Цены!$K$54,IF(AD3=Цены!$H$55,Цены!$K$55))))))))))))))))))))))))))))))))))))))))))))))))))))))</f>
        <v>0</v>
      </c>
      <c r="AI3" s="265">
        <v>5</v>
      </c>
      <c r="AJ3" s="265">
        <v>800</v>
      </c>
      <c r="AK3" s="269">
        <f>AE3*AH3+AE4*AH4+AE5*AH5+AE6*AH6</f>
        <v>4503.5</v>
      </c>
      <c r="AL3" s="286">
        <f>AI3*AJ3</f>
        <v>4000</v>
      </c>
      <c r="AM3" s="269">
        <f>AK3+AL3</f>
        <v>8503.5</v>
      </c>
      <c r="AN3" s="265">
        <f>AI3*AJ3*1.1</f>
        <v>4400</v>
      </c>
      <c r="AO3" s="269">
        <f>AN3/AM3*100</f>
        <v>51.74339977656259</v>
      </c>
      <c r="AP3" s="287">
        <f>MROUND(AM3+AN3,500)</f>
        <v>13000</v>
      </c>
      <c r="AQ3" s="123" t="s">
        <v>142</v>
      </c>
      <c r="AR3" s="43">
        <v>3</v>
      </c>
      <c r="AS3" s="33" t="b">
        <f>IF(AQ3=Цены!$H$3,Цены!$L$3,IF(AQ3=Цены!$H$4,Цены!$L$4,IF(AQ3=Цены!$H$5,Цены!$L$5,IF(AQ3=Цены!$H$6,Цены!$L$6,IF(AQ3=Цены!$H$7,Цены!$L$7,IF(AQ3=Цены!$H$8,Цены!$L$8,IF(AQ3=Цены!$H$9,Цены!$L$9,IF(AQ3=Цены!$H$10,Цены!$L$10,IF(AQ3=Цены!$H$11,Цены!$L$11,IF(AQ3=Цены!$H$12,Цены!$L$12,IF(AQ3=Цены!$H$13,Цены!$L$13,IF(AQ3=Цены!$H$14,Цены!$L$14,IF(AQ3=Цены!$H$14,Цены!$L$14,IF(AQ3=Цены!$H$15,Цены!$L$15,IF(AQ3=Цены!$H$16,Цены!$L$16,IF(AQ3=Цены!$H$17,Цены!$L$17,IF(AQ3=Цены!$H$18,Цены!$L$18,IF(AQ3=Цены!$H$19,Цены!$L$19,IF(AQ3=Цены!$H$20,Цены!$L$20,IF(AQ3=Цены!$H$21,Цены!$L$21,IF(AQ3=Цены!$H$22,Цены!$L$22,IF(AQ3=Цены!$H$23,Цены!$L$23,IF(AQ3=Цены!$H$24,Цены!$L$24,IF(AQ3=Цены!$H$25,Цены!$L$25,IF(AQ3=Цены!$H$26,Цены!$L$26,IF(AQ3=Цены!$H$27,Цены!$L$27,IF(AQ3=Цены!$H$28,Цены!$L$28,IF(AQ3=Цены!$H$29,Цены!$L$29,IF(AQ3=Цены!$H$30,Цены!$L$30,IF(AQ3=Цены!$H$31,Цены!$L$31,IF(AQ3=Цены!$H$32,Цены!$L$32,IF(AQ3=Цены!$H$33,Цены!$L$33,IF(AQ3=Цены!$H$34,Цены!$L$34,IF(AQ3=Цены!$H$35,Цены!$L$35,IF(AQ3=Цены!$H$36,Цены!$L$36,IF(AQ3=Цены!$H$37,Цены!$L$37,IF(AQ3=Цены!$H$38,Цены!$L$38,IF(AQ3=Цены!$H$39,Цены!$L$39,IF(AQ3=Цены!$H$40,Цены!$L$40,IF(AQ3=Цены!$H$41,Цены!$L$41,IF(AQ3=Цены!$H$42,Цены!$L$42,IF(AQ3=Цены!$H$43,Цены!$L$43,IF(AQ3=Цены!$H$44,Цены!$L$44,IF(AQ3=Цены!$H$45,Цены!$L$45,IF(AQ3=Цены!$H$46,Цены!$L$46,IF(AQ3=Цены!$H$47,Цены!$L$47,IF(AQ3=Цены!$H$48,Цены!$L$48,IF(AQ3=Цены!$H$49,Цены!$L$49,IF(AQ3=Цены!$H$50,Цены!$L$50,IF(AQ3=Цены!$H$51,Цены!$L$51,IF(AQ3=Цены!$H$52,Цены!$L$52,IF(AQ3=Цены!$H$53,Цены!$L$53,IF(AQ3=Цены!$H$54,Цены!$L$54,IF(AQ3=Цены!$H$55,Цены!$L$55))))))))))))))))))))))))))))))))))))))))))))))))))))))</f>
        <v>0</v>
      </c>
      <c r="AT3" s="276">
        <f>AR3*AS3+AR4*AS4+AR5*AS5+AR6*AS6</f>
        <v>0.38</v>
      </c>
      <c r="AU3" s="34" t="b">
        <f>IF(AQ3=Цены!$H$3,Цены!$K$3,IF(AQ3=Цены!$H$4,Цены!$K$4,IF(AQ3=Цены!$H$5,Цены!$K$5,IF(AQ3=Цены!$H$6,Цены!$K$6,IF(AQ3=Цены!$H$7,Цены!$K$7,IF(AQ3=Цены!$H$8,Цены!$K$8,IF(AQ3=Цены!$H$9,Цены!$K$9,IF(AQ3=Цены!$H$10,Цены!$K$10,IF(AQ3=Цены!$H$11,Цены!$K$11,IF(AQ3=Цены!$H$12,Цены!$K$12,IF(AQ3=Цены!$H$13,Цены!$K$13,IF(AQ3=Цены!$H$14,Цены!$K$14,IF(AQ3=Цены!$H$14,Цены!$K$14,IF(AQ3=Цены!$H$15,Цены!$K$15,IF(AQ3=Цены!$H$16,Цены!$K$16,IF(AQ3=Цены!$H$17,Цены!$K$17,IF(AQ3=Цены!$H$18,Цены!$K$18,IF(AQ3=Цены!$H$19,Цены!$K$19,IF(AQ3=Цены!$H$20,Цены!$K$20,IF(AQ3=Цены!$H$21,Цены!$K$21,IF(AQ3=Цены!$H$22,Цены!$K$22,IF(AQ3=Цены!$H$23,Цены!$K$23,IF(AQ3=Цены!$H$24,Цены!$K$24,IF(AQ3=Цены!$H$25,Цены!$K$25,IF(AQ3=Цены!$H$26,Цены!$K$26,IF(AQ3=Цены!$H$27,Цены!$K$27,IF(AQ3=Цены!$H$28,Цены!$K$28,IF(AQ3=Цены!$H$29,Цены!$K$29,IF(AQ3=Цены!$H$30,Цены!$K$30,IF(AQ3=Цены!$H$31,Цены!$K$31,IF(AQ3=Цены!$H$32,Цены!$K$32,IF(AQ3=Цены!$H$33,Цены!$K$33,IF(AQ3=Цены!$H$34,Цены!$K$34,IF(AQ3=Цены!$H$35,Цены!$K$35,IF(AQ3=Цены!$H$36,Цены!$K$36,IF(AQ3=Цены!$H$37,Цены!$K$37,IF(AQ3=Цены!$H$38,Цены!$K$38,IF(AQ3=Цены!$H$39,Цены!$K$39,IF(AQ3=Цены!$H$40,Цены!$K$40,IF(AQ3=Цены!$H$41,Цены!$K$41,IF(AQ3=Цены!$H$42,Цены!$K$42,IF(AQ3=Цены!$H$43,Цены!$K$43,IF(AQ3=Цены!$H$44,Цены!$K$44,IF(AQ3=Цены!$H$45,Цены!$K$45,IF(AQ3=Цены!$H$46,Цены!$K$46,IF(AQ3=Цены!$H$47,Цены!$K$47,IF(AQ3=Цены!$H$48,Цены!$K$48,IF(AQ3=Цены!$H$49,Цены!$K$49,IF(AQ3=Цены!$H$50,Цены!$K$50,IF(AQ3=Цены!$H$51,Цены!$K$51,IF(AQ3=Цены!$H$52,Цены!$K$52,IF(AQ3=Цены!$H$53,Цены!$K$53,IF(AQ3=Цены!$H$54,Цены!$K$54,IF(AQ3=Цены!$H$55,Цены!$K$55))))))))))))))))))))))))))))))))))))))))))))))))))))))</f>
        <v>0</v>
      </c>
      <c r="AV3" s="265">
        <v>5</v>
      </c>
      <c r="AW3" s="265">
        <v>800</v>
      </c>
      <c r="AX3" s="269">
        <f>AR3*AU3+AR4*AU4+AR5*AU5+AR6*AU6</f>
        <v>896</v>
      </c>
      <c r="AY3" s="286">
        <f>AV3*AW3</f>
        <v>4000</v>
      </c>
      <c r="AZ3" s="269">
        <f>AX3+AY3</f>
        <v>4896</v>
      </c>
      <c r="BA3" s="265">
        <f>AV3*AW3*1.1</f>
        <v>4400</v>
      </c>
      <c r="BB3" s="269">
        <f>BA3/AZ3*100</f>
        <v>89.869281045751634</v>
      </c>
      <c r="BC3" s="287">
        <f>MROUND(AZ3+BA3,500)</f>
        <v>9500</v>
      </c>
      <c r="BD3" s="243"/>
      <c r="BE3" s="123" t="s">
        <v>139</v>
      </c>
      <c r="BF3" s="43">
        <v>3</v>
      </c>
      <c r="BG3" s="33" t="b">
        <f>IF(BE3=Цены!$H$3,Цены!$L$3,IF(BE3=Цены!$H$4,Цены!$L$4,IF(BE3=Цены!$H$5,Цены!$L$5,IF(BE3=Цены!$H$6,Цены!$L$6,IF(BE3=Цены!$H$7,Цены!$L$7,IF(BE3=Цены!$H$8,Цены!$L$8,IF(BE3=Цены!$H$9,Цены!$L$9,IF(BE3=Цены!$H$10,Цены!$L$10,IF(BE3=Цены!$H$11,Цены!$L$11,IF(BE3=Цены!$H$12,Цены!$L$12,IF(BE3=Цены!$H$13,Цены!$L$13,IF(BE3=Цены!$H$14,Цены!$L$14,IF(BE3=Цены!$H$14,Цены!$L$14,IF(BE3=Цены!$H$15,Цены!$L$15,IF(BE3=Цены!$H$16,Цены!$L$16,IF(BE3=Цены!$H$17,Цены!$L$17,IF(BE3=Цены!$H$18,Цены!$L$18,IF(BE3=Цены!$H$19,Цены!$L$19,IF(BE3=Цены!$H$20,Цены!$L$20,IF(BE3=Цены!$H$21,Цены!$L$21,IF(BE3=Цены!$H$22,Цены!$L$22,IF(BE3=Цены!$H$23,Цены!$L$23,IF(BE3=Цены!$H$24,Цены!$L$24,IF(BE3=Цены!$H$25,Цены!$L$25,IF(BE3=Цены!$H$26,Цены!$L$26,IF(BE3=Цены!$H$27,Цены!$L$27,IF(BE3=Цены!$H$28,Цены!$L$28,IF(BE3=Цены!$H$29,Цены!$L$29,IF(BE3=Цены!$H$30,Цены!$L$30,IF(BE3=Цены!$H$31,Цены!$L$31,IF(BE3=Цены!$H$32,Цены!$L$32,IF(BE3=Цены!$H$33,Цены!$L$33,IF(BE3=Цены!$H$34,Цены!$L$34,IF(BE3=Цены!$H$35,Цены!$L$35,IF(BE3=Цены!$H$36,Цены!$L$36,IF(BE3=Цены!$H$37,Цены!$L$37,IF(BE3=Цены!$H$38,Цены!$L$38,IF(BE3=Цены!$H$39,Цены!$L$39,IF(BE3=Цены!$H$40,Цены!$L$40,IF(BE3=Цены!$H$41,Цены!$L$41,IF(BE3=Цены!$H$42,Цены!$L$42,IF(BE3=Цены!$H$43,Цены!$L$43,IF(BE3=Цены!$H$44,Цены!$L$44,IF(BE3=Цены!$H$45,Цены!$L$45,IF(BE3=Цены!$H$46,Цены!$L$46,IF(BE3=Цены!$H$47,Цены!$L$47,IF(BE3=Цены!$H$48,Цены!$L$48,IF(BE3=Цены!$H$49,Цены!$L$49,IF(BE3=Цены!$H$50,Цены!$L$50,IF(BE3=Цены!$H$51,Цены!$L$51,IF(BE3=Цены!$H$52,Цены!$L$52,IF(BE3=Цены!$H$53,Цены!$L$53,IF(BE3=Цены!$H$54,Цены!$L$54,IF(BE3=Цены!$H$55,Цены!$L$55))))))))))))))))))))))))))))))))))))))))))))))))))))))</f>
        <v>0</v>
      </c>
      <c r="BH3" s="276">
        <f>BF3*BG3+BF4*BG4+BF5*BG5+BF6*BG6</f>
        <v>0.38</v>
      </c>
      <c r="BI3" s="34" t="b">
        <f>IF(BE3=Цены!$H$3,Цены!$K$3,IF(BE3=Цены!$H$4,Цены!$K$4,IF(BE3=Цены!$H$5,Цены!$K$5,IF(BE3=Цены!$H$6,Цены!$K$6,IF(BE3=Цены!$H$7,Цены!$K$7,IF(BE3=Цены!$H$8,Цены!$K$8,IF(BE3=Цены!$H$9,Цены!$K$9,IF(BE3=Цены!$H$10,Цены!$K$10,IF(BE3=Цены!$H$11,Цены!$K$11,IF(BE3=Цены!$H$12,Цены!$K$12,IF(BE3=Цены!$H$13,Цены!$K$13,IF(BE3=Цены!$H$14,Цены!$K$14,IF(BE3=Цены!$H$14,Цены!$K$14,IF(BE3=Цены!$H$15,Цены!$K$15,IF(BE3=Цены!$H$16,Цены!$K$16,IF(BE3=Цены!$H$17,Цены!$K$17,IF(BE3=Цены!$H$18,Цены!$K$18,IF(BE3=Цены!$H$19,Цены!$K$19,IF(BE3=Цены!$H$20,Цены!$K$20,IF(BE3=Цены!$H$21,Цены!$K$21,IF(BE3=Цены!$H$22,Цены!$K$22,IF(BE3=Цены!$H$23,Цены!$K$23,IF(BE3=Цены!$H$24,Цены!$K$24,IF(BE3=Цены!$H$25,Цены!$K$25,IF(BE3=Цены!$H$26,Цены!$K$26,IF(BE3=Цены!$H$27,Цены!$K$27,IF(BE3=Цены!$H$28,Цены!$K$28,IF(BE3=Цены!$H$29,Цены!$K$29,IF(BE3=Цены!$H$30,Цены!$K$30,IF(BE3=Цены!$H$31,Цены!$K$31,IF(BE3=Цены!$H$32,Цены!$K$32,IF(BE3=Цены!$H$33,Цены!$K$33,IF(BE3=Цены!$H$34,Цены!$K$34,IF(BE3=Цены!$H$35,Цены!$K$35,IF(BE3=Цены!$H$36,Цены!$K$36,IF(BE3=Цены!$H$37,Цены!$K$37,IF(BE3=Цены!$H$38,Цены!$K$38,IF(BE3=Цены!$H$39,Цены!$K$39,IF(BE3=Цены!$H$40,Цены!$K$40,IF(BE3=Цены!$H$41,Цены!$K$41,IF(BE3=Цены!$H$42,Цены!$K$42,IF(BE3=Цены!$H$43,Цены!$K$43,IF(BE3=Цены!$H$44,Цены!$K$44,IF(BE3=Цены!$H$45,Цены!$K$45,IF(BE3=Цены!$H$46,Цены!$K$46,IF(BE3=Цены!$H$47,Цены!$K$47,IF(BE3=Цены!$H$48,Цены!$K$48,IF(BE3=Цены!$H$49,Цены!$K$49,IF(BE3=Цены!$H$50,Цены!$K$50,IF(BE3=Цены!$H$51,Цены!$K$51,IF(BE3=Цены!$H$52,Цены!$K$52,IF(BE3=Цены!$H$53,Цены!$K$53,IF(BE3=Цены!$H$54,Цены!$K$54,IF(BE3=Цены!$H$55,Цены!$K$55))))))))))))))))))))))))))))))))))))))))))))))))))))))</f>
        <v>0</v>
      </c>
      <c r="BJ3" s="265">
        <v>3.5</v>
      </c>
      <c r="BK3" s="265">
        <v>800</v>
      </c>
      <c r="BL3" s="269">
        <f>BF3*BI3+BF4*BI4+BF5*BI5+BF6*BI6</f>
        <v>896</v>
      </c>
      <c r="BM3" s="286">
        <f>BJ3*BK3</f>
        <v>2800</v>
      </c>
      <c r="BN3" s="269">
        <f>BL3+BM3</f>
        <v>3696</v>
      </c>
      <c r="BO3" s="265">
        <f>BJ3*BK3*1.1</f>
        <v>3080.0000000000005</v>
      </c>
      <c r="BP3" s="269">
        <f>BO3/BN3*100</f>
        <v>83.333333333333343</v>
      </c>
      <c r="BQ3" s="287">
        <f>MROUND(BN3+BO3,500)</f>
        <v>7000</v>
      </c>
      <c r="BR3" s="121" t="s">
        <v>62</v>
      </c>
      <c r="BS3" s="43">
        <v>2</v>
      </c>
      <c r="BT3" s="33" t="b">
        <f>IF(BR3=Цены!$H$3,Цены!$L$3,IF(BR3=Цены!$H$4,Цены!$L$4,IF(BR3=Цены!$H$5,Цены!$L$5,IF(BR3=Цены!$H$6,Цены!$L$6,IF(BR3=Цены!$H$7,Цены!$L$7,IF(BR3=Цены!$H$8,Цены!$L$8,IF(BR3=Цены!$H$9,Цены!$L$9,IF(BR3=Цены!$H$10,Цены!$L$10,IF(BR3=Цены!$H$11,Цены!$L$11,IF(BR3=Цены!$H$12,Цены!$L$12,IF(BR3=Цены!$H$13,Цены!$L$13,IF(BR3=Цены!$H$14,Цены!$L$14,IF(BR3=Цены!$H$14,Цены!$L$14,IF(BR3=Цены!$H$15,Цены!$L$15,IF(BR3=Цены!$H$16,Цены!$L$16,IF(BR3=Цены!$H$17,Цены!$L$17,IF(BR3=Цены!$H$18,Цены!$L$18,IF(BR3=Цены!$H$19,Цены!$L$19,IF(BR3=Цены!$H$20,Цены!$L$20,IF(BR3=Цены!$H$21,Цены!$L$21,IF(BR3=Цены!$H$22,Цены!$L$22,IF(BR3=Цены!$H$23,Цены!$L$23,IF(BR3=Цены!$H$24,Цены!$L$24,IF(BR3=Цены!$H$25,Цены!$L$25,IF(BR3=Цены!$H$26,Цены!$L$26,IF(BR3=Цены!$H$27,Цены!$L$27,IF(BR3=Цены!$H$28,Цены!$L$28,IF(BR3=Цены!$H$29,Цены!$L$29,IF(BR3=Цены!$H$30,Цены!$L$30,IF(BR3=Цены!$H$31,Цены!$L$31,IF(BR3=Цены!$H$32,Цены!$L$32,IF(BR3=Цены!$H$33,Цены!$L$33,IF(BR3=Цены!$H$34,Цены!$L$34,IF(BR3=Цены!$H$35,Цены!$L$35,IF(BR3=Цены!$H$36,Цены!$L$36,IF(BR3=Цены!$H$37,Цены!$L$37,IF(BR3=Цены!$H$38,Цены!$L$38,IF(BR3=Цены!$H$39,Цены!$L$39,IF(BR3=Цены!$H$40,Цены!$L$40,IF(BR3=Цены!$H$41,Цены!$L$41,IF(BR3=Цены!$H$42,Цены!$L$42,IF(BR3=Цены!$H$43,Цены!$L$43,IF(BR3=Цены!$H$44,Цены!$L$44,IF(BR3=Цены!$H$45,Цены!$L$45,IF(BR3=Цены!$H$46,Цены!$L$46,IF(BR3=Цены!$H$47,Цены!$L$47,IF(BR3=Цены!$H$48,Цены!$L$48,IF(BR3=Цены!$H$49,Цены!$L$49,IF(BR3=Цены!$H$50,Цены!$L$50,IF(BR3=Цены!$H$51,Цены!$L$51,IF(BR3=Цены!$H$52,Цены!$L$52,IF(BR3=Цены!$H$53,Цены!$L$53,IF(BR3=Цены!$H$54,Цены!$L$54,IF(BR3=Цены!$H$55,Цены!$L$55))))))))))))))))))))))))))))))))))))))))))))))))))))))</f>
        <v>0</v>
      </c>
      <c r="BU3" s="276">
        <f>BS3*BT3+BS4*BT4+BS5*BT5+BS6*BT6</f>
        <v>1.2</v>
      </c>
      <c r="BV3" s="34" t="b">
        <f>IF(BR3=Цены!$H$3,Цены!$K$3,IF(BR3=Цены!$H$4,Цены!$K$4,IF(BR3=Цены!$H$5,Цены!$K$5,IF(BR3=Цены!$H$6,Цены!$K$6,IF(BR3=Цены!$H$7,Цены!$K$7,IF(BR3=Цены!$H$8,Цены!$K$8,IF(BR3=Цены!$H$9,Цены!$K$9,IF(BR3=Цены!$H$10,Цены!$K$10,IF(BR3=Цены!$H$11,Цены!$K$11,IF(BR3=Цены!$H$12,Цены!$K$12,IF(BR3=Цены!$H$13,Цены!$K$13,IF(BR3=Цены!$H$14,Цены!$K$14,IF(BR3=Цены!$H$14,Цены!$K$14,IF(BR3=Цены!$H$15,Цены!$K$15,IF(BR3=Цены!$H$16,Цены!$K$16,IF(BR3=Цены!$H$17,Цены!$K$17,IF(BR3=Цены!$H$18,Цены!$K$18,IF(BR3=Цены!$H$19,Цены!$K$19,IF(BR3=Цены!$H$20,Цены!$K$20,IF(BR3=Цены!$H$21,Цены!$K$21,IF(BR3=Цены!$H$22,Цены!$K$22,IF(BR3=Цены!$H$23,Цены!$K$23,IF(BR3=Цены!$H$24,Цены!$K$24,IF(BR3=Цены!$H$25,Цены!$K$25,IF(BR3=Цены!$H$26,Цены!$K$26,IF(BR3=Цены!$H$27,Цены!$K$27,IF(BR3=Цены!$H$28,Цены!$K$28,IF(BR3=Цены!$H$29,Цены!$K$29,IF(BR3=Цены!$H$30,Цены!$K$30,IF(BR3=Цены!$H$31,Цены!$K$31,IF(BR3=Цены!$H$32,Цены!$K$32,IF(BR3=Цены!$H$33,Цены!$K$33,IF(BR3=Цены!$H$34,Цены!$K$34,IF(BR3=Цены!$H$35,Цены!$K$35,IF(BR3=Цены!$H$36,Цены!$K$36,IF(BR3=Цены!$H$37,Цены!$K$37,IF(BR3=Цены!$H$38,Цены!$K$38,IF(BR3=Цены!$H$39,Цены!$K$39,IF(BR3=Цены!$H$40,Цены!$K$40,IF(BR3=Цены!$H$41,Цены!$K$41,IF(BR3=Цены!$H$42,Цены!$K$42,IF(BR3=Цены!$H$43,Цены!$K$43,IF(BR3=Цены!$H$44,Цены!$K$44,IF(BR3=Цены!$H$45,Цены!$K$45,IF(BR3=Цены!$H$46,Цены!$K$46,IF(BR3=Цены!$H$47,Цены!$K$47,IF(BR3=Цены!$H$48,Цены!$K$48,IF(BR3=Цены!$H$49,Цены!$K$49,IF(BR3=Цены!$H$50,Цены!$K$50,IF(BR3=Цены!$H$51,Цены!$K$51,IF(BR3=Цены!$H$52,Цены!$K$52,IF(BR3=Цены!$H$53,Цены!$K$53,IF(BR3=Цены!$H$54,Цены!$K$54,IF(BR3=Цены!$H$55,Цены!$K$55))))))))))))))))))))))))))))))))))))))))))))))))))))))</f>
        <v>0</v>
      </c>
      <c r="BW3" s="265">
        <v>1</v>
      </c>
      <c r="BX3" s="265">
        <v>800</v>
      </c>
      <c r="BY3" s="269">
        <f>BS3*BV3+BS4*BV4+BS5*BV5+BS6*BV6</f>
        <v>332</v>
      </c>
      <c r="BZ3" s="286">
        <f>BW3*BX3</f>
        <v>800</v>
      </c>
      <c r="CA3" s="269">
        <f>BY3+BZ3</f>
        <v>1132</v>
      </c>
      <c r="CB3" s="265">
        <f>BW3*BX3*1.1</f>
        <v>880.00000000000011</v>
      </c>
      <c r="CC3" s="269">
        <f>CB3/CA3*100</f>
        <v>77.738515901060083</v>
      </c>
      <c r="CD3" s="287">
        <f>MROUND(CA3+CB3,500)</f>
        <v>2000</v>
      </c>
      <c r="CE3" s="117" t="s">
        <v>62</v>
      </c>
      <c r="CF3" s="43">
        <v>2</v>
      </c>
      <c r="CG3" s="33" t="b">
        <f>IF(CE3=Цены!$H$3,Цены!$L$3,IF(CE3=Цены!$H$4,Цены!$L$4,IF(CE3=Цены!$H$5,Цены!$L$5,IF(CE3=Цены!$H$6,Цены!$L$6,IF(CE3=Цены!$H$7,Цены!$L$7,IF(CE3=Цены!$H$8,Цены!$L$8,IF(CE3=Цены!$H$9,Цены!$L$9,IF(CE3=Цены!$H$10,Цены!$L$10,IF(CE3=Цены!$H$11,Цены!$L$11,IF(CE3=Цены!$H$12,Цены!$L$12,IF(CE3=Цены!$H$13,Цены!$L$13,IF(CE3=Цены!$H$14,Цены!$L$14,IF(CE3=Цены!$H$14,Цены!$L$14,IF(CE3=Цены!$H$15,Цены!$L$15,IF(CE3=Цены!$H$16,Цены!$L$16,IF(CE3=Цены!$H$17,Цены!$L$17,IF(CE3=Цены!$H$18,Цены!$L$18,IF(CE3=Цены!$H$19,Цены!$L$19,IF(CE3=Цены!$H$20,Цены!$L$20,IF(CE3=Цены!$H$21,Цены!$L$21,IF(CE3=Цены!$H$22,Цены!$L$22,IF(CE3=Цены!$H$23,Цены!$L$23,IF(CE3=Цены!$H$24,Цены!$L$24,IF(CE3=Цены!$H$25,Цены!$L$25,IF(CE3=Цены!$H$26,Цены!$L$26,IF(CE3=Цены!$H$27,Цены!$L$27,IF(CE3=Цены!$H$28,Цены!$L$28,IF(CE3=Цены!$H$29,Цены!$L$29,IF(CE3=Цены!$H$30,Цены!$L$30,IF(CE3=Цены!$H$31,Цены!$L$31,IF(CE3=Цены!$H$32,Цены!$L$32,IF(CE3=Цены!$H$33,Цены!$L$33,IF(CE3=Цены!$H$34,Цены!$L$34,IF(CE3=Цены!$H$35,Цены!$L$35,IF(CE3=Цены!$H$36,Цены!$L$36,IF(CE3=Цены!$H$37,Цены!$L$37,IF(CE3=Цены!$H$38,Цены!$L$38,IF(CE3=Цены!$H$39,Цены!$L$39,IF(CE3=Цены!$H$40,Цены!$L$40,IF(CE3=Цены!$H$41,Цены!$L$41,IF(CE3=Цены!$H$42,Цены!$L$42,IF(CE3=Цены!$H$43,Цены!$L$43,IF(CE3=Цены!$H$44,Цены!$L$44,IF(CE3=Цены!$H$45,Цены!$L$45,IF(CE3=Цены!$H$46,Цены!$L$46,IF(CE3=Цены!$H$47,Цены!$L$47,IF(CE3=Цены!$H$48,Цены!$L$48,IF(CE3=Цены!$H$49,Цены!$L$49,IF(CE3=Цены!$H$50,Цены!$L$50,IF(CE3=Цены!$H$51,Цены!$L$51,IF(CE3=Цены!$H$52,Цены!$L$52,IF(CE3=Цены!$H$53,Цены!$L$53,IF(CE3=Цены!$H$54,Цены!$L$54,IF(CE3=Цены!$H$55,Цены!$L$55))))))))))))))))))))))))))))))))))))))))))))))))))))))</f>
        <v>0</v>
      </c>
      <c r="CH3" s="276">
        <f>CF3*CG3+CF4*CG4+CF5*CG5+CF6*CG6</f>
        <v>1.2132000000000001</v>
      </c>
      <c r="CI3" s="34" t="b">
        <f>IF(CE3=Цены!$H$3,Цены!$K$3,IF(CE3=Цены!$H$4,Цены!$K$4,IF(CE3=Цены!$H$5,Цены!$K$5,IF(CE3=Цены!$H$6,Цены!$K$6,IF(CE3=Цены!$H$7,Цены!$K$7,IF(CE3=Цены!$H$8,Цены!$K$8,IF(CE3=Цены!$H$9,Цены!$K$9,IF(CE3=Цены!$H$10,Цены!$K$10,IF(CE3=Цены!$H$11,Цены!$K$11,IF(CE3=Цены!$H$12,Цены!$K$12,IF(CE3=Цены!$H$13,Цены!$K$13,IF(CE3=Цены!$H$14,Цены!$K$14,IF(CE3=Цены!$H$14,Цены!$K$14,IF(CE3=Цены!$H$15,Цены!$K$15,IF(CE3=Цены!$H$16,Цены!$K$16,IF(CE3=Цены!$H$17,Цены!$K$17,IF(CE3=Цены!$H$18,Цены!$K$18,IF(CE3=Цены!$H$19,Цены!$K$19,IF(CE3=Цены!$H$20,Цены!$K$20,IF(CE3=Цены!$H$21,Цены!$K$21,IF(CE3=Цены!$H$22,Цены!$K$22,IF(CE3=Цены!$H$23,Цены!$K$23,IF(CE3=Цены!$H$24,Цены!$K$24,IF(CE3=Цены!$H$25,Цены!$K$25,IF(CE3=Цены!$H$26,Цены!$K$26,IF(CE3=Цены!$H$27,Цены!$K$27,IF(CE3=Цены!$H$28,Цены!$K$28,IF(CE3=Цены!$H$29,Цены!$K$29,IF(CE3=Цены!$H$30,Цены!$K$30,IF(CE3=Цены!$H$31,Цены!$K$31,IF(CE3=Цены!$H$32,Цены!$K$32,IF(CE3=Цены!$H$33,Цены!$K$33,IF(CE3=Цены!$H$34,Цены!$K$34,IF(CE3=Цены!$H$35,Цены!$K$35,IF(CE3=Цены!$H$36,Цены!$K$36,IF(CE3=Цены!$H$37,Цены!$K$37,IF(CE3=Цены!$H$38,Цены!$K$38,IF(CE3=Цены!$H$39,Цены!$K$39,IF(CE3=Цены!$H$40,Цены!$K$40,IF(CE3=Цены!$H$41,Цены!$K$41,IF(CE3=Цены!$H$42,Цены!$K$42,IF(CE3=Цены!$H$43,Цены!$K$43,IF(CE3=Цены!$H$44,Цены!$K$44,IF(CE3=Цены!$H$45,Цены!$K$45,IF(CE3=Цены!$H$46,Цены!$K$46,IF(CE3=Цены!$H$47,Цены!$K$47,IF(CE3=Цены!$H$48,Цены!$K$48,IF(CE3=Цены!$H$49,Цены!$K$49,IF(CE3=Цены!$H$50,Цены!$K$50,IF(CE3=Цены!$H$51,Цены!$K$51,IF(CE3=Цены!$H$52,Цены!$K$52,IF(CE3=Цены!$H$53,Цены!$K$53,IF(CE3=Цены!$H$54,Цены!$K$54,IF(CE3=Цены!$H$55,Цены!$K$55))))))))))))))))))))))))))))))))))))))))))))))))))))))</f>
        <v>0</v>
      </c>
      <c r="CJ3" s="265">
        <v>1.5</v>
      </c>
      <c r="CK3" s="265">
        <v>800</v>
      </c>
      <c r="CL3" s="269">
        <f>CF3*CI3+CF4*CI4+CF5*CI5+CF6*CI6</f>
        <v>386</v>
      </c>
      <c r="CM3" s="286">
        <f>CJ3*CK3</f>
        <v>1200</v>
      </c>
      <c r="CN3" s="269">
        <f>CL3+CM3</f>
        <v>1586</v>
      </c>
      <c r="CO3" s="265">
        <f>CJ3*CK3*1.1</f>
        <v>1320</v>
      </c>
      <c r="CP3" s="269">
        <f>CO3/CN3*100</f>
        <v>83.228247162673398</v>
      </c>
      <c r="CQ3" s="287">
        <f>MROUND(CN3+CO3,500)</f>
        <v>3000</v>
      </c>
    </row>
    <row r="4" spans="1:95" s="36" customFormat="1" ht="15.75" hidden="1" x14ac:dyDescent="0.25">
      <c r="A4" s="341"/>
      <c r="B4" s="265"/>
      <c r="C4" s="286"/>
      <c r="D4" s="31" t="s">
        <v>122</v>
      </c>
      <c r="E4" s="32">
        <v>5</v>
      </c>
      <c r="F4" s="33">
        <f>IF(D4=Цены!$H$3,Цены!$L$3,IF(D4=Цены!$H$4,Цены!$L$4,IF(D4=Цены!$H$5,Цены!$L$5,IF(D4=Цены!$H$6,Цены!$L$6,IF(D4=Цены!$H$7,Цены!$L$7,IF(D4=Цены!$H$8,Цены!$L$8,IF(D4=Цены!$H$9,Цены!$L$9,IF(D4=Цены!$H$10,Цены!$L$10,IF(D4=Цены!$H$11,Цены!$L$11,IF(D4=Цены!$H$12,Цены!$L$12,IF(D4=Цены!$H$13,Цены!$L$13,IF(D4=Цены!$H$14,Цены!$L$14,IF(D4=Цены!$H$14,Цены!$L$14,IF(D4=Цены!$H$15,Цены!$L$15,IF(D4=Цены!$H$16,Цены!$L$16,IF(D4=Цены!$H$17,Цены!$L$17,IF(D4=Цены!$H$18,Цены!$L$18,IF(D4=Цены!$H$19,Цены!$L$19,IF(D4=Цены!$H$20,Цены!$L$20,IF(D4=Цены!$H$21,Цены!$L$21,IF(D4=Цены!$H$22,Цены!$L$22,IF(D4=Цены!$H$23,Цены!$L$23,IF(D4=Цены!$H$24,Цены!$L$24,IF(D4=Цены!$H$25,Цены!$L$25,IF(D4=Цены!$H$26,Цены!$L$26,IF(D4=Цены!$H$27,Цены!$L$27,IF(D4=Цены!$H$28,Цены!$L$28,IF(D4=Цены!$H$29,Цены!$L$29,IF(D4=Цены!$H$30,Цены!$L$30,IF(D4=Цены!$H$31,Цены!$L$31,IF(D4=Цены!$H$32,Цены!$L$32,IF(D4=Цены!$H$33,Цены!$L$33,IF(D4=Цены!$H$34,Цены!$L$34,IF(D4=Цены!$H$35,Цены!$L$35,IF(D4=Цены!$H$36,Цены!$L$36,IF(D4=Цены!$H$37,Цены!$L$37,IF(D4=Цены!$H$38,Цены!$L$38,IF(D4=Цены!$H$39,Цены!$L$39,IF(D4=Цены!$H$40,Цены!$L$40,IF(D4=Цены!$H$41,Цены!$L$41,IF(D4=Цены!$H$42,Цены!$L$42,IF(D4=Цены!$H$43,Цены!$L$43,IF(D4=Цены!$H$44,Цены!$L$44,IF(D4=Цены!$H$45,Цены!$L$45,IF(D4=Цены!$H$46,Цены!$L$46,IF(D4=Цены!$H$47,Цены!$L$47,IF(D4=Цены!$H$48,Цены!$L$48,IF(D4=Цены!$H$49,Цены!$L$49,IF(D4=Цены!$H$50,Цены!$L$50,IF(D4=Цены!$H$51,Цены!$L$51,IF(D4=Цены!$H$52,Цены!$L$52,IF(D4=Цены!$H$53,Цены!$L$53,IF(D4=Цены!$H$54,Цены!$L$54,IF(D4=Цены!$H$55,Цены!$L$55))))))))))))))))))))))))))))))))))))))))))))))))))))))</f>
        <v>0.6</v>
      </c>
      <c r="G4" s="276"/>
      <c r="H4" s="34">
        <f>IF(D4=Цены!$H$3,Цены!$K$3,IF(D4=Цены!$H$4,Цены!$K$4,IF(D4=Цены!$H$5,Цены!$K$5,IF(D4=Цены!$H$6,Цены!$K$6,IF(D4=Цены!$H$7,Цены!$K$7,IF(D4=Цены!$H$8,Цены!$K$8,IF(D4=Цены!$H$9,Цены!$K$9,IF(D4=Цены!$H$10,Цены!$K$10,IF(D4=Цены!$H$11,Цены!$K$11,IF(D4=Цены!$H$12,Цены!$K$12,IF(D4=Цены!$H$13,Цены!$K$13,IF(D4=Цены!$H$14,Цены!$K$14,IF(D4=Цены!$H$14,Цены!$K$14,IF(D4=Цены!$H$15,Цены!$K$15,IF(D4=Цены!$H$16,Цены!$K$16,IF(D4=Цены!$H$17,Цены!$K$17,IF(D4=Цены!$H$18,Цены!$K$18,IF(D4=Цены!$H$19,Цены!$K$19,IF(D4=Цены!$H$20,Цены!$K$20,IF(D4=Цены!$H$21,Цены!$K$21,IF(D4=Цены!$H$22,Цены!$K$22,IF(D4=Цены!$H$23,Цены!$K$23,IF(D4=Цены!$H$24,Цены!$K$24,IF(D4=Цены!$H$25,Цены!$K$25,IF(D4=Цены!$H$26,Цены!$K$26,IF(D4=Цены!$H$27,Цены!$K$27,IF(D4=Цены!$H$28,Цены!$K$28,IF(D4=Цены!$H$29,Цены!$K$29,IF(D4=Цены!$H$30,Цены!$K$30,IF(D4=Цены!$H$31,Цены!$K$31,IF(D4=Цены!$H$32,Цены!$K$32,IF(D4=Цены!$H$33,Цены!$K$33,IF(D4=Цены!$H$34,Цены!$K$34,IF(D4=Цены!$H$35,Цены!$K$35,IF(D4=Цены!$H$36,Цены!$K$36,IF(D4=Цены!$H$37,Цены!$K$37,IF(D4=Цены!$H$38,Цены!$K$38,IF(D4=Цены!$H$39,Цены!$K$39,IF(D4=Цены!$H$40,Цены!$K$40,IF(D4=Цены!$H$41,Цены!$K$41,IF(D4=Цены!$H$42,Цены!$K$42,IF(D4=Цены!$H$43,Цены!$K$43,IF(D4=Цены!$H$44,Цены!$K$44,IF(D4=Цены!$H$45,Цены!$K$45,IF(D4=Цены!$H$46,Цены!$K$46,IF(D4=Цены!$H$47,Цены!$K$47,IF(D4=Цены!$H$48,Цены!$K$48,IF(D4=Цены!$H$49,Цены!$K$49,IF(D4=Цены!$H$50,Цены!$K$50,IF(D4=Цены!$H$51,Цены!$K$51,IF(D4=Цены!$H$52,Цены!$K$52,IF(D4=Цены!$H$53,Цены!$K$53,IF(D4=Цены!$H$54,Цены!$K$54,IF(D4=Цены!$H$55,Цены!$K$55))))))))))))))))))))))))))))))))))))))))))))))))))))))</f>
        <v>166</v>
      </c>
      <c r="I4" s="265"/>
      <c r="J4" s="265"/>
      <c r="K4" s="269"/>
      <c r="L4" s="286"/>
      <c r="M4" s="286"/>
      <c r="N4" s="265"/>
      <c r="O4" s="269"/>
      <c r="P4" s="287"/>
      <c r="Q4" s="123" t="s">
        <v>80</v>
      </c>
      <c r="R4" s="32">
        <v>2</v>
      </c>
      <c r="S4" s="33">
        <f>IF(Q4=Цены!$H$3,Цены!$L$3,IF(Q4=Цены!$H$4,Цены!$L$4,IF(Q4=Цены!$H$5,Цены!$L$5,IF(Q4=Цены!$H$6,Цены!$L$6,IF(Q4=Цены!$H$7,Цены!$L$7,IF(Q4=Цены!$H$8,Цены!$L$8,IF(Q4=Цены!$H$9,Цены!$L$9,IF(Q4=Цены!$H$10,Цены!$L$10,IF(Q4=Цены!$H$11,Цены!$L$11,IF(Q4=Цены!$H$12,Цены!$L$12,IF(Q4=Цены!$H$13,Цены!$L$13,IF(Q4=Цены!$H$14,Цены!$L$14,IF(Q4=Цены!$H$14,Цены!$L$14,IF(Q4=Цены!$H$15,Цены!$L$15,IF(Q4=Цены!$H$16,Цены!$L$16,IF(Q4=Цены!$H$17,Цены!$L$17,IF(Q4=Цены!$H$18,Цены!$L$18,IF(Q4=Цены!$H$19,Цены!$L$19,IF(Q4=Цены!$H$20,Цены!$L$20,IF(Q4=Цены!$H$21,Цены!$L$21,IF(Q4=Цены!$H$22,Цены!$L$22,IF(Q4=Цены!$H$23,Цены!$L$23,IF(Q4=Цены!$H$24,Цены!$L$24,IF(Q4=Цены!$H$25,Цены!$L$25,IF(Q4=Цены!$H$26,Цены!$L$26,IF(Q4=Цены!$H$27,Цены!$L$27,IF(Q4=Цены!$H$28,Цены!$L$28,IF(Q4=Цены!$H$29,Цены!$L$29,IF(Q4=Цены!$H$30,Цены!$L$30,IF(Q4=Цены!$H$31,Цены!$L$31,IF(Q4=Цены!$H$32,Цены!$L$32,IF(Q4=Цены!$H$33,Цены!$L$33,IF(Q4=Цены!$H$34,Цены!$L$34,IF(Q4=Цены!$H$35,Цены!$L$35,IF(Q4=Цены!$H$36,Цены!$L$36,IF(Q4=Цены!$H$37,Цены!$L$37,IF(Q4=Цены!$H$38,Цены!$L$38,IF(Q4=Цены!$H$39,Цены!$L$39,IF(Q4=Цены!$H$40,Цены!$L$40,IF(Q4=Цены!$H$41,Цены!$L$41,IF(Q4=Цены!$H$42,Цены!$L$42,IF(Q4=Цены!$H$43,Цены!$L$43,IF(Q4=Цены!$H$44,Цены!$L$44,IF(Q4=Цены!$H$45,Цены!$L$45,IF(Q4=Цены!$H$46,Цены!$L$46,IF(Q4=Цены!$H$47,Цены!$L$47,IF(Q4=Цены!$H$48,Цены!$L$48,IF(Q4=Цены!$H$49,Цены!$L$49,IF(Q4=Цены!$H$50,Цены!$L$50,IF(Q4=Цены!$H$51,Цены!$L$51,IF(Q4=Цены!$H$52,Цены!$L$52,IF(Q4=Цены!$H$53,Цены!$L$53,IF(Q4=Цены!$H$54,Цены!$L$54,IF(Q4=Цены!$H$55,Цены!$L$55))))))))))))))))))))))))))))))))))))))))))))))))))))))</f>
        <v>0.64</v>
      </c>
      <c r="T4" s="276"/>
      <c r="U4" s="160">
        <f>IF(Q4=Цены!$H$3,Цены!$K$3,IF(Q4=Цены!$H$4,Цены!$K$4,IF(Q4=Цены!$H$5,Цены!$K$5,IF(Q4=Цены!$H$6,Цены!$K$6,IF(Q4=Цены!$H$7,Цены!$K$7,IF(Q4=Цены!$H$8,Цены!$K$8,IF(Q4=Цены!$H$9,Цены!$K$9,IF(Q4=Цены!$H$10,Цены!$K$10,IF(Q4=Цены!$H$11,Цены!$K$11,IF(Q4=Цены!$H$12,Цены!$K$12,IF(Q4=Цены!$H$13,Цены!$K$13,IF(Q4=Цены!$H$14,Цены!$K$14,IF(Q4=Цены!$H$14,Цены!$K$14,IF(Q4=Цены!$H$15,Цены!$K$15,IF(Q4=Цены!$H$16,Цены!$K$16,IF(Q4=Цены!$H$17,Цены!$K$17,IF(Q4=Цены!$H$18,Цены!$K$18,IF(Q4=Цены!$H$19,Цены!$K$19,IF(Q4=Цены!$H$20,Цены!$K$20,IF(Q4=Цены!$H$21,Цены!$K$21,IF(Q4=Цены!$H$22,Цены!$K$22,IF(Q4=Цены!$H$23,Цены!$K$23,IF(Q4=Цены!$H$24,Цены!$K$24,IF(Q4=Цены!$H$25,Цены!$K$25,IF(Q4=Цены!$H$26,Цены!$K$26,IF(Q4=Цены!$H$27,Цены!$K$27,IF(Q4=Цены!$H$28,Цены!$K$28,IF(Q4=Цены!$H$29,Цены!$K$29,IF(Q4=Цены!$H$30,Цены!$K$30,IF(Q4=Цены!$H$31,Цены!$K$31,IF(Q4=Цены!$H$32,Цены!$K$32,IF(Q4=Цены!$H$33,Цены!$K$33,IF(Q4=Цены!$H$34,Цены!$K$34,IF(Q4=Цены!$H$35,Цены!$K$35,IF(Q4=Цены!$H$36,Цены!$K$36,IF(Q4=Цены!$H$37,Цены!$K$37,IF(Q4=Цены!$H$38,Цены!$K$38,IF(Q4=Цены!$H$39,Цены!$K$39,IF(Q4=Цены!$H$40,Цены!$K$40,IF(Q4=Цены!$H$41,Цены!$K$41,IF(Q4=Цены!$H$42,Цены!$K$42,IF(Q4=Цены!$H$43,Цены!$K$43,IF(Q4=Цены!$H$44,Цены!$K$44,IF(Q4=Цены!$H$45,Цены!$K$45,IF(Q4=Цены!$H$46,Цены!$K$46,IF(Q4=Цены!$H$47,Цены!$K$47,IF(Q4=Цены!$H$48,Цены!$K$48,IF(Q4=Цены!$H$49,Цены!$K$49,IF(Q4=Цены!$H$50,Цены!$K$50,IF(Q4=Цены!$H$51,Цены!$K$51,IF(Q4=Цены!$H$52,Цены!$K$52,IF(Q4=Цены!$H$53,Цены!$K$53,IF(Q4=Цены!$H$54,Цены!$K$54,IF(Q4=Цены!$H$55,Цены!$K$55))))))))))))))))))))))))))))))))))))))))))))))))))))))</f>
        <v>312</v>
      </c>
      <c r="V4" s="265"/>
      <c r="W4" s="265"/>
      <c r="X4" s="269"/>
      <c r="Y4" s="286"/>
      <c r="Z4" s="286"/>
      <c r="AA4" s="265"/>
      <c r="AB4" s="269"/>
      <c r="AC4" s="287"/>
      <c r="AD4" s="35" t="s">
        <v>64</v>
      </c>
      <c r="AE4" s="32">
        <v>3</v>
      </c>
      <c r="AF4" s="33">
        <f>IF(AD4=Цены!$H$3,Цены!$L$3,IF(AD4=Цены!$H$4,Цены!$L$4,IF(AD4=Цены!$H$5,Цены!$L$5,IF(AD4=Цены!$H$6,Цены!$L$6,IF(AD4=Цены!$H$7,Цены!$L$7,IF(AD4=Цены!$H$8,Цены!$L$8,IF(AD4=Цены!$H$9,Цены!$L$9,IF(AD4=Цены!$H$10,Цены!$L$10,IF(AD4=Цены!$H$11,Цены!$L$11,IF(AD4=Цены!$H$12,Цены!$L$12,IF(AD4=Цены!$H$13,Цены!$L$13,IF(AD4=Цены!$H$14,Цены!$L$14,IF(AD4=Цены!$H$14,Цены!$L$14,IF(AD4=Цены!$H$15,Цены!$L$15,IF(AD4=Цены!$H$16,Цены!$L$16,IF(AD4=Цены!$H$17,Цены!$L$17,IF(AD4=Цены!$H$18,Цены!$L$18,IF(AD4=Цены!$H$19,Цены!$L$19,IF(AD4=Цены!$H$20,Цены!$L$20,IF(AD4=Цены!$H$21,Цены!$L$21,IF(AD4=Цены!$H$22,Цены!$L$22,IF(AD4=Цены!$H$23,Цены!$L$23,IF(AD4=Цены!$H$24,Цены!$L$24,IF(AD4=Цены!$H$25,Цены!$L$25,IF(AD4=Цены!$H$26,Цены!$L$26,IF(AD4=Цены!$H$27,Цены!$L$27,IF(AD4=Цены!$H$28,Цены!$L$28,IF(AD4=Цены!$H$29,Цены!$L$29,IF(AD4=Цены!$H$30,Цены!$L$30,IF(AD4=Цены!$H$31,Цены!$L$31,IF(AD4=Цены!$H$32,Цены!$L$32,IF(AD4=Цены!$H$33,Цены!$L$33,IF(AD4=Цены!$H$34,Цены!$L$34,IF(AD4=Цены!$H$35,Цены!$L$35,IF(AD4=Цены!$H$36,Цены!$L$36,IF(AD4=Цены!$H$37,Цены!$L$37,IF(AD4=Цены!$H$38,Цены!$L$38,IF(AD4=Цены!$H$39,Цены!$L$39,IF(AD4=Цены!$H$40,Цены!$L$40,IF(AD4=Цены!$H$41,Цены!$L$41,IF(AD4=Цены!$H$42,Цены!$L$42,IF(AD4=Цены!$H$43,Цены!$L$43,IF(AD4=Цены!$H$44,Цены!$L$44,IF(AD4=Цены!$H$45,Цены!$L$45,IF(AD4=Цены!$H$46,Цены!$L$46,IF(AD4=Цены!$H$47,Цены!$L$47,IF(AD4=Цены!$H$48,Цены!$L$48,IF(AD4=Цены!$H$49,Цены!$L$49,IF(AD4=Цены!$H$50,Цены!$L$50,IF(AD4=Цены!$H$51,Цены!$L$51,IF(AD4=Цены!$H$52,Цены!$L$52,IF(AD4=Цены!$H$53,Цены!$L$53,IF(AD4=Цены!$H$54,Цены!$L$54,IF(AD4=Цены!$H$55,Цены!$L$55))))))))))))))))))))))))))))))))))))))))))))))))))))))</f>
        <v>2.34</v>
      </c>
      <c r="AG4" s="276"/>
      <c r="AH4" s="34">
        <f>IF(AD4=Цены!$H$3,Цены!$K$3,IF(AD4=Цены!$H$4,Цены!$K$4,IF(AD4=Цены!$H$5,Цены!$K$5,IF(AD4=Цены!$H$6,Цены!$K$6,IF(AD4=Цены!$H$7,Цены!$K$7,IF(AD4=Цены!$H$8,Цены!$K$8,IF(AD4=Цены!$H$9,Цены!$K$9,IF(AD4=Цены!$H$10,Цены!$K$10,IF(AD4=Цены!$H$11,Цены!$K$11,IF(AD4=Цены!$H$12,Цены!$K$12,IF(AD4=Цены!$H$13,Цены!$K$13,IF(AD4=Цены!$H$14,Цены!$K$14,IF(AD4=Цены!$H$14,Цены!$K$14,IF(AD4=Цены!$H$15,Цены!$K$15,IF(AD4=Цены!$H$16,Цены!$K$16,IF(AD4=Цены!$H$17,Цены!$K$17,IF(AD4=Цены!$H$18,Цены!$K$18,IF(AD4=Цены!$H$19,Цены!$K$19,IF(AD4=Цены!$H$20,Цены!$K$20,IF(AD4=Цены!$H$21,Цены!$K$21,IF(AD4=Цены!$H$22,Цены!$K$22,IF(AD4=Цены!$H$23,Цены!$K$23,IF(AD4=Цены!$H$24,Цены!$K$24,IF(AD4=Цены!$H$25,Цены!$K$25,IF(AD4=Цены!$H$26,Цены!$K$26,IF(AD4=Цены!$H$27,Цены!$K$27,IF(AD4=Цены!$H$28,Цены!$K$28,IF(AD4=Цены!$H$29,Цены!$K$29,IF(AD4=Цены!$H$30,Цены!$K$30,IF(AD4=Цены!$H$31,Цены!$K$31,IF(AD4=Цены!$H$32,Цены!$K$32,IF(AD4=Цены!$H$33,Цены!$K$33,IF(AD4=Цены!$H$34,Цены!$K$34,IF(AD4=Цены!$H$35,Цены!$K$35,IF(AD4=Цены!$H$36,Цены!$K$36,IF(AD4=Цены!$H$37,Цены!$K$37,IF(AD4=Цены!$H$38,Цены!$K$38,IF(AD4=Цены!$H$39,Цены!$K$39,IF(AD4=Цены!$H$40,Цены!$K$40,IF(AD4=Цены!$H$41,Цены!$K$41,IF(AD4=Цены!$H$42,Цены!$K$42,IF(AD4=Цены!$H$43,Цены!$K$43,IF(AD4=Цены!$H$44,Цены!$K$44,IF(AD4=Цены!$H$45,Цены!$K$45,IF(AD4=Цены!$H$46,Цены!$K$46,IF(AD4=Цены!$H$47,Цены!$K$47,IF(AD4=Цены!$H$48,Цены!$K$48,IF(AD4=Цены!$H$49,Цены!$K$49,IF(AD4=Цены!$H$50,Цены!$K$50,IF(AD4=Цены!$H$51,Цены!$K$51,IF(AD4=Цены!$H$52,Цены!$K$52,IF(AD4=Цены!$H$53,Цены!$K$53,IF(AD4=Цены!$H$54,Цены!$K$54,IF(AD4=Цены!$H$55,Цены!$K$55))))))))))))))))))))))))))))))))))))))))))))))))))))))</f>
        <v>370.5</v>
      </c>
      <c r="AI4" s="265"/>
      <c r="AJ4" s="265"/>
      <c r="AK4" s="269"/>
      <c r="AL4" s="286"/>
      <c r="AM4" s="286"/>
      <c r="AN4" s="265"/>
      <c r="AO4" s="269"/>
      <c r="AP4" s="287"/>
      <c r="AQ4" s="123" t="s">
        <v>144</v>
      </c>
      <c r="AR4" s="43">
        <v>2</v>
      </c>
      <c r="AS4" s="33">
        <f>IF(AQ4=Цены!$H$3,Цены!$L$3,IF(AQ4=Цены!$H$4,Цены!$L$4,IF(AQ4=Цены!$H$5,Цены!$L$5,IF(AQ4=Цены!$H$6,Цены!$L$6,IF(AQ4=Цены!$H$7,Цены!$L$7,IF(AQ4=Цены!$H$8,Цены!$L$8,IF(AQ4=Цены!$H$9,Цены!$L$9,IF(AQ4=Цены!$H$10,Цены!$L$10,IF(AQ4=Цены!$H$11,Цены!$L$11,IF(AQ4=Цены!$H$12,Цены!$L$12,IF(AQ4=Цены!$H$13,Цены!$L$13,IF(AQ4=Цены!$H$14,Цены!$L$14,IF(AQ4=Цены!$H$14,Цены!$L$14,IF(AQ4=Цены!$H$15,Цены!$L$15,IF(AQ4=Цены!$H$16,Цены!$L$16,IF(AQ4=Цены!$H$17,Цены!$L$17,IF(AQ4=Цены!$H$18,Цены!$L$18,IF(AQ4=Цены!$H$19,Цены!$L$19,IF(AQ4=Цены!$H$20,Цены!$L$20,IF(AQ4=Цены!$H$21,Цены!$L$21,IF(AQ4=Цены!$H$22,Цены!$L$22,IF(AQ4=Цены!$H$23,Цены!$L$23,IF(AQ4=Цены!$H$24,Цены!$L$24,IF(AQ4=Цены!$H$25,Цены!$L$25,IF(AQ4=Цены!$H$26,Цены!$L$26,IF(AQ4=Цены!$H$27,Цены!$L$27,IF(AQ4=Цены!$H$28,Цены!$L$28,IF(AQ4=Цены!$H$29,Цены!$L$29,IF(AQ4=Цены!$H$30,Цены!$L$30,IF(AQ4=Цены!$H$31,Цены!$L$31,IF(AQ4=Цены!$H$32,Цены!$L$32,IF(AQ4=Цены!$H$33,Цены!$L$33,IF(AQ4=Цены!$H$34,Цены!$L$34,IF(AQ4=Цены!$H$35,Цены!$L$35,IF(AQ4=Цены!$H$36,Цены!$L$36,IF(AQ4=Цены!$H$37,Цены!$L$37,IF(AQ4=Цены!$H$38,Цены!$L$38,IF(AQ4=Цены!$H$39,Цены!$L$39,IF(AQ4=Цены!$H$40,Цены!$L$40,IF(AQ4=Цены!$H$41,Цены!$L$41,IF(AQ4=Цены!$H$42,Цены!$L$42,IF(AQ4=Цены!$H$43,Цены!$L$43,IF(AQ4=Цены!$H$44,Цены!$L$44,IF(AQ4=Цены!$H$45,Цены!$L$45,IF(AQ4=Цены!$H$46,Цены!$L$46,IF(AQ4=Цены!$H$47,Цены!$L$47,IF(AQ4=Цены!$H$48,Цены!$L$48,IF(AQ4=Цены!$H$49,Цены!$L$49,IF(AQ4=Цены!$H$50,Цены!$L$50,IF(AQ4=Цены!$H$51,Цены!$L$51,IF(AQ4=Цены!$H$52,Цены!$L$52,IF(AQ4=Цены!$H$53,Цены!$L$53,IF(AQ4=Цены!$H$54,Цены!$L$54,IF(AQ4=Цены!$H$55,Цены!$L$55))))))))))))))))))))))))))))))))))))))))))))))))))))))</f>
        <v>0.19</v>
      </c>
      <c r="AT4" s="276"/>
      <c r="AU4" s="34">
        <f>IF(AQ4=Цены!$H$3,Цены!$K$3,IF(AQ4=Цены!$H$4,Цены!$K$4,IF(AQ4=Цены!$H$5,Цены!$K$5,IF(AQ4=Цены!$H$6,Цены!$K$6,IF(AQ4=Цены!$H$7,Цены!$K$7,IF(AQ4=Цены!$H$8,Цены!$K$8,IF(AQ4=Цены!$H$9,Цены!$K$9,IF(AQ4=Цены!$H$10,Цены!$K$10,IF(AQ4=Цены!$H$11,Цены!$K$11,IF(AQ4=Цены!$H$12,Цены!$K$12,IF(AQ4=Цены!$H$13,Цены!$K$13,IF(AQ4=Цены!$H$14,Цены!$K$14,IF(AQ4=Цены!$H$14,Цены!$K$14,IF(AQ4=Цены!$H$15,Цены!$K$15,IF(AQ4=Цены!$H$16,Цены!$K$16,IF(AQ4=Цены!$H$17,Цены!$K$17,IF(AQ4=Цены!$H$18,Цены!$K$18,IF(AQ4=Цены!$H$19,Цены!$K$19,IF(AQ4=Цены!$H$20,Цены!$K$20,IF(AQ4=Цены!$H$21,Цены!$K$21,IF(AQ4=Цены!$H$22,Цены!$K$22,IF(AQ4=Цены!$H$23,Цены!$K$23,IF(AQ4=Цены!$H$24,Цены!$K$24,IF(AQ4=Цены!$H$25,Цены!$K$25,IF(AQ4=Цены!$H$26,Цены!$K$26,IF(AQ4=Цены!$H$27,Цены!$K$27,IF(AQ4=Цены!$H$28,Цены!$K$28,IF(AQ4=Цены!$H$29,Цены!$K$29,IF(AQ4=Цены!$H$30,Цены!$K$30,IF(AQ4=Цены!$H$31,Цены!$K$31,IF(AQ4=Цены!$H$32,Цены!$K$32,IF(AQ4=Цены!$H$33,Цены!$K$33,IF(AQ4=Цены!$H$34,Цены!$K$34,IF(AQ4=Цены!$H$35,Цены!$K$35,IF(AQ4=Цены!$H$36,Цены!$K$36,IF(AQ4=Цены!$H$37,Цены!$K$37,IF(AQ4=Цены!$H$38,Цены!$K$38,IF(AQ4=Цены!$H$39,Цены!$K$39,IF(AQ4=Цены!$H$40,Цены!$K$40,IF(AQ4=Цены!$H$41,Цены!$K$41,IF(AQ4=Цены!$H$42,Цены!$K$42,IF(AQ4=Цены!$H$43,Цены!$K$43,IF(AQ4=Цены!$H$44,Цены!$K$44,IF(AQ4=Цены!$H$45,Цены!$K$45,IF(AQ4=Цены!$H$46,Цены!$K$46,IF(AQ4=Цены!$H$47,Цены!$K$47,IF(AQ4=Цены!$H$48,Цены!$K$48,IF(AQ4=Цены!$H$49,Цены!$K$49,IF(AQ4=Цены!$H$50,Цены!$K$50,IF(AQ4=Цены!$H$51,Цены!$K$51,IF(AQ4=Цены!$H$52,Цены!$K$52,IF(AQ4=Цены!$H$53,Цены!$K$53,IF(AQ4=Цены!$H$54,Цены!$K$54,IF(AQ4=Цены!$H$55,Цены!$K$55))))))))))))))))))))))))))))))))))))))))))))))))))))))</f>
        <v>448</v>
      </c>
      <c r="AV4" s="265"/>
      <c r="AW4" s="265"/>
      <c r="AX4" s="269"/>
      <c r="AY4" s="286"/>
      <c r="AZ4" s="286"/>
      <c r="BA4" s="265"/>
      <c r="BB4" s="269"/>
      <c r="BC4" s="287"/>
      <c r="BD4" s="243"/>
      <c r="BE4" s="123" t="s">
        <v>144</v>
      </c>
      <c r="BF4" s="43">
        <v>2</v>
      </c>
      <c r="BG4" s="33">
        <f>IF(BE4=Цены!$H$3,Цены!$L$3,IF(BE4=Цены!$H$4,Цены!$L$4,IF(BE4=Цены!$H$5,Цены!$L$5,IF(BE4=Цены!$H$6,Цены!$L$6,IF(BE4=Цены!$H$7,Цены!$L$7,IF(BE4=Цены!$H$8,Цены!$L$8,IF(BE4=Цены!$H$9,Цены!$L$9,IF(BE4=Цены!$H$10,Цены!$L$10,IF(BE4=Цены!$H$11,Цены!$L$11,IF(BE4=Цены!$H$12,Цены!$L$12,IF(BE4=Цены!$H$13,Цены!$L$13,IF(BE4=Цены!$H$14,Цены!$L$14,IF(BE4=Цены!$H$14,Цены!$L$14,IF(BE4=Цены!$H$15,Цены!$L$15,IF(BE4=Цены!$H$16,Цены!$L$16,IF(BE4=Цены!$H$17,Цены!$L$17,IF(BE4=Цены!$H$18,Цены!$L$18,IF(BE4=Цены!$H$19,Цены!$L$19,IF(BE4=Цены!$H$20,Цены!$L$20,IF(BE4=Цены!$H$21,Цены!$L$21,IF(BE4=Цены!$H$22,Цены!$L$22,IF(BE4=Цены!$H$23,Цены!$L$23,IF(BE4=Цены!$H$24,Цены!$L$24,IF(BE4=Цены!$H$25,Цены!$L$25,IF(BE4=Цены!$H$26,Цены!$L$26,IF(BE4=Цены!$H$27,Цены!$L$27,IF(BE4=Цены!$H$28,Цены!$L$28,IF(BE4=Цены!$H$29,Цены!$L$29,IF(BE4=Цены!$H$30,Цены!$L$30,IF(BE4=Цены!$H$31,Цены!$L$31,IF(BE4=Цены!$H$32,Цены!$L$32,IF(BE4=Цены!$H$33,Цены!$L$33,IF(BE4=Цены!$H$34,Цены!$L$34,IF(BE4=Цены!$H$35,Цены!$L$35,IF(BE4=Цены!$H$36,Цены!$L$36,IF(BE4=Цены!$H$37,Цены!$L$37,IF(BE4=Цены!$H$38,Цены!$L$38,IF(BE4=Цены!$H$39,Цены!$L$39,IF(BE4=Цены!$H$40,Цены!$L$40,IF(BE4=Цены!$H$41,Цены!$L$41,IF(BE4=Цены!$H$42,Цены!$L$42,IF(BE4=Цены!$H$43,Цены!$L$43,IF(BE4=Цены!$H$44,Цены!$L$44,IF(BE4=Цены!$H$45,Цены!$L$45,IF(BE4=Цены!$H$46,Цены!$L$46,IF(BE4=Цены!$H$47,Цены!$L$47,IF(BE4=Цены!$H$48,Цены!$L$48,IF(BE4=Цены!$H$49,Цены!$L$49,IF(BE4=Цены!$H$50,Цены!$L$50,IF(BE4=Цены!$H$51,Цены!$L$51,IF(BE4=Цены!$H$52,Цены!$L$52,IF(BE4=Цены!$H$53,Цены!$L$53,IF(BE4=Цены!$H$54,Цены!$L$54,IF(BE4=Цены!$H$55,Цены!$L$55))))))))))))))))))))))))))))))))))))))))))))))))))))))</f>
        <v>0.19</v>
      </c>
      <c r="BH4" s="276"/>
      <c r="BI4" s="34">
        <f>IF(BE4=Цены!$H$3,Цены!$K$3,IF(BE4=Цены!$H$4,Цены!$K$4,IF(BE4=Цены!$H$5,Цены!$K$5,IF(BE4=Цены!$H$6,Цены!$K$6,IF(BE4=Цены!$H$7,Цены!$K$7,IF(BE4=Цены!$H$8,Цены!$K$8,IF(BE4=Цены!$H$9,Цены!$K$9,IF(BE4=Цены!$H$10,Цены!$K$10,IF(BE4=Цены!$H$11,Цены!$K$11,IF(BE4=Цены!$H$12,Цены!$K$12,IF(BE4=Цены!$H$13,Цены!$K$13,IF(BE4=Цены!$H$14,Цены!$K$14,IF(BE4=Цены!$H$14,Цены!$K$14,IF(BE4=Цены!$H$15,Цены!$K$15,IF(BE4=Цены!$H$16,Цены!$K$16,IF(BE4=Цены!$H$17,Цены!$K$17,IF(BE4=Цены!$H$18,Цены!$K$18,IF(BE4=Цены!$H$19,Цены!$K$19,IF(BE4=Цены!$H$20,Цены!$K$20,IF(BE4=Цены!$H$21,Цены!$K$21,IF(BE4=Цены!$H$22,Цены!$K$22,IF(BE4=Цены!$H$23,Цены!$K$23,IF(BE4=Цены!$H$24,Цены!$K$24,IF(BE4=Цены!$H$25,Цены!$K$25,IF(BE4=Цены!$H$26,Цены!$K$26,IF(BE4=Цены!$H$27,Цены!$K$27,IF(BE4=Цены!$H$28,Цены!$K$28,IF(BE4=Цены!$H$29,Цены!$K$29,IF(BE4=Цены!$H$30,Цены!$K$30,IF(BE4=Цены!$H$31,Цены!$K$31,IF(BE4=Цены!$H$32,Цены!$K$32,IF(BE4=Цены!$H$33,Цены!$K$33,IF(BE4=Цены!$H$34,Цены!$K$34,IF(BE4=Цены!$H$35,Цены!$K$35,IF(BE4=Цены!$H$36,Цены!$K$36,IF(BE4=Цены!$H$37,Цены!$K$37,IF(BE4=Цены!$H$38,Цены!$K$38,IF(BE4=Цены!$H$39,Цены!$K$39,IF(BE4=Цены!$H$40,Цены!$K$40,IF(BE4=Цены!$H$41,Цены!$K$41,IF(BE4=Цены!$H$42,Цены!$K$42,IF(BE4=Цены!$H$43,Цены!$K$43,IF(BE4=Цены!$H$44,Цены!$K$44,IF(BE4=Цены!$H$45,Цены!$K$45,IF(BE4=Цены!$H$46,Цены!$K$46,IF(BE4=Цены!$H$47,Цены!$K$47,IF(BE4=Цены!$H$48,Цены!$K$48,IF(BE4=Цены!$H$49,Цены!$K$49,IF(BE4=Цены!$H$50,Цены!$K$50,IF(BE4=Цены!$H$51,Цены!$K$51,IF(BE4=Цены!$H$52,Цены!$K$52,IF(BE4=Цены!$H$53,Цены!$K$53,IF(BE4=Цены!$H$54,Цены!$K$54,IF(BE4=Цены!$H$55,Цены!$K$55))))))))))))))))))))))))))))))))))))))))))))))))))))))</f>
        <v>448</v>
      </c>
      <c r="BJ4" s="265"/>
      <c r="BK4" s="265"/>
      <c r="BL4" s="269"/>
      <c r="BM4" s="286"/>
      <c r="BN4" s="286"/>
      <c r="BO4" s="265"/>
      <c r="BP4" s="269"/>
      <c r="BQ4" s="287"/>
      <c r="BR4" s="123" t="s">
        <v>122</v>
      </c>
      <c r="BS4" s="43">
        <v>2</v>
      </c>
      <c r="BT4" s="33">
        <f>IF(BR4=Цены!$H$3,Цены!$L$3,IF(BR4=Цены!$H$4,Цены!$L$4,IF(BR4=Цены!$H$5,Цены!$L$5,IF(BR4=Цены!$H$6,Цены!$L$6,IF(BR4=Цены!$H$7,Цены!$L$7,IF(BR4=Цены!$H$8,Цены!$L$8,IF(BR4=Цены!$H$9,Цены!$L$9,IF(BR4=Цены!$H$10,Цены!$L$10,IF(BR4=Цены!$H$11,Цены!$L$11,IF(BR4=Цены!$H$12,Цены!$L$12,IF(BR4=Цены!$H$13,Цены!$L$13,IF(BR4=Цены!$H$14,Цены!$L$14,IF(BR4=Цены!$H$14,Цены!$L$14,IF(BR4=Цены!$H$15,Цены!$L$15,IF(BR4=Цены!$H$16,Цены!$L$16,IF(BR4=Цены!$H$17,Цены!$L$17,IF(BR4=Цены!$H$18,Цены!$L$18,IF(BR4=Цены!$H$19,Цены!$L$19,IF(BR4=Цены!$H$20,Цены!$L$20,IF(BR4=Цены!$H$21,Цены!$L$21,IF(BR4=Цены!$H$22,Цены!$L$22,IF(BR4=Цены!$H$23,Цены!$L$23,IF(BR4=Цены!$H$24,Цены!$L$24,IF(BR4=Цены!$H$25,Цены!$L$25,IF(BR4=Цены!$H$26,Цены!$L$26,IF(BR4=Цены!$H$27,Цены!$L$27,IF(BR4=Цены!$H$28,Цены!$L$28,IF(BR4=Цены!$H$29,Цены!$L$29,IF(BR4=Цены!$H$30,Цены!$L$30,IF(BR4=Цены!$H$31,Цены!$L$31,IF(BR4=Цены!$H$32,Цены!$L$32,IF(BR4=Цены!$H$33,Цены!$L$33,IF(BR4=Цены!$H$34,Цены!$L$34,IF(BR4=Цены!$H$35,Цены!$L$35,IF(BR4=Цены!$H$36,Цены!$L$36,IF(BR4=Цены!$H$37,Цены!$L$37,IF(BR4=Цены!$H$38,Цены!$L$38,IF(BR4=Цены!$H$39,Цены!$L$39,IF(BR4=Цены!$H$40,Цены!$L$40,IF(BR4=Цены!$H$41,Цены!$L$41,IF(BR4=Цены!$H$42,Цены!$L$42,IF(BR4=Цены!$H$43,Цены!$L$43,IF(BR4=Цены!$H$44,Цены!$L$44,IF(BR4=Цены!$H$45,Цены!$L$45,IF(BR4=Цены!$H$46,Цены!$L$46,IF(BR4=Цены!$H$47,Цены!$L$47,IF(BR4=Цены!$H$48,Цены!$L$48,IF(BR4=Цены!$H$49,Цены!$L$49,IF(BR4=Цены!$H$50,Цены!$L$50,IF(BR4=Цены!$H$51,Цены!$L$51,IF(BR4=Цены!$H$52,Цены!$L$52,IF(BR4=Цены!$H$53,Цены!$L$53,IF(BR4=Цены!$H$54,Цены!$L$54,IF(BR4=Цены!$H$55,Цены!$L$55))))))))))))))))))))))))))))))))))))))))))))))))))))))</f>
        <v>0.6</v>
      </c>
      <c r="BU4" s="276"/>
      <c r="BV4" s="34">
        <f>IF(BR4=Цены!$H$3,Цены!$K$3,IF(BR4=Цены!$H$4,Цены!$K$4,IF(BR4=Цены!$H$5,Цены!$K$5,IF(BR4=Цены!$H$6,Цены!$K$6,IF(BR4=Цены!$H$7,Цены!$K$7,IF(BR4=Цены!$H$8,Цены!$K$8,IF(BR4=Цены!$H$9,Цены!$K$9,IF(BR4=Цены!$H$10,Цены!$K$10,IF(BR4=Цены!$H$11,Цены!$K$11,IF(BR4=Цены!$H$12,Цены!$K$12,IF(BR4=Цены!$H$13,Цены!$K$13,IF(BR4=Цены!$H$14,Цены!$K$14,IF(BR4=Цены!$H$14,Цены!$K$14,IF(BR4=Цены!$H$15,Цены!$K$15,IF(BR4=Цены!$H$16,Цены!$K$16,IF(BR4=Цены!$H$17,Цены!$K$17,IF(BR4=Цены!$H$18,Цены!$K$18,IF(BR4=Цены!$H$19,Цены!$K$19,IF(BR4=Цены!$H$20,Цены!$K$20,IF(BR4=Цены!$H$21,Цены!$K$21,IF(BR4=Цены!$H$22,Цены!$K$22,IF(BR4=Цены!$H$23,Цены!$K$23,IF(BR4=Цены!$H$24,Цены!$K$24,IF(BR4=Цены!$H$25,Цены!$K$25,IF(BR4=Цены!$H$26,Цены!$K$26,IF(BR4=Цены!$H$27,Цены!$K$27,IF(BR4=Цены!$H$28,Цены!$K$28,IF(BR4=Цены!$H$29,Цены!$K$29,IF(BR4=Цены!$H$30,Цены!$K$30,IF(BR4=Цены!$H$31,Цены!$K$31,IF(BR4=Цены!$H$32,Цены!$K$32,IF(BR4=Цены!$H$33,Цены!$K$33,IF(BR4=Цены!$H$34,Цены!$K$34,IF(BR4=Цены!$H$35,Цены!$K$35,IF(BR4=Цены!$H$36,Цены!$K$36,IF(BR4=Цены!$H$37,Цены!$K$37,IF(BR4=Цены!$H$38,Цены!$K$38,IF(BR4=Цены!$H$39,Цены!$K$39,IF(BR4=Цены!$H$40,Цены!$K$40,IF(BR4=Цены!$H$41,Цены!$K$41,IF(BR4=Цены!$H$42,Цены!$K$42,IF(BR4=Цены!$H$43,Цены!$K$43,IF(BR4=Цены!$H$44,Цены!$K$44,IF(BR4=Цены!$H$45,Цены!$K$45,IF(BR4=Цены!$H$46,Цены!$K$46,IF(BR4=Цены!$H$47,Цены!$K$47,IF(BR4=Цены!$H$48,Цены!$K$48,IF(BR4=Цены!$H$49,Цены!$K$49,IF(BR4=Цены!$H$50,Цены!$K$50,IF(BR4=Цены!$H$51,Цены!$K$51,IF(BR4=Цены!$H$52,Цены!$K$52,IF(BR4=Цены!$H$53,Цены!$K$53,IF(BR4=Цены!$H$54,Цены!$K$54,IF(BR4=Цены!$H$55,Цены!$K$55))))))))))))))))))))))))))))))))))))))))))))))))))))))</f>
        <v>166</v>
      </c>
      <c r="BW4" s="265"/>
      <c r="BX4" s="265"/>
      <c r="BY4" s="269"/>
      <c r="BZ4" s="286"/>
      <c r="CA4" s="286"/>
      <c r="CB4" s="265"/>
      <c r="CC4" s="269"/>
      <c r="CD4" s="287"/>
      <c r="CE4" s="117" t="s">
        <v>122</v>
      </c>
      <c r="CF4" s="43">
        <v>2</v>
      </c>
      <c r="CG4" s="33">
        <f>IF(CE4=Цены!$H$3,Цены!$L$3,IF(CE4=Цены!$H$4,Цены!$L$4,IF(CE4=Цены!$H$5,Цены!$L$5,IF(CE4=Цены!$H$6,Цены!$L$6,IF(CE4=Цены!$H$7,Цены!$L$7,IF(CE4=Цены!$H$8,Цены!$L$8,IF(CE4=Цены!$H$9,Цены!$L$9,IF(CE4=Цены!$H$10,Цены!$L$10,IF(CE4=Цены!$H$11,Цены!$L$11,IF(CE4=Цены!$H$12,Цены!$L$12,IF(CE4=Цены!$H$13,Цены!$L$13,IF(CE4=Цены!$H$14,Цены!$L$14,IF(CE4=Цены!$H$14,Цены!$L$14,IF(CE4=Цены!$H$15,Цены!$L$15,IF(CE4=Цены!$H$16,Цены!$L$16,IF(CE4=Цены!$H$17,Цены!$L$17,IF(CE4=Цены!$H$18,Цены!$L$18,IF(CE4=Цены!$H$19,Цены!$L$19,IF(CE4=Цены!$H$20,Цены!$L$20,IF(CE4=Цены!$H$21,Цены!$L$21,IF(CE4=Цены!$H$22,Цены!$L$22,IF(CE4=Цены!$H$23,Цены!$L$23,IF(CE4=Цены!$H$24,Цены!$L$24,IF(CE4=Цены!$H$25,Цены!$L$25,IF(CE4=Цены!$H$26,Цены!$L$26,IF(CE4=Цены!$H$27,Цены!$L$27,IF(CE4=Цены!$H$28,Цены!$L$28,IF(CE4=Цены!$H$29,Цены!$L$29,IF(CE4=Цены!$H$30,Цены!$L$30,IF(CE4=Цены!$H$31,Цены!$L$31,IF(CE4=Цены!$H$32,Цены!$L$32,IF(CE4=Цены!$H$33,Цены!$L$33,IF(CE4=Цены!$H$34,Цены!$L$34,IF(CE4=Цены!$H$35,Цены!$L$35,IF(CE4=Цены!$H$36,Цены!$L$36,IF(CE4=Цены!$H$37,Цены!$L$37,IF(CE4=Цены!$H$38,Цены!$L$38,IF(CE4=Цены!$H$39,Цены!$L$39,IF(CE4=Цены!$H$40,Цены!$L$40,IF(CE4=Цены!$H$41,Цены!$L$41,IF(CE4=Цены!$H$42,Цены!$L$42,IF(CE4=Цены!$H$43,Цены!$L$43,IF(CE4=Цены!$H$44,Цены!$L$44,IF(CE4=Цены!$H$45,Цены!$L$45,IF(CE4=Цены!$H$46,Цены!$L$46,IF(CE4=Цены!$H$47,Цены!$L$47,IF(CE4=Цены!$H$48,Цены!$L$48,IF(CE4=Цены!$H$49,Цены!$L$49,IF(CE4=Цены!$H$50,Цены!$L$50,IF(CE4=Цены!$H$51,Цены!$L$51,IF(CE4=Цены!$H$52,Цены!$L$52,IF(CE4=Цены!$H$53,Цены!$L$53,IF(CE4=Цены!$H$54,Цены!$L$54,IF(CE4=Цены!$H$55,Цены!$L$55))))))))))))))))))))))))))))))))))))))))))))))))))))))</f>
        <v>0.6</v>
      </c>
      <c r="CH4" s="276"/>
      <c r="CI4" s="34">
        <f>IF(CE4=Цены!$H$3,Цены!$K$3,IF(CE4=Цены!$H$4,Цены!$K$4,IF(CE4=Цены!$H$5,Цены!$K$5,IF(CE4=Цены!$H$6,Цены!$K$6,IF(CE4=Цены!$H$7,Цены!$K$7,IF(CE4=Цены!$H$8,Цены!$K$8,IF(CE4=Цены!$H$9,Цены!$K$9,IF(CE4=Цены!$H$10,Цены!$K$10,IF(CE4=Цены!$H$11,Цены!$K$11,IF(CE4=Цены!$H$12,Цены!$K$12,IF(CE4=Цены!$H$13,Цены!$K$13,IF(CE4=Цены!$H$14,Цены!$K$14,IF(CE4=Цены!$H$14,Цены!$K$14,IF(CE4=Цены!$H$15,Цены!$K$15,IF(CE4=Цены!$H$16,Цены!$K$16,IF(CE4=Цены!$H$17,Цены!$K$17,IF(CE4=Цены!$H$18,Цены!$K$18,IF(CE4=Цены!$H$19,Цены!$K$19,IF(CE4=Цены!$H$20,Цены!$K$20,IF(CE4=Цены!$H$21,Цены!$K$21,IF(CE4=Цены!$H$22,Цены!$K$22,IF(CE4=Цены!$H$23,Цены!$K$23,IF(CE4=Цены!$H$24,Цены!$K$24,IF(CE4=Цены!$H$25,Цены!$K$25,IF(CE4=Цены!$H$26,Цены!$K$26,IF(CE4=Цены!$H$27,Цены!$K$27,IF(CE4=Цены!$H$28,Цены!$K$28,IF(CE4=Цены!$H$29,Цены!$K$29,IF(CE4=Цены!$H$30,Цены!$K$30,IF(CE4=Цены!$H$31,Цены!$K$31,IF(CE4=Цены!$H$32,Цены!$K$32,IF(CE4=Цены!$H$33,Цены!$K$33,IF(CE4=Цены!$H$34,Цены!$K$34,IF(CE4=Цены!$H$35,Цены!$K$35,IF(CE4=Цены!$H$36,Цены!$K$36,IF(CE4=Цены!$H$37,Цены!$K$37,IF(CE4=Цены!$H$38,Цены!$K$38,IF(CE4=Цены!$H$39,Цены!$K$39,IF(CE4=Цены!$H$40,Цены!$K$40,IF(CE4=Цены!$H$41,Цены!$K$41,IF(CE4=Цены!$H$42,Цены!$K$42,IF(CE4=Цены!$H$43,Цены!$K$43,IF(CE4=Цены!$H$44,Цены!$K$44,IF(CE4=Цены!$H$45,Цены!$K$45,IF(CE4=Цены!$H$46,Цены!$K$46,IF(CE4=Цены!$H$47,Цены!$K$47,IF(CE4=Цены!$H$48,Цены!$K$48,IF(CE4=Цены!$H$49,Цены!$K$49,IF(CE4=Цены!$H$50,Цены!$K$50,IF(CE4=Цены!$H$51,Цены!$K$51,IF(CE4=Цены!$H$52,Цены!$K$52,IF(CE4=Цены!$H$53,Цены!$K$53,IF(CE4=Цены!$H$54,Цены!$K$54,IF(CE4=Цены!$H$55,Цены!$K$55))))))))))))))))))))))))))))))))))))))))))))))))))))))</f>
        <v>166</v>
      </c>
      <c r="CJ4" s="265"/>
      <c r="CK4" s="265"/>
      <c r="CL4" s="269"/>
      <c r="CM4" s="286"/>
      <c r="CN4" s="286"/>
      <c r="CO4" s="265"/>
      <c r="CP4" s="269"/>
      <c r="CQ4" s="287"/>
    </row>
    <row r="5" spans="1:95" s="36" customFormat="1" ht="15.75" hidden="1" x14ac:dyDescent="0.25">
      <c r="A5" s="341"/>
      <c r="B5" s="265"/>
      <c r="C5" s="286"/>
      <c r="D5" s="31" t="s">
        <v>123</v>
      </c>
      <c r="E5" s="32">
        <v>4</v>
      </c>
      <c r="F5" s="33">
        <f>IF(D5=Цены!$H$3,Цены!$L$3,IF(D5=Цены!$H$4,Цены!$L$4,IF(D5=Цены!$H$5,Цены!$L$5,IF(D5=Цены!$H$6,Цены!$L$6,IF(D5=Цены!$H$7,Цены!$L$7,IF(D5=Цены!$H$8,Цены!$L$8,IF(D5=Цены!$H$9,Цены!$L$9,IF(D5=Цены!$H$10,Цены!$L$10,IF(D5=Цены!$H$11,Цены!$L$11,IF(D5=Цены!$H$12,Цены!$L$12,IF(D5=Цены!$H$13,Цены!$L$13,IF(D5=Цены!$H$14,Цены!$L$14,IF(D5=Цены!$H$14,Цены!$L$14,IF(D5=Цены!$H$15,Цены!$L$15,IF(D5=Цены!$H$16,Цены!$L$16,IF(D5=Цены!$H$17,Цены!$L$17,IF(D5=Цены!$H$18,Цены!$L$18,IF(D5=Цены!$H$19,Цены!$L$19,IF(D5=Цены!$H$20,Цены!$L$20,IF(D5=Цены!$H$21,Цены!$L$21,IF(D5=Цены!$H$22,Цены!$L$22,IF(D5=Цены!$H$23,Цены!$L$23,IF(D5=Цены!$H$24,Цены!$L$24,IF(D5=Цены!$H$25,Цены!$L$25,IF(D5=Цены!$H$26,Цены!$L$26,IF(D5=Цены!$H$27,Цены!$L$27,IF(D5=Цены!$H$28,Цены!$L$28,IF(D5=Цены!$H$29,Цены!$L$29,IF(D5=Цены!$H$30,Цены!$L$30,IF(D5=Цены!$H$31,Цены!$L$31,IF(D5=Цены!$H$32,Цены!$L$32,IF(D5=Цены!$H$33,Цены!$L$33,IF(D5=Цены!$H$34,Цены!$L$34,IF(D5=Цены!$H$35,Цены!$L$35,IF(D5=Цены!$H$36,Цены!$L$36,IF(D5=Цены!$H$37,Цены!$L$37,IF(D5=Цены!$H$38,Цены!$L$38,IF(D5=Цены!$H$39,Цены!$L$39,IF(D5=Цены!$H$40,Цены!$L$40,IF(D5=Цены!$H$41,Цены!$L$41,IF(D5=Цены!$H$42,Цены!$L$42,IF(D5=Цены!$H$43,Цены!$L$43,IF(D5=Цены!$H$44,Цены!$L$44,IF(D5=Цены!$H$45,Цены!$L$45,IF(D5=Цены!$H$46,Цены!$L$46,IF(D5=Цены!$H$47,Цены!$L$47,IF(D5=Цены!$H$48,Цены!$L$48,IF(D5=Цены!$H$49,Цены!$L$49,IF(D5=Цены!$H$50,Цены!$L$50,IF(D5=Цены!$H$51,Цены!$L$51,IF(D5=Цены!$H$52,Цены!$L$52,IF(D5=Цены!$H$53,Цены!$L$53,IF(D5=Цены!$H$54,Цены!$L$54,IF(D5=Цены!$H$55,Цены!$L$55))))))))))))))))))))))))))))))))))))))))))))))))))))))</f>
        <v>0.39</v>
      </c>
      <c r="G5" s="276"/>
      <c r="H5" s="34">
        <f>IF(D5=Цены!$H$3,Цены!$K$3,IF(D5=Цены!$H$4,Цены!$K$4,IF(D5=Цены!$H$5,Цены!$K$5,IF(D5=Цены!$H$6,Цены!$K$6,IF(D5=Цены!$H$7,Цены!$K$7,IF(D5=Цены!$H$8,Цены!$K$8,IF(D5=Цены!$H$9,Цены!$K$9,IF(D5=Цены!$H$10,Цены!$K$10,IF(D5=Цены!$H$11,Цены!$K$11,IF(D5=Цены!$H$12,Цены!$K$12,IF(D5=Цены!$H$13,Цены!$K$13,IF(D5=Цены!$H$14,Цены!$K$14,IF(D5=Цены!$H$14,Цены!$K$14,IF(D5=Цены!$H$15,Цены!$K$15,IF(D5=Цены!$H$16,Цены!$K$16,IF(D5=Цены!$H$17,Цены!$K$17,IF(D5=Цены!$H$18,Цены!$K$18,IF(D5=Цены!$H$19,Цены!$K$19,IF(D5=Цены!$H$20,Цены!$K$20,IF(D5=Цены!$H$21,Цены!$K$21,IF(D5=Цены!$H$22,Цены!$K$22,IF(D5=Цены!$H$23,Цены!$K$23,IF(D5=Цены!$H$24,Цены!$K$24,IF(D5=Цены!$H$25,Цены!$K$25,IF(D5=Цены!$H$26,Цены!$K$26,IF(D5=Цены!$H$27,Цены!$K$27,IF(D5=Цены!$H$28,Цены!$K$28,IF(D5=Цены!$H$29,Цены!$K$29,IF(D5=Цены!$H$30,Цены!$K$30,IF(D5=Цены!$H$31,Цены!$K$31,IF(D5=Цены!$H$32,Цены!$K$32,IF(D5=Цены!$H$33,Цены!$K$33,IF(D5=Цены!$H$34,Цены!$K$34,IF(D5=Цены!$H$35,Цены!$K$35,IF(D5=Цены!$H$36,Цены!$K$36,IF(D5=Цены!$H$37,Цены!$K$37,IF(D5=Цены!$H$38,Цены!$K$38,IF(D5=Цены!$H$39,Цены!$K$39,IF(D5=Цены!$H$40,Цены!$K$40,IF(D5=Цены!$H$41,Цены!$K$41,IF(D5=Цены!$H$42,Цены!$K$42,IF(D5=Цены!$H$43,Цены!$K$43,IF(D5=Цены!$H$44,Цены!$K$44,IF(D5=Цены!$H$45,Цены!$K$45,IF(D5=Цены!$H$46,Цены!$K$46,IF(D5=Цены!$H$47,Цены!$K$47,IF(D5=Цены!$H$48,Цены!$K$48,IF(D5=Цены!$H$49,Цены!$K$49,IF(D5=Цены!$H$50,Цены!$K$50,IF(D5=Цены!$H$51,Цены!$K$51,IF(D5=Цены!$H$52,Цены!$K$52,IF(D5=Цены!$H$53,Цены!$K$53,IF(D5=Цены!$H$54,Цены!$K$54,IF(D5=Цены!$H$55,Цены!$K$55))))))))))))))))))))))))))))))))))))))))))))))))))))))</f>
        <v>624</v>
      </c>
      <c r="I5" s="265"/>
      <c r="J5" s="265"/>
      <c r="K5" s="269"/>
      <c r="L5" s="286"/>
      <c r="M5" s="286"/>
      <c r="N5" s="265"/>
      <c r="O5" s="269"/>
      <c r="P5" s="287"/>
      <c r="Q5" s="35"/>
      <c r="R5" s="32"/>
      <c r="S5" s="33" t="b">
        <f>IF(Q5=Цены!$H$3,Цены!$L$3,IF(Q5=Цены!$H$4,Цены!$L$4,IF(Q5=Цены!$H$5,Цены!$L$5,IF(Q5=Цены!$H$6,Цены!$L$6,IF(Q5=Цены!$H$7,Цены!$L$7,IF(Q5=Цены!$H$8,Цены!$L$8,IF(Q5=Цены!$H$9,Цены!$L$9,IF(Q5=Цены!$H$10,Цены!$L$10,IF(Q5=Цены!$H$11,Цены!$L$11,IF(Q5=Цены!$H$12,Цены!$L$12,IF(Q5=Цены!$H$13,Цены!$L$13,IF(Q5=Цены!$H$14,Цены!$L$14,IF(Q5=Цены!$H$14,Цены!$L$14,IF(Q5=Цены!$H$15,Цены!$L$15,IF(Q5=Цены!$H$16,Цены!$L$16,IF(Q5=Цены!$H$17,Цены!$L$17,IF(Q5=Цены!$H$18,Цены!$L$18,IF(Q5=Цены!$H$19,Цены!$L$19,IF(Q5=Цены!$H$20,Цены!$L$20,IF(Q5=Цены!$H$21,Цены!$L$21,IF(Q5=Цены!$H$22,Цены!$L$22,IF(Q5=Цены!$H$23,Цены!$L$23,IF(Q5=Цены!$H$24,Цены!$L$24,IF(Q5=Цены!$H$25,Цены!$L$25,IF(Q5=Цены!$H$26,Цены!$L$26,IF(Q5=Цены!$H$27,Цены!$L$27,IF(Q5=Цены!$H$28,Цены!$L$28,IF(Q5=Цены!$H$29,Цены!$L$29,IF(Q5=Цены!$H$30,Цены!$L$30,IF(Q5=Цены!$H$31,Цены!$L$31,IF(Q5=Цены!$H$32,Цены!$L$32,IF(Q5=Цены!$H$33,Цены!$L$33,IF(Q5=Цены!$H$34,Цены!$L$34,IF(Q5=Цены!$H$35,Цены!$L$35,IF(Q5=Цены!$H$36,Цены!$L$36,IF(Q5=Цены!$H$37,Цены!$L$37,IF(Q5=Цены!$H$38,Цены!$L$38,IF(Q5=Цены!$H$39,Цены!$L$39,IF(Q5=Цены!$H$40,Цены!$L$40,IF(Q5=Цены!$H$41,Цены!$L$41,IF(Q5=Цены!$H$42,Цены!$L$42,IF(Q5=Цены!$H$43,Цены!$L$43,IF(Q5=Цены!$H$44,Цены!$L$44,IF(Q5=Цены!$H$45,Цены!$L$45,IF(Q5=Цены!$H$46,Цены!$L$46,IF(Q5=Цены!$H$47,Цены!$L$47,IF(Q5=Цены!$H$48,Цены!$L$48,IF(Q5=Цены!$H$49,Цены!$L$49,IF(Q5=Цены!$H$50,Цены!$L$50,IF(Q5=Цены!$H$51,Цены!$L$51,IF(Q5=Цены!$H$52,Цены!$L$52,IF(Q5=Цены!$H$53,Цены!$L$53,IF(Q5=Цены!$H$54,Цены!$L$54,IF(Q5=Цены!$H$55,Цены!$L$55))))))))))))))))))))))))))))))))))))))))))))))))))))))</f>
        <v>0</v>
      </c>
      <c r="T5" s="276"/>
      <c r="U5" s="160" t="b">
        <f>IF(Q5=Цены!$H$3,Цены!$K$3,IF(Q5=Цены!$H$4,Цены!$K$4,IF(Q5=Цены!$H$5,Цены!$K$5,IF(Q5=Цены!$H$6,Цены!$K$6,IF(Q5=Цены!$H$7,Цены!$K$7,IF(Q5=Цены!$H$8,Цены!$K$8,IF(Q5=Цены!$H$9,Цены!$K$9,IF(Q5=Цены!$H$10,Цены!$K$10,IF(Q5=Цены!$H$11,Цены!$K$11,IF(Q5=Цены!$H$12,Цены!$K$12,IF(Q5=Цены!$H$13,Цены!$K$13,IF(Q5=Цены!$H$14,Цены!$K$14,IF(Q5=Цены!$H$14,Цены!$K$14,IF(Q5=Цены!$H$15,Цены!$K$15,IF(Q5=Цены!$H$16,Цены!$K$16,IF(Q5=Цены!$H$17,Цены!$K$17,IF(Q5=Цены!$H$18,Цены!$K$18,IF(Q5=Цены!$H$19,Цены!$K$19,IF(Q5=Цены!$H$20,Цены!$K$20,IF(Q5=Цены!$H$21,Цены!$K$21,IF(Q5=Цены!$H$22,Цены!$K$22,IF(Q5=Цены!$H$23,Цены!$K$23,IF(Q5=Цены!$H$24,Цены!$K$24,IF(Q5=Цены!$H$25,Цены!$K$25,IF(Q5=Цены!$H$26,Цены!$K$26,IF(Q5=Цены!$H$27,Цены!$K$27,IF(Q5=Цены!$H$28,Цены!$K$28,IF(Q5=Цены!$H$29,Цены!$K$29,IF(Q5=Цены!$H$30,Цены!$K$30,IF(Q5=Цены!$H$31,Цены!$K$31,IF(Q5=Цены!$H$32,Цены!$K$32,IF(Q5=Цены!$H$33,Цены!$K$33,IF(Q5=Цены!$H$34,Цены!$K$34,IF(Q5=Цены!$H$35,Цены!$K$35,IF(Q5=Цены!$H$36,Цены!$K$36,IF(Q5=Цены!$H$37,Цены!$K$37,IF(Q5=Цены!$H$38,Цены!$K$38,IF(Q5=Цены!$H$39,Цены!$K$39,IF(Q5=Цены!$H$40,Цены!$K$40,IF(Q5=Цены!$H$41,Цены!$K$41,IF(Q5=Цены!$H$42,Цены!$K$42,IF(Q5=Цены!$H$43,Цены!$K$43,IF(Q5=Цены!$H$44,Цены!$K$44,IF(Q5=Цены!$H$45,Цены!$K$45,IF(Q5=Цены!$H$46,Цены!$K$46,IF(Q5=Цены!$H$47,Цены!$K$47,IF(Q5=Цены!$H$48,Цены!$K$48,IF(Q5=Цены!$H$49,Цены!$K$49,IF(Q5=Цены!$H$50,Цены!$K$50,IF(Q5=Цены!$H$51,Цены!$K$51,IF(Q5=Цены!$H$52,Цены!$K$52,IF(Q5=Цены!$H$53,Цены!$K$53,IF(Q5=Цены!$H$54,Цены!$K$54,IF(Q5=Цены!$H$55,Цены!$K$55))))))))))))))))))))))))))))))))))))))))))))))))))))))</f>
        <v>0</v>
      </c>
      <c r="V5" s="265"/>
      <c r="W5" s="265"/>
      <c r="X5" s="269"/>
      <c r="Y5" s="286"/>
      <c r="Z5" s="286"/>
      <c r="AA5" s="265"/>
      <c r="AB5" s="269"/>
      <c r="AC5" s="287"/>
      <c r="AD5" s="123" t="s">
        <v>89</v>
      </c>
      <c r="AE5" s="32">
        <v>4</v>
      </c>
      <c r="AF5" s="33">
        <f>IF(AD5=Цены!$H$3,Цены!$L$3,IF(AD5=Цены!$H$4,Цены!$L$4,IF(AD5=Цены!$H$5,Цены!$L$5,IF(AD5=Цены!$H$6,Цены!$L$6,IF(AD5=Цены!$H$7,Цены!$L$7,IF(AD5=Цены!$H$8,Цены!$L$8,IF(AD5=Цены!$H$9,Цены!$L$9,IF(AD5=Цены!$H$10,Цены!$L$10,IF(AD5=Цены!$H$11,Цены!$L$11,IF(AD5=Цены!$H$12,Цены!$L$12,IF(AD5=Цены!$H$13,Цены!$L$13,IF(AD5=Цены!$H$14,Цены!$L$14,IF(AD5=Цены!$H$14,Цены!$L$14,IF(AD5=Цены!$H$15,Цены!$L$15,IF(AD5=Цены!$H$16,Цены!$L$16,IF(AD5=Цены!$H$17,Цены!$L$17,IF(AD5=Цены!$H$18,Цены!$L$18,IF(AD5=Цены!$H$19,Цены!$L$19,IF(AD5=Цены!$H$20,Цены!$L$20,IF(AD5=Цены!$H$21,Цены!$L$21,IF(AD5=Цены!$H$22,Цены!$L$22,IF(AD5=Цены!$H$23,Цены!$L$23,IF(AD5=Цены!$H$24,Цены!$L$24,IF(AD5=Цены!$H$25,Цены!$L$25,IF(AD5=Цены!$H$26,Цены!$L$26,IF(AD5=Цены!$H$27,Цены!$L$27,IF(AD5=Цены!$H$28,Цены!$L$28,IF(AD5=Цены!$H$29,Цены!$L$29,IF(AD5=Цены!$H$30,Цены!$L$30,IF(AD5=Цены!$H$31,Цены!$L$31,IF(AD5=Цены!$H$32,Цены!$L$32,IF(AD5=Цены!$H$33,Цены!$L$33,IF(AD5=Цены!$H$34,Цены!$L$34,IF(AD5=Цены!$H$35,Цены!$L$35,IF(AD5=Цены!$H$36,Цены!$L$36,IF(AD5=Цены!$H$37,Цены!$L$37,IF(AD5=Цены!$H$38,Цены!$L$38,IF(AD5=Цены!$H$39,Цены!$L$39,IF(AD5=Цены!$H$40,Цены!$L$40,IF(AD5=Цены!$H$41,Цены!$L$41,IF(AD5=Цены!$H$42,Цены!$L$42,IF(AD5=Цены!$H$43,Цены!$L$43,IF(AD5=Цены!$H$44,Цены!$L$44,IF(AD5=Цены!$H$45,Цены!$L$45,IF(AD5=Цены!$H$46,Цены!$L$46,IF(AD5=Цены!$H$47,Цены!$L$47,IF(AD5=Цены!$H$48,Цены!$L$48,IF(AD5=Цены!$H$49,Цены!$L$49,IF(AD5=Цены!$H$50,Цены!$L$50,IF(AD5=Цены!$H$51,Цены!$L$51,IF(AD5=Цены!$H$52,Цены!$L$52,IF(AD5=Цены!$H$53,Цены!$L$53,IF(AD5=Цены!$H$54,Цены!$L$54,IF(AD5=Цены!$H$55,Цены!$L$55))))))))))))))))))))))))))))))))))))))))))))))))))))))</f>
        <v>1.1499999999999999</v>
      </c>
      <c r="AG5" s="276"/>
      <c r="AH5" s="34">
        <f>IF(AD5=Цены!$H$3,Цены!$K$3,IF(AD5=Цены!$H$4,Цены!$K$4,IF(AD5=Цены!$H$5,Цены!$K$5,IF(AD5=Цены!$H$6,Цены!$K$6,IF(AD5=Цены!$H$7,Цены!$K$7,IF(AD5=Цены!$H$8,Цены!$K$8,IF(AD5=Цены!$H$9,Цены!$K$9,IF(AD5=Цены!$H$10,Цены!$K$10,IF(AD5=Цены!$H$11,Цены!$K$11,IF(AD5=Цены!$H$12,Цены!$K$12,IF(AD5=Цены!$H$13,Цены!$K$13,IF(AD5=Цены!$H$14,Цены!$K$14,IF(AD5=Цены!$H$14,Цены!$K$14,IF(AD5=Цены!$H$15,Цены!$K$15,IF(AD5=Цены!$H$16,Цены!$K$16,IF(AD5=Цены!$H$17,Цены!$K$17,IF(AD5=Цены!$H$18,Цены!$K$18,IF(AD5=Цены!$H$19,Цены!$K$19,IF(AD5=Цены!$H$20,Цены!$K$20,IF(AD5=Цены!$H$21,Цены!$K$21,IF(AD5=Цены!$H$22,Цены!$K$22,IF(AD5=Цены!$H$23,Цены!$K$23,IF(AD5=Цены!$H$24,Цены!$K$24,IF(AD5=Цены!$H$25,Цены!$K$25,IF(AD5=Цены!$H$26,Цены!$K$26,IF(AD5=Цены!$H$27,Цены!$K$27,IF(AD5=Цены!$H$28,Цены!$K$28,IF(AD5=Цены!$H$29,Цены!$K$29,IF(AD5=Цены!$H$30,Цены!$K$30,IF(AD5=Цены!$H$31,Цены!$K$31,IF(AD5=Цены!$H$32,Цены!$K$32,IF(AD5=Цены!$H$33,Цены!$K$33,IF(AD5=Цены!$H$34,Цены!$K$34,IF(AD5=Цены!$H$35,Цены!$K$35,IF(AD5=Цены!$H$36,Цены!$K$36,IF(AD5=Цены!$H$37,Цены!$K$37,IF(AD5=Цены!$H$38,Цены!$K$38,IF(AD5=Цены!$H$39,Цены!$K$39,IF(AD5=Цены!$H$40,Цены!$K$40,IF(AD5=Цены!$H$41,Цены!$K$41,IF(AD5=Цены!$H$42,Цены!$K$42,IF(AD5=Цены!$H$43,Цены!$K$43,IF(AD5=Цены!$H$44,Цены!$K$44,IF(AD5=Цены!$H$45,Цены!$K$45,IF(AD5=Цены!$H$46,Цены!$K$46,IF(AD5=Цены!$H$47,Цены!$K$47,IF(AD5=Цены!$H$48,Цены!$K$48,IF(AD5=Цены!$H$49,Цены!$K$49,IF(AD5=Цены!$H$50,Цены!$K$50,IF(AD5=Цены!$H$51,Цены!$K$51,IF(AD5=Цены!$H$52,Цены!$K$52,IF(AD5=Цены!$H$53,Цены!$K$53,IF(AD5=Цены!$H$54,Цены!$K$54,IF(AD5=Цены!$H$55,Цены!$K$55))))))))))))))))))))))))))))))))))))))))))))))))))))))</f>
        <v>400</v>
      </c>
      <c r="AI5" s="265"/>
      <c r="AJ5" s="265"/>
      <c r="AK5" s="269"/>
      <c r="AL5" s="286"/>
      <c r="AM5" s="286"/>
      <c r="AN5" s="265"/>
      <c r="AO5" s="269"/>
      <c r="AP5" s="287"/>
      <c r="AQ5" s="123"/>
      <c r="AR5" s="43"/>
      <c r="AS5" s="33" t="b">
        <f>IF(AQ5=Цены!$H$3,Цены!$L$3,IF(AQ5=Цены!$H$4,Цены!$L$4,IF(AQ5=Цены!$H$5,Цены!$L$5,IF(AQ5=Цены!$H$6,Цены!$L$6,IF(AQ5=Цены!$H$7,Цены!$L$7,IF(AQ5=Цены!$H$8,Цены!$L$8,IF(AQ5=Цены!$H$9,Цены!$L$9,IF(AQ5=Цены!$H$10,Цены!$L$10,IF(AQ5=Цены!$H$11,Цены!$L$11,IF(AQ5=Цены!$H$12,Цены!$L$12,IF(AQ5=Цены!$H$13,Цены!$L$13,IF(AQ5=Цены!$H$14,Цены!$L$14,IF(AQ5=Цены!$H$14,Цены!$L$14,IF(AQ5=Цены!$H$15,Цены!$L$15,IF(AQ5=Цены!$H$16,Цены!$L$16,IF(AQ5=Цены!$H$17,Цены!$L$17,IF(AQ5=Цены!$H$18,Цены!$L$18,IF(AQ5=Цены!$H$19,Цены!$L$19,IF(AQ5=Цены!$H$20,Цены!$L$20,IF(AQ5=Цены!$H$21,Цены!$L$21,IF(AQ5=Цены!$H$22,Цены!$L$22,IF(AQ5=Цены!$H$23,Цены!$L$23,IF(AQ5=Цены!$H$24,Цены!$L$24,IF(AQ5=Цены!$H$25,Цены!$L$25,IF(AQ5=Цены!$H$26,Цены!$L$26,IF(AQ5=Цены!$H$27,Цены!$L$27,IF(AQ5=Цены!$H$28,Цены!$L$28,IF(AQ5=Цены!$H$29,Цены!$L$29,IF(AQ5=Цены!$H$30,Цены!$L$30,IF(AQ5=Цены!$H$31,Цены!$L$31,IF(AQ5=Цены!$H$32,Цены!$L$32,IF(AQ5=Цены!$H$33,Цены!$L$33,IF(AQ5=Цены!$H$34,Цены!$L$34,IF(AQ5=Цены!$H$35,Цены!$L$35,IF(AQ5=Цены!$H$36,Цены!$L$36,IF(AQ5=Цены!$H$37,Цены!$L$37,IF(AQ5=Цены!$H$38,Цены!$L$38,IF(AQ5=Цены!$H$39,Цены!$L$39,IF(AQ5=Цены!$H$40,Цены!$L$40,IF(AQ5=Цены!$H$41,Цены!$L$41,IF(AQ5=Цены!$H$42,Цены!$L$42,IF(AQ5=Цены!$H$43,Цены!$L$43,IF(AQ5=Цены!$H$44,Цены!$L$44,IF(AQ5=Цены!$H$45,Цены!$L$45,IF(AQ5=Цены!$H$46,Цены!$L$46,IF(AQ5=Цены!$H$47,Цены!$L$47,IF(AQ5=Цены!$H$48,Цены!$L$48,IF(AQ5=Цены!$H$49,Цены!$L$49,IF(AQ5=Цены!$H$50,Цены!$L$50,IF(AQ5=Цены!$H$51,Цены!$L$51,IF(AQ5=Цены!$H$52,Цены!$L$52,IF(AQ5=Цены!$H$53,Цены!$L$53,IF(AQ5=Цены!$H$54,Цены!$L$54,IF(AQ5=Цены!$H$55,Цены!$L$55))))))))))))))))))))))))))))))))))))))))))))))))))))))</f>
        <v>0</v>
      </c>
      <c r="AT5" s="276"/>
      <c r="AU5" s="34" t="b">
        <f>IF(AQ5=Цены!$H$3,Цены!$K$3,IF(AQ5=Цены!$H$4,Цены!$K$4,IF(AQ5=Цены!$H$5,Цены!$K$5,IF(AQ5=Цены!$H$6,Цены!$K$6,IF(AQ5=Цены!$H$7,Цены!$K$7,IF(AQ5=Цены!$H$8,Цены!$K$8,IF(AQ5=Цены!$H$9,Цены!$K$9,IF(AQ5=Цены!$H$10,Цены!$K$10,IF(AQ5=Цены!$H$11,Цены!$K$11,IF(AQ5=Цены!$H$12,Цены!$K$12,IF(AQ5=Цены!$H$13,Цены!$K$13,IF(AQ5=Цены!$H$14,Цены!$K$14,IF(AQ5=Цены!$H$14,Цены!$K$14,IF(AQ5=Цены!$H$15,Цены!$K$15,IF(AQ5=Цены!$H$16,Цены!$K$16,IF(AQ5=Цены!$H$17,Цены!$K$17,IF(AQ5=Цены!$H$18,Цены!$K$18,IF(AQ5=Цены!$H$19,Цены!$K$19,IF(AQ5=Цены!$H$20,Цены!$K$20,IF(AQ5=Цены!$H$21,Цены!$K$21,IF(AQ5=Цены!$H$22,Цены!$K$22,IF(AQ5=Цены!$H$23,Цены!$K$23,IF(AQ5=Цены!$H$24,Цены!$K$24,IF(AQ5=Цены!$H$25,Цены!$K$25,IF(AQ5=Цены!$H$26,Цены!$K$26,IF(AQ5=Цены!$H$27,Цены!$K$27,IF(AQ5=Цены!$H$28,Цены!$K$28,IF(AQ5=Цены!$H$29,Цены!$K$29,IF(AQ5=Цены!$H$30,Цены!$K$30,IF(AQ5=Цены!$H$31,Цены!$K$31,IF(AQ5=Цены!$H$32,Цены!$K$32,IF(AQ5=Цены!$H$33,Цены!$K$33,IF(AQ5=Цены!$H$34,Цены!$K$34,IF(AQ5=Цены!$H$35,Цены!$K$35,IF(AQ5=Цены!$H$36,Цены!$K$36,IF(AQ5=Цены!$H$37,Цены!$K$37,IF(AQ5=Цены!$H$38,Цены!$K$38,IF(AQ5=Цены!$H$39,Цены!$K$39,IF(AQ5=Цены!$H$40,Цены!$K$40,IF(AQ5=Цены!$H$41,Цены!$K$41,IF(AQ5=Цены!$H$42,Цены!$K$42,IF(AQ5=Цены!$H$43,Цены!$K$43,IF(AQ5=Цены!$H$44,Цены!$K$44,IF(AQ5=Цены!$H$45,Цены!$K$45,IF(AQ5=Цены!$H$46,Цены!$K$46,IF(AQ5=Цены!$H$47,Цены!$K$47,IF(AQ5=Цены!$H$48,Цены!$K$48,IF(AQ5=Цены!$H$49,Цены!$K$49,IF(AQ5=Цены!$H$50,Цены!$K$50,IF(AQ5=Цены!$H$51,Цены!$K$51,IF(AQ5=Цены!$H$52,Цены!$K$52,IF(AQ5=Цены!$H$53,Цены!$K$53,IF(AQ5=Цены!$H$54,Цены!$K$54,IF(AQ5=Цены!$H$55,Цены!$K$55))))))))))))))))))))))))))))))))))))))))))))))))))))))</f>
        <v>0</v>
      </c>
      <c r="AV5" s="265"/>
      <c r="AW5" s="265"/>
      <c r="AX5" s="269"/>
      <c r="AY5" s="286"/>
      <c r="AZ5" s="286"/>
      <c r="BA5" s="265"/>
      <c r="BB5" s="269"/>
      <c r="BC5" s="287"/>
      <c r="BD5" s="243"/>
      <c r="BE5" s="35"/>
      <c r="BF5" s="43"/>
      <c r="BG5" s="33" t="b">
        <f>IF(BE5=Цены!$H$3,Цены!$L$3,IF(BE5=Цены!$H$4,Цены!$L$4,IF(BE5=Цены!$H$5,Цены!$L$5,IF(BE5=Цены!$H$6,Цены!$L$6,IF(BE5=Цены!$H$7,Цены!$L$7,IF(BE5=Цены!$H$8,Цены!$L$8,IF(BE5=Цены!$H$9,Цены!$L$9,IF(BE5=Цены!$H$10,Цены!$L$10,IF(BE5=Цены!$H$11,Цены!$L$11,IF(BE5=Цены!$H$12,Цены!$L$12,IF(BE5=Цены!$H$13,Цены!$L$13,IF(BE5=Цены!$H$14,Цены!$L$14,IF(BE5=Цены!$H$14,Цены!$L$14,IF(BE5=Цены!$H$15,Цены!$L$15,IF(BE5=Цены!$H$16,Цены!$L$16,IF(BE5=Цены!$H$17,Цены!$L$17,IF(BE5=Цены!$H$18,Цены!$L$18,IF(BE5=Цены!$H$19,Цены!$L$19,IF(BE5=Цены!$H$20,Цены!$L$20,IF(BE5=Цены!$H$21,Цены!$L$21,IF(BE5=Цены!$H$22,Цены!$L$22,IF(BE5=Цены!$H$23,Цены!$L$23,IF(BE5=Цены!$H$24,Цены!$L$24,IF(BE5=Цены!$H$25,Цены!$L$25,IF(BE5=Цены!$H$26,Цены!$L$26,IF(BE5=Цены!$H$27,Цены!$L$27,IF(BE5=Цены!$H$28,Цены!$L$28,IF(BE5=Цены!$H$29,Цены!$L$29,IF(BE5=Цены!$H$30,Цены!$L$30,IF(BE5=Цены!$H$31,Цены!$L$31,IF(BE5=Цены!$H$32,Цены!$L$32,IF(BE5=Цены!$H$33,Цены!$L$33,IF(BE5=Цены!$H$34,Цены!$L$34,IF(BE5=Цены!$H$35,Цены!$L$35,IF(BE5=Цены!$H$36,Цены!$L$36,IF(BE5=Цены!$H$37,Цены!$L$37,IF(BE5=Цены!$H$38,Цены!$L$38,IF(BE5=Цены!$H$39,Цены!$L$39,IF(BE5=Цены!$H$40,Цены!$L$40,IF(BE5=Цены!$H$41,Цены!$L$41,IF(BE5=Цены!$H$42,Цены!$L$42,IF(BE5=Цены!$H$43,Цены!$L$43,IF(BE5=Цены!$H$44,Цены!$L$44,IF(BE5=Цены!$H$45,Цены!$L$45,IF(BE5=Цены!$H$46,Цены!$L$46,IF(BE5=Цены!$H$47,Цены!$L$47,IF(BE5=Цены!$H$48,Цены!$L$48,IF(BE5=Цены!$H$49,Цены!$L$49,IF(BE5=Цены!$H$50,Цены!$L$50,IF(BE5=Цены!$H$51,Цены!$L$51,IF(BE5=Цены!$H$52,Цены!$L$52,IF(BE5=Цены!$H$53,Цены!$L$53,IF(BE5=Цены!$H$54,Цены!$L$54,IF(BE5=Цены!$H$55,Цены!$L$55))))))))))))))))))))))))))))))))))))))))))))))))))))))</f>
        <v>0</v>
      </c>
      <c r="BH5" s="276"/>
      <c r="BI5" s="34" t="b">
        <f>IF(BE5=Цены!$H$3,Цены!$K$3,IF(BE5=Цены!$H$4,Цены!$K$4,IF(BE5=Цены!$H$5,Цены!$K$5,IF(BE5=Цены!$H$6,Цены!$K$6,IF(BE5=Цены!$H$7,Цены!$K$7,IF(BE5=Цены!$H$8,Цены!$K$8,IF(BE5=Цены!$H$9,Цены!$K$9,IF(BE5=Цены!$H$10,Цены!$K$10,IF(BE5=Цены!$H$11,Цены!$K$11,IF(BE5=Цены!$H$12,Цены!$K$12,IF(BE5=Цены!$H$13,Цены!$K$13,IF(BE5=Цены!$H$14,Цены!$K$14,IF(BE5=Цены!$H$14,Цены!$K$14,IF(BE5=Цены!$H$15,Цены!$K$15,IF(BE5=Цены!$H$16,Цены!$K$16,IF(BE5=Цены!$H$17,Цены!$K$17,IF(BE5=Цены!$H$18,Цены!$K$18,IF(BE5=Цены!$H$19,Цены!$K$19,IF(BE5=Цены!$H$20,Цены!$K$20,IF(BE5=Цены!$H$21,Цены!$K$21,IF(BE5=Цены!$H$22,Цены!$K$22,IF(BE5=Цены!$H$23,Цены!$K$23,IF(BE5=Цены!$H$24,Цены!$K$24,IF(BE5=Цены!$H$25,Цены!$K$25,IF(BE5=Цены!$H$26,Цены!$K$26,IF(BE5=Цены!$H$27,Цены!$K$27,IF(BE5=Цены!$H$28,Цены!$K$28,IF(BE5=Цены!$H$29,Цены!$K$29,IF(BE5=Цены!$H$30,Цены!$K$30,IF(BE5=Цены!$H$31,Цены!$K$31,IF(BE5=Цены!$H$32,Цены!$K$32,IF(BE5=Цены!$H$33,Цены!$K$33,IF(BE5=Цены!$H$34,Цены!$K$34,IF(BE5=Цены!$H$35,Цены!$K$35,IF(BE5=Цены!$H$36,Цены!$K$36,IF(BE5=Цены!$H$37,Цены!$K$37,IF(BE5=Цены!$H$38,Цены!$K$38,IF(BE5=Цены!$H$39,Цены!$K$39,IF(BE5=Цены!$H$40,Цены!$K$40,IF(BE5=Цены!$H$41,Цены!$K$41,IF(BE5=Цены!$H$42,Цены!$K$42,IF(BE5=Цены!$H$43,Цены!$K$43,IF(BE5=Цены!$H$44,Цены!$K$44,IF(BE5=Цены!$H$45,Цены!$K$45,IF(BE5=Цены!$H$46,Цены!$K$46,IF(BE5=Цены!$H$47,Цены!$K$47,IF(BE5=Цены!$H$48,Цены!$K$48,IF(BE5=Цены!$H$49,Цены!$K$49,IF(BE5=Цены!$H$50,Цены!$K$50,IF(BE5=Цены!$H$51,Цены!$K$51,IF(BE5=Цены!$H$52,Цены!$K$52,IF(BE5=Цены!$H$53,Цены!$K$53,IF(BE5=Цены!$H$54,Цены!$K$54,IF(BE5=Цены!$H$55,Цены!$K$55))))))))))))))))))))))))))))))))))))))))))))))))))))))</f>
        <v>0</v>
      </c>
      <c r="BJ5" s="265"/>
      <c r="BK5" s="265"/>
      <c r="BL5" s="269"/>
      <c r="BM5" s="286"/>
      <c r="BN5" s="286"/>
      <c r="BO5" s="265"/>
      <c r="BP5" s="269"/>
      <c r="BQ5" s="287"/>
      <c r="BR5" s="35"/>
      <c r="BS5" s="43"/>
      <c r="BT5" s="33" t="b">
        <f>IF(BR5=Цены!$H$3,Цены!$L$3,IF(BR5=Цены!$H$4,Цены!$L$4,IF(BR5=Цены!$H$5,Цены!$L$5,IF(BR5=Цены!$H$6,Цены!$L$6,IF(BR5=Цены!$H$7,Цены!$L$7,IF(BR5=Цены!$H$8,Цены!$L$8,IF(BR5=Цены!$H$9,Цены!$L$9,IF(BR5=Цены!$H$10,Цены!$L$10,IF(BR5=Цены!$H$11,Цены!$L$11,IF(BR5=Цены!$H$12,Цены!$L$12,IF(BR5=Цены!$H$13,Цены!$L$13,IF(BR5=Цены!$H$14,Цены!$L$14,IF(BR5=Цены!$H$14,Цены!$L$14,IF(BR5=Цены!$H$15,Цены!$L$15,IF(BR5=Цены!$H$16,Цены!$L$16,IF(BR5=Цены!$H$17,Цены!$L$17,IF(BR5=Цены!$H$18,Цены!$L$18,IF(BR5=Цены!$H$19,Цены!$L$19,IF(BR5=Цены!$H$20,Цены!$L$20,IF(BR5=Цены!$H$21,Цены!$L$21,IF(BR5=Цены!$H$22,Цены!$L$22,IF(BR5=Цены!$H$23,Цены!$L$23,IF(BR5=Цены!$H$24,Цены!$L$24,IF(BR5=Цены!$H$25,Цены!$L$25,IF(BR5=Цены!$H$26,Цены!$L$26,IF(BR5=Цены!$H$27,Цены!$L$27,IF(BR5=Цены!$H$28,Цены!$L$28,IF(BR5=Цены!$H$29,Цены!$L$29,IF(BR5=Цены!$H$30,Цены!$L$30,IF(BR5=Цены!$H$31,Цены!$L$31,IF(BR5=Цены!$H$32,Цены!$L$32,IF(BR5=Цены!$H$33,Цены!$L$33,IF(BR5=Цены!$H$34,Цены!$L$34,IF(BR5=Цены!$H$35,Цены!$L$35,IF(BR5=Цены!$H$36,Цены!$L$36,IF(BR5=Цены!$H$37,Цены!$L$37,IF(BR5=Цены!$H$38,Цены!$L$38,IF(BR5=Цены!$H$39,Цены!$L$39,IF(BR5=Цены!$H$40,Цены!$L$40,IF(BR5=Цены!$H$41,Цены!$L$41,IF(BR5=Цены!$H$42,Цены!$L$42,IF(BR5=Цены!$H$43,Цены!$L$43,IF(BR5=Цены!$H$44,Цены!$L$44,IF(BR5=Цены!$H$45,Цены!$L$45,IF(BR5=Цены!$H$46,Цены!$L$46,IF(BR5=Цены!$H$47,Цены!$L$47,IF(BR5=Цены!$H$48,Цены!$L$48,IF(BR5=Цены!$H$49,Цены!$L$49,IF(BR5=Цены!$H$50,Цены!$L$50,IF(BR5=Цены!$H$51,Цены!$L$51,IF(BR5=Цены!$H$52,Цены!$L$52,IF(BR5=Цены!$H$53,Цены!$L$53,IF(BR5=Цены!$H$54,Цены!$L$54,IF(BR5=Цены!$H$55,Цены!$L$55))))))))))))))))))))))))))))))))))))))))))))))))))))))</f>
        <v>0</v>
      </c>
      <c r="BU5" s="276"/>
      <c r="BV5" s="34" t="b">
        <f>IF(BR5=Цены!$H$3,Цены!$K$3,IF(BR5=Цены!$H$4,Цены!$K$4,IF(BR5=Цены!$H$5,Цены!$K$5,IF(BR5=Цены!$H$6,Цены!$K$6,IF(BR5=Цены!$H$7,Цены!$K$7,IF(BR5=Цены!$H$8,Цены!$K$8,IF(BR5=Цены!$H$9,Цены!$K$9,IF(BR5=Цены!$H$10,Цены!$K$10,IF(BR5=Цены!$H$11,Цены!$K$11,IF(BR5=Цены!$H$12,Цены!$K$12,IF(BR5=Цены!$H$13,Цены!$K$13,IF(BR5=Цены!$H$14,Цены!$K$14,IF(BR5=Цены!$H$14,Цены!$K$14,IF(BR5=Цены!$H$15,Цены!$K$15,IF(BR5=Цены!$H$16,Цены!$K$16,IF(BR5=Цены!$H$17,Цены!$K$17,IF(BR5=Цены!$H$18,Цены!$K$18,IF(BR5=Цены!$H$19,Цены!$K$19,IF(BR5=Цены!$H$20,Цены!$K$20,IF(BR5=Цены!$H$21,Цены!$K$21,IF(BR5=Цены!$H$22,Цены!$K$22,IF(BR5=Цены!$H$23,Цены!$K$23,IF(BR5=Цены!$H$24,Цены!$K$24,IF(BR5=Цены!$H$25,Цены!$K$25,IF(BR5=Цены!$H$26,Цены!$K$26,IF(BR5=Цены!$H$27,Цены!$K$27,IF(BR5=Цены!$H$28,Цены!$K$28,IF(BR5=Цены!$H$29,Цены!$K$29,IF(BR5=Цены!$H$30,Цены!$K$30,IF(BR5=Цены!$H$31,Цены!$K$31,IF(BR5=Цены!$H$32,Цены!$K$32,IF(BR5=Цены!$H$33,Цены!$K$33,IF(BR5=Цены!$H$34,Цены!$K$34,IF(BR5=Цены!$H$35,Цены!$K$35,IF(BR5=Цены!$H$36,Цены!$K$36,IF(BR5=Цены!$H$37,Цены!$K$37,IF(BR5=Цены!$H$38,Цены!$K$38,IF(BR5=Цены!$H$39,Цены!$K$39,IF(BR5=Цены!$H$40,Цены!$K$40,IF(BR5=Цены!$H$41,Цены!$K$41,IF(BR5=Цены!$H$42,Цены!$K$42,IF(BR5=Цены!$H$43,Цены!$K$43,IF(BR5=Цены!$H$44,Цены!$K$44,IF(BR5=Цены!$H$45,Цены!$K$45,IF(BR5=Цены!$H$46,Цены!$K$46,IF(BR5=Цены!$H$47,Цены!$K$47,IF(BR5=Цены!$H$48,Цены!$K$48,IF(BR5=Цены!$H$49,Цены!$K$49,IF(BR5=Цены!$H$50,Цены!$K$50,IF(BR5=Цены!$H$51,Цены!$K$51,IF(BR5=Цены!$H$52,Цены!$K$52,IF(BR5=Цены!$H$53,Цены!$K$53,IF(BR5=Цены!$H$54,Цены!$K$54,IF(BR5=Цены!$H$55,Цены!$K$55))))))))))))))))))))))))))))))))))))))))))))))))))))))</f>
        <v>0</v>
      </c>
      <c r="BW5" s="265"/>
      <c r="BX5" s="265"/>
      <c r="BY5" s="269"/>
      <c r="BZ5" s="286"/>
      <c r="CA5" s="286"/>
      <c r="CB5" s="265"/>
      <c r="CC5" s="269"/>
      <c r="CD5" s="287"/>
      <c r="CE5" s="117" t="s">
        <v>121</v>
      </c>
      <c r="CF5" s="43">
        <v>1</v>
      </c>
      <c r="CG5" s="33">
        <f>IF(CE5=Цены!$H$3,Цены!$L$3,IF(CE5=Цены!$H$4,Цены!$L$4,IF(CE5=Цены!$H$5,Цены!$L$5,IF(CE5=Цены!$H$6,Цены!$L$6,IF(CE5=Цены!$H$7,Цены!$L$7,IF(CE5=Цены!$H$8,Цены!$L$8,IF(CE5=Цены!$H$9,Цены!$L$9,IF(CE5=Цены!$H$10,Цены!$L$10,IF(CE5=Цены!$H$11,Цены!$L$11,IF(CE5=Цены!$H$12,Цены!$L$12,IF(CE5=Цены!$H$13,Цены!$L$13,IF(CE5=Цены!$H$14,Цены!$L$14,IF(CE5=Цены!$H$14,Цены!$L$14,IF(CE5=Цены!$H$15,Цены!$L$15,IF(CE5=Цены!$H$16,Цены!$L$16,IF(CE5=Цены!$H$17,Цены!$L$17,IF(CE5=Цены!$H$18,Цены!$L$18,IF(CE5=Цены!$H$19,Цены!$L$19,IF(CE5=Цены!$H$20,Цены!$L$20,IF(CE5=Цены!$H$21,Цены!$L$21,IF(CE5=Цены!$H$22,Цены!$L$22,IF(CE5=Цены!$H$23,Цены!$L$23,IF(CE5=Цены!$H$24,Цены!$L$24,IF(CE5=Цены!$H$25,Цены!$L$25,IF(CE5=Цены!$H$26,Цены!$L$26,IF(CE5=Цены!$H$27,Цены!$L$27,IF(CE5=Цены!$H$28,Цены!$L$28,IF(CE5=Цены!$H$29,Цены!$L$29,IF(CE5=Цены!$H$30,Цены!$L$30,IF(CE5=Цены!$H$31,Цены!$L$31,IF(CE5=Цены!$H$32,Цены!$L$32,IF(CE5=Цены!$H$33,Цены!$L$33,IF(CE5=Цены!$H$34,Цены!$L$34,IF(CE5=Цены!$H$35,Цены!$L$35,IF(CE5=Цены!$H$36,Цены!$L$36,IF(CE5=Цены!$H$37,Цены!$L$37,IF(CE5=Цены!$H$38,Цены!$L$38,IF(CE5=Цены!$H$39,Цены!$L$39,IF(CE5=Цены!$H$40,Цены!$L$40,IF(CE5=Цены!$H$41,Цены!$L$41,IF(CE5=Цены!$H$42,Цены!$L$42,IF(CE5=Цены!$H$43,Цены!$L$43,IF(CE5=Цены!$H$44,Цены!$L$44,IF(CE5=Цены!$H$45,Цены!$L$45,IF(CE5=Цены!$H$46,Цены!$L$46,IF(CE5=Цены!$H$47,Цены!$L$47,IF(CE5=Цены!$H$48,Цены!$L$48,IF(CE5=Цены!$H$49,Цены!$L$49,IF(CE5=Цены!$H$50,Цены!$L$50,IF(CE5=Цены!$H$51,Цены!$L$51,IF(CE5=Цены!$H$52,Цены!$L$52,IF(CE5=Цены!$H$53,Цены!$L$53,IF(CE5=Цены!$H$54,Цены!$L$54,IF(CE5=Цены!$H$55,Цены!$L$55))))))))))))))))))))))))))))))))))))))))))))))))))))))</f>
        <v>1.32E-2</v>
      </c>
      <c r="CH5" s="276"/>
      <c r="CI5" s="34">
        <f>IF(CE5=Цены!$H$3,Цены!$K$3,IF(CE5=Цены!$H$4,Цены!$K$4,IF(CE5=Цены!$H$5,Цены!$K$5,IF(CE5=Цены!$H$6,Цены!$K$6,IF(CE5=Цены!$H$7,Цены!$K$7,IF(CE5=Цены!$H$8,Цены!$K$8,IF(CE5=Цены!$H$9,Цены!$K$9,IF(CE5=Цены!$H$10,Цены!$K$10,IF(CE5=Цены!$H$11,Цены!$K$11,IF(CE5=Цены!$H$12,Цены!$K$12,IF(CE5=Цены!$H$13,Цены!$K$13,IF(CE5=Цены!$H$14,Цены!$K$14,IF(CE5=Цены!$H$14,Цены!$K$14,IF(CE5=Цены!$H$15,Цены!$K$15,IF(CE5=Цены!$H$16,Цены!$K$16,IF(CE5=Цены!$H$17,Цены!$K$17,IF(CE5=Цены!$H$18,Цены!$K$18,IF(CE5=Цены!$H$19,Цены!$K$19,IF(CE5=Цены!$H$20,Цены!$K$20,IF(CE5=Цены!$H$21,Цены!$K$21,IF(CE5=Цены!$H$22,Цены!$K$22,IF(CE5=Цены!$H$23,Цены!$K$23,IF(CE5=Цены!$H$24,Цены!$K$24,IF(CE5=Цены!$H$25,Цены!$K$25,IF(CE5=Цены!$H$26,Цены!$K$26,IF(CE5=Цены!$H$27,Цены!$K$27,IF(CE5=Цены!$H$28,Цены!$K$28,IF(CE5=Цены!$H$29,Цены!$K$29,IF(CE5=Цены!$H$30,Цены!$K$30,IF(CE5=Цены!$H$31,Цены!$K$31,IF(CE5=Цены!$H$32,Цены!$K$32,IF(CE5=Цены!$H$33,Цены!$K$33,IF(CE5=Цены!$H$34,Цены!$K$34,IF(CE5=Цены!$H$35,Цены!$K$35,IF(CE5=Цены!$H$36,Цены!$K$36,IF(CE5=Цены!$H$37,Цены!$K$37,IF(CE5=Цены!$H$38,Цены!$K$38,IF(CE5=Цены!$H$39,Цены!$K$39,IF(CE5=Цены!$H$40,Цены!$K$40,IF(CE5=Цены!$H$41,Цены!$K$41,IF(CE5=Цены!$H$42,Цены!$K$42,IF(CE5=Цены!$H$43,Цены!$K$43,IF(CE5=Цены!$H$44,Цены!$K$44,IF(CE5=Цены!$H$45,Цены!$K$45,IF(CE5=Цены!$H$46,Цены!$K$46,IF(CE5=Цены!$H$47,Цены!$K$47,IF(CE5=Цены!$H$48,Цены!$K$48,IF(CE5=Цены!$H$49,Цены!$K$49,IF(CE5=Цены!$H$50,Цены!$K$50,IF(CE5=Цены!$H$51,Цены!$K$51,IF(CE5=Цены!$H$52,Цены!$K$52,IF(CE5=Цены!$H$53,Цены!$K$53,IF(CE5=Цены!$H$54,Цены!$K$54,IF(CE5=Цены!$H$55,Цены!$K$55))))))))))))))))))))))))))))))))))))))))))))))))))))))</f>
        <v>54</v>
      </c>
      <c r="CJ5" s="265"/>
      <c r="CK5" s="265"/>
      <c r="CL5" s="269"/>
      <c r="CM5" s="286"/>
      <c r="CN5" s="286"/>
      <c r="CO5" s="265"/>
      <c r="CP5" s="269"/>
      <c r="CQ5" s="287"/>
    </row>
    <row r="6" spans="1:95" s="36" customFormat="1" ht="15.75" hidden="1" x14ac:dyDescent="0.25">
      <c r="A6" s="341"/>
      <c r="B6" s="265"/>
      <c r="C6" s="286"/>
      <c r="D6" s="31" t="s">
        <v>121</v>
      </c>
      <c r="E6" s="32">
        <v>2</v>
      </c>
      <c r="F6" s="33">
        <f>IF(D6=Цены!$H$3,Цены!$L$3,IF(D6=Цены!$H$4,Цены!$L$4,IF(D6=Цены!$H$5,Цены!$L$5,IF(D6=Цены!$H$6,Цены!$L$6,IF(D6=Цены!$H$7,Цены!$L$7,IF(D6=Цены!$H$8,Цены!$L$8,IF(D6=Цены!$H$9,Цены!$L$9,IF(D6=Цены!$H$10,Цены!$L$10,IF(D6=Цены!$H$11,Цены!$L$11,IF(D6=Цены!$H$12,Цены!$L$12,IF(D6=Цены!$H$13,Цены!$L$13,IF(D6=Цены!$H$14,Цены!$L$14,IF(D6=Цены!$H$14,Цены!$L$14,IF(D6=Цены!$H$15,Цены!$L$15,IF(D6=Цены!$H$16,Цены!$L$16,IF(D6=Цены!$H$17,Цены!$L$17,IF(D6=Цены!$H$18,Цены!$L$18,IF(D6=Цены!$H$19,Цены!$L$19,IF(D6=Цены!$H$20,Цены!$L$20,IF(D6=Цены!$H$21,Цены!$L$21,IF(D6=Цены!$H$22,Цены!$L$22,IF(D6=Цены!$H$23,Цены!$L$23,IF(D6=Цены!$H$24,Цены!$L$24,IF(D6=Цены!$H$25,Цены!$L$25,IF(D6=Цены!$H$26,Цены!$L$26,IF(D6=Цены!$H$27,Цены!$L$27,IF(D6=Цены!$H$28,Цены!$L$28,IF(D6=Цены!$H$29,Цены!$L$29,IF(D6=Цены!$H$30,Цены!$L$30,IF(D6=Цены!$H$31,Цены!$L$31,IF(D6=Цены!$H$32,Цены!$L$32,IF(D6=Цены!$H$33,Цены!$L$33,IF(D6=Цены!$H$34,Цены!$L$34,IF(D6=Цены!$H$35,Цены!$L$35,IF(D6=Цены!$H$36,Цены!$L$36,IF(D6=Цены!$H$37,Цены!$L$37,IF(D6=Цены!$H$38,Цены!$L$38,IF(D6=Цены!$H$39,Цены!$L$39,IF(D6=Цены!$H$40,Цены!$L$40,IF(D6=Цены!$H$41,Цены!$L$41,IF(D6=Цены!$H$42,Цены!$L$42,IF(D6=Цены!$H$43,Цены!$L$43,IF(D6=Цены!$H$44,Цены!$L$44,IF(D6=Цены!$H$45,Цены!$L$45,IF(D6=Цены!$H$46,Цены!$L$46,IF(D6=Цены!$H$47,Цены!$L$47,IF(D6=Цены!$H$48,Цены!$L$48,IF(D6=Цены!$H$49,Цены!$L$49,IF(D6=Цены!$H$50,Цены!$L$50,IF(D6=Цены!$H$51,Цены!$L$51,IF(D6=Цены!$H$52,Цены!$L$52,IF(D6=Цены!$H$53,Цены!$L$53,IF(D6=Цены!$H$54,Цены!$L$54,IF(D6=Цены!$H$55,Цены!$L$55))))))))))))))))))))))))))))))))))))))))))))))))))))))</f>
        <v>1.32E-2</v>
      </c>
      <c r="G6" s="276"/>
      <c r="H6" s="34">
        <f>IF(D6=Цены!$H$3,Цены!$K$3,IF(D6=Цены!$H$4,Цены!$K$4,IF(D6=Цены!$H$5,Цены!$K$5,IF(D6=Цены!$H$6,Цены!$K$6,IF(D6=Цены!$H$7,Цены!$K$7,IF(D6=Цены!$H$8,Цены!$K$8,IF(D6=Цены!$H$9,Цены!$K$9,IF(D6=Цены!$H$10,Цены!$K$10,IF(D6=Цены!$H$11,Цены!$K$11,IF(D6=Цены!$H$12,Цены!$K$12,IF(D6=Цены!$H$13,Цены!$K$13,IF(D6=Цены!$H$14,Цены!$K$14,IF(D6=Цены!$H$14,Цены!$K$14,IF(D6=Цены!$H$15,Цены!$K$15,IF(D6=Цены!$H$16,Цены!$K$16,IF(D6=Цены!$H$17,Цены!$K$17,IF(D6=Цены!$H$18,Цены!$K$18,IF(D6=Цены!$H$19,Цены!$K$19,IF(D6=Цены!$H$20,Цены!$K$20,IF(D6=Цены!$H$21,Цены!$K$21,IF(D6=Цены!$H$22,Цены!$K$22,IF(D6=Цены!$H$23,Цены!$K$23,IF(D6=Цены!$H$24,Цены!$K$24,IF(D6=Цены!$H$25,Цены!$K$25,IF(D6=Цены!$H$26,Цены!$K$26,IF(D6=Цены!$H$27,Цены!$K$27,IF(D6=Цены!$H$28,Цены!$K$28,IF(D6=Цены!$H$29,Цены!$K$29,IF(D6=Цены!$H$30,Цены!$K$30,IF(D6=Цены!$H$31,Цены!$K$31,IF(D6=Цены!$H$32,Цены!$K$32,IF(D6=Цены!$H$33,Цены!$K$33,IF(D6=Цены!$H$34,Цены!$K$34,IF(D6=Цены!$H$35,Цены!$K$35,IF(D6=Цены!$H$36,Цены!$K$36,IF(D6=Цены!$H$37,Цены!$K$37,IF(D6=Цены!$H$38,Цены!$K$38,IF(D6=Цены!$H$39,Цены!$K$39,IF(D6=Цены!$H$40,Цены!$K$40,IF(D6=Цены!$H$41,Цены!$K$41,IF(D6=Цены!$H$42,Цены!$K$42,IF(D6=Цены!$H$43,Цены!$K$43,IF(D6=Цены!$H$44,Цены!$K$44,IF(D6=Цены!$H$45,Цены!$K$45,IF(D6=Цены!$H$46,Цены!$K$46,IF(D6=Цены!$H$47,Цены!$K$47,IF(D6=Цены!$H$48,Цены!$K$48,IF(D6=Цены!$H$49,Цены!$K$49,IF(D6=Цены!$H$50,Цены!$K$50,IF(D6=Цены!$H$51,Цены!$K$51,IF(D6=Цены!$H$52,Цены!$K$52,IF(D6=Цены!$H$53,Цены!$K$53,IF(D6=Цены!$H$54,Цены!$K$54,IF(D6=Цены!$H$55,Цены!$K$55))))))))))))))))))))))))))))))))))))))))))))))))))))))</f>
        <v>54</v>
      </c>
      <c r="I6" s="265"/>
      <c r="J6" s="265"/>
      <c r="K6" s="269"/>
      <c r="L6" s="286"/>
      <c r="M6" s="286"/>
      <c r="N6" s="265"/>
      <c r="O6" s="269"/>
      <c r="P6" s="287"/>
      <c r="Q6" s="35"/>
      <c r="R6" s="32"/>
      <c r="S6" s="33" t="b">
        <f>IF(Q6=Цены!$H$3,Цены!$L$3,IF(Q6=Цены!$H$4,Цены!$L$4,IF(Q6=Цены!$H$5,Цены!$L$5,IF(Q6=Цены!$H$6,Цены!$L$6,IF(Q6=Цены!$H$7,Цены!$L$7,IF(Q6=Цены!$H$8,Цены!$L$8,IF(Q6=Цены!$H$9,Цены!$L$9,IF(Q6=Цены!$H$10,Цены!$L$10,IF(Q6=Цены!$H$11,Цены!$L$11,IF(Q6=Цены!$H$12,Цены!$L$12,IF(Q6=Цены!$H$13,Цены!$L$13,IF(Q6=Цены!$H$14,Цены!$L$14,IF(Q6=Цены!$H$14,Цены!$L$14,IF(Q6=Цены!$H$15,Цены!$L$15,IF(Q6=Цены!$H$16,Цены!$L$16,IF(Q6=Цены!$H$17,Цены!$L$17,IF(Q6=Цены!$H$18,Цены!$L$18,IF(Q6=Цены!$H$19,Цены!$L$19,IF(Q6=Цены!$H$20,Цены!$L$20,IF(Q6=Цены!$H$21,Цены!$L$21,IF(Q6=Цены!$H$22,Цены!$L$22,IF(Q6=Цены!$H$23,Цены!$L$23,IF(Q6=Цены!$H$24,Цены!$L$24,IF(Q6=Цены!$H$25,Цены!$L$25,IF(Q6=Цены!$H$26,Цены!$L$26,IF(Q6=Цены!$H$27,Цены!$L$27,IF(Q6=Цены!$H$28,Цены!$L$28,IF(Q6=Цены!$H$29,Цены!$L$29,IF(Q6=Цены!$H$30,Цены!$L$30,IF(Q6=Цены!$H$31,Цены!$L$31,IF(Q6=Цены!$H$32,Цены!$L$32,IF(Q6=Цены!$H$33,Цены!$L$33,IF(Q6=Цены!$H$34,Цены!$L$34,IF(Q6=Цены!$H$35,Цены!$L$35,IF(Q6=Цены!$H$36,Цены!$L$36,IF(Q6=Цены!$H$37,Цены!$L$37,IF(Q6=Цены!$H$38,Цены!$L$38,IF(Q6=Цены!$H$39,Цены!$L$39,IF(Q6=Цены!$H$40,Цены!$L$40,IF(Q6=Цены!$H$41,Цены!$L$41,IF(Q6=Цены!$H$42,Цены!$L$42,IF(Q6=Цены!$H$43,Цены!$L$43,IF(Q6=Цены!$H$44,Цены!$L$44,IF(Q6=Цены!$H$45,Цены!$L$45,IF(Q6=Цены!$H$46,Цены!$L$46,IF(Q6=Цены!$H$47,Цены!$L$47,IF(Q6=Цены!$H$48,Цены!$L$48,IF(Q6=Цены!$H$49,Цены!$L$49,IF(Q6=Цены!$H$50,Цены!$L$50,IF(Q6=Цены!$H$51,Цены!$L$51,IF(Q6=Цены!$H$52,Цены!$L$52,IF(Q6=Цены!$H$53,Цены!$L$53,IF(Q6=Цены!$H$54,Цены!$L$54,IF(Q6=Цены!$H$55,Цены!$L$55))))))))))))))))))))))))))))))))))))))))))))))))))))))</f>
        <v>0</v>
      </c>
      <c r="T6" s="276"/>
      <c r="U6" s="160" t="b">
        <f>IF(Q6=Цены!$H$3,Цены!$K$3,IF(Q6=Цены!$H$4,Цены!$K$4,IF(Q6=Цены!$H$5,Цены!$K$5,IF(Q6=Цены!$H$6,Цены!$K$6,IF(Q6=Цены!$H$7,Цены!$K$7,IF(Q6=Цены!$H$8,Цены!$K$8,IF(Q6=Цены!$H$9,Цены!$K$9,IF(Q6=Цены!$H$10,Цены!$K$10,IF(Q6=Цены!$H$11,Цены!$K$11,IF(Q6=Цены!$H$12,Цены!$K$12,IF(Q6=Цены!$H$13,Цены!$K$13,IF(Q6=Цены!$H$14,Цены!$K$14,IF(Q6=Цены!$H$14,Цены!$K$14,IF(Q6=Цены!$H$15,Цены!$K$15,IF(Q6=Цены!$H$16,Цены!$K$16,IF(Q6=Цены!$H$17,Цены!$K$17,IF(Q6=Цены!$H$18,Цены!$K$18,IF(Q6=Цены!$H$19,Цены!$K$19,IF(Q6=Цены!$H$20,Цены!$K$20,IF(Q6=Цены!$H$21,Цены!$K$21,IF(Q6=Цены!$H$22,Цены!$K$22,IF(Q6=Цены!$H$23,Цены!$K$23,IF(Q6=Цены!$H$24,Цены!$K$24,IF(Q6=Цены!$H$25,Цены!$K$25,IF(Q6=Цены!$H$26,Цены!$K$26,IF(Q6=Цены!$H$27,Цены!$K$27,IF(Q6=Цены!$H$28,Цены!$K$28,IF(Q6=Цены!$H$29,Цены!$K$29,IF(Q6=Цены!$H$30,Цены!$K$30,IF(Q6=Цены!$H$31,Цены!$K$31,IF(Q6=Цены!$H$32,Цены!$K$32,IF(Q6=Цены!$H$33,Цены!$K$33,IF(Q6=Цены!$H$34,Цены!$K$34,IF(Q6=Цены!$H$35,Цены!$K$35,IF(Q6=Цены!$H$36,Цены!$K$36,IF(Q6=Цены!$H$37,Цены!$K$37,IF(Q6=Цены!$H$38,Цены!$K$38,IF(Q6=Цены!$H$39,Цены!$K$39,IF(Q6=Цены!$H$40,Цены!$K$40,IF(Q6=Цены!$H$41,Цены!$K$41,IF(Q6=Цены!$H$42,Цены!$K$42,IF(Q6=Цены!$H$43,Цены!$K$43,IF(Q6=Цены!$H$44,Цены!$K$44,IF(Q6=Цены!$H$45,Цены!$K$45,IF(Q6=Цены!$H$46,Цены!$K$46,IF(Q6=Цены!$H$47,Цены!$K$47,IF(Q6=Цены!$H$48,Цены!$K$48,IF(Q6=Цены!$H$49,Цены!$K$49,IF(Q6=Цены!$H$50,Цены!$K$50,IF(Q6=Цены!$H$51,Цены!$K$51,IF(Q6=Цены!$H$52,Цены!$K$52,IF(Q6=Цены!$H$53,Цены!$K$53,IF(Q6=Цены!$H$54,Цены!$K$54,IF(Q6=Цены!$H$55,Цены!$K$55))))))))))))))))))))))))))))))))))))))))))))))))))))))</f>
        <v>0</v>
      </c>
      <c r="V6" s="265"/>
      <c r="W6" s="265"/>
      <c r="X6" s="269"/>
      <c r="Y6" s="286"/>
      <c r="Z6" s="286"/>
      <c r="AA6" s="265"/>
      <c r="AB6" s="269"/>
      <c r="AC6" s="287"/>
      <c r="AD6" s="123" t="s">
        <v>144</v>
      </c>
      <c r="AE6" s="32">
        <v>4</v>
      </c>
      <c r="AF6" s="33">
        <f>IF(AD6=Цены!$H$3,Цены!$L$3,IF(AD6=Цены!$H$4,Цены!$L$4,IF(AD6=Цены!$H$5,Цены!$L$5,IF(AD6=Цены!$H$6,Цены!$L$6,IF(AD6=Цены!$H$7,Цены!$L$7,IF(AD6=Цены!$H$8,Цены!$L$8,IF(AD6=Цены!$H$9,Цены!$L$9,IF(AD6=Цены!$H$10,Цены!$L$10,IF(AD6=Цены!$H$11,Цены!$L$11,IF(AD6=Цены!$H$12,Цены!$L$12,IF(AD6=Цены!$H$13,Цены!$L$13,IF(AD6=Цены!$H$14,Цены!$L$14,IF(AD6=Цены!$H$14,Цены!$L$14,IF(AD6=Цены!$H$15,Цены!$L$15,IF(AD6=Цены!$H$16,Цены!$L$16,IF(AD6=Цены!$H$17,Цены!$L$17,IF(AD6=Цены!$H$18,Цены!$L$18,IF(AD6=Цены!$H$19,Цены!$L$19,IF(AD6=Цены!$H$20,Цены!$L$20,IF(AD6=Цены!$H$21,Цены!$L$21,IF(AD6=Цены!$H$22,Цены!$L$22,IF(AD6=Цены!$H$23,Цены!$L$23,IF(AD6=Цены!$H$24,Цены!$L$24,IF(AD6=Цены!$H$25,Цены!$L$25,IF(AD6=Цены!$H$26,Цены!$L$26,IF(AD6=Цены!$H$27,Цены!$L$27,IF(AD6=Цены!$H$28,Цены!$L$28,IF(AD6=Цены!$H$29,Цены!$L$29,IF(AD6=Цены!$H$30,Цены!$L$30,IF(AD6=Цены!$H$31,Цены!$L$31,IF(AD6=Цены!$H$32,Цены!$L$32,IF(AD6=Цены!$H$33,Цены!$L$33,IF(AD6=Цены!$H$34,Цены!$L$34,IF(AD6=Цены!$H$35,Цены!$L$35,IF(AD6=Цены!$H$36,Цены!$L$36,IF(AD6=Цены!$H$37,Цены!$L$37,IF(AD6=Цены!$H$38,Цены!$L$38,IF(AD6=Цены!$H$39,Цены!$L$39,IF(AD6=Цены!$H$40,Цены!$L$40,IF(AD6=Цены!$H$41,Цены!$L$41,IF(AD6=Цены!$H$42,Цены!$L$42,IF(AD6=Цены!$H$43,Цены!$L$43,IF(AD6=Цены!$H$44,Цены!$L$44,IF(AD6=Цены!$H$45,Цены!$L$45,IF(AD6=Цены!$H$46,Цены!$L$46,IF(AD6=Цены!$H$47,Цены!$L$47,IF(AD6=Цены!$H$48,Цены!$L$48,IF(AD6=Цены!$H$49,Цены!$L$49,IF(AD6=Цены!$H$50,Цены!$L$50,IF(AD6=Цены!$H$51,Цены!$L$51,IF(AD6=Цены!$H$52,Цены!$L$52,IF(AD6=Цены!$H$53,Цены!$L$53,IF(AD6=Цены!$H$54,Цены!$L$54,IF(AD6=Цены!$H$55,Цены!$L$55))))))))))))))))))))))))))))))))))))))))))))))))))))))</f>
        <v>0.19</v>
      </c>
      <c r="AG6" s="276"/>
      <c r="AH6" s="34">
        <f>IF(AD6=Цены!$H$3,Цены!$K$3,IF(AD6=Цены!$H$4,Цены!$K$4,IF(AD6=Цены!$H$5,Цены!$K$5,IF(AD6=Цены!$H$6,Цены!$K$6,IF(AD6=Цены!$H$7,Цены!$K$7,IF(AD6=Цены!$H$8,Цены!$K$8,IF(AD6=Цены!$H$9,Цены!$K$9,IF(AD6=Цены!$H$10,Цены!$K$10,IF(AD6=Цены!$H$11,Цены!$K$11,IF(AD6=Цены!$H$12,Цены!$K$12,IF(AD6=Цены!$H$13,Цены!$K$13,IF(AD6=Цены!$H$14,Цены!$K$14,IF(AD6=Цены!$H$14,Цены!$K$14,IF(AD6=Цены!$H$15,Цены!$K$15,IF(AD6=Цены!$H$16,Цены!$K$16,IF(AD6=Цены!$H$17,Цены!$K$17,IF(AD6=Цены!$H$18,Цены!$K$18,IF(AD6=Цены!$H$19,Цены!$K$19,IF(AD6=Цены!$H$20,Цены!$K$20,IF(AD6=Цены!$H$21,Цены!$K$21,IF(AD6=Цены!$H$22,Цены!$K$22,IF(AD6=Цены!$H$23,Цены!$K$23,IF(AD6=Цены!$H$24,Цены!$K$24,IF(AD6=Цены!$H$25,Цены!$K$25,IF(AD6=Цены!$H$26,Цены!$K$26,IF(AD6=Цены!$H$27,Цены!$K$27,IF(AD6=Цены!$H$28,Цены!$K$28,IF(AD6=Цены!$H$29,Цены!$K$29,IF(AD6=Цены!$H$30,Цены!$K$30,IF(AD6=Цены!$H$31,Цены!$K$31,IF(AD6=Цены!$H$32,Цены!$K$32,IF(AD6=Цены!$H$33,Цены!$K$33,IF(AD6=Цены!$H$34,Цены!$K$34,IF(AD6=Цены!$H$35,Цены!$K$35,IF(AD6=Цены!$H$36,Цены!$K$36,IF(AD6=Цены!$H$37,Цены!$K$37,IF(AD6=Цены!$H$38,Цены!$K$38,IF(AD6=Цены!$H$39,Цены!$K$39,IF(AD6=Цены!$H$40,Цены!$K$40,IF(AD6=Цены!$H$41,Цены!$K$41,IF(AD6=Цены!$H$42,Цены!$K$42,IF(AD6=Цены!$H$43,Цены!$K$43,IF(AD6=Цены!$H$44,Цены!$K$44,IF(AD6=Цены!$H$45,Цены!$K$45,IF(AD6=Цены!$H$46,Цены!$K$46,IF(AD6=Цены!$H$47,Цены!$K$47,IF(AD6=Цены!$H$48,Цены!$K$48,IF(AD6=Цены!$H$49,Цены!$K$49,IF(AD6=Цены!$H$50,Цены!$K$50,IF(AD6=Цены!$H$51,Цены!$K$51,IF(AD6=Цены!$H$52,Цены!$K$52,IF(AD6=Цены!$H$53,Цены!$K$53,IF(AD6=Цены!$H$54,Цены!$K$54,IF(AD6=Цены!$H$55,Цены!$K$55))))))))))))))))))))))))))))))))))))))))))))))))))))))</f>
        <v>448</v>
      </c>
      <c r="AI6" s="265"/>
      <c r="AJ6" s="265"/>
      <c r="AK6" s="269"/>
      <c r="AL6" s="286"/>
      <c r="AM6" s="286"/>
      <c r="AN6" s="265"/>
      <c r="AO6" s="269"/>
      <c r="AP6" s="287"/>
      <c r="AQ6" s="117"/>
      <c r="AR6" s="43"/>
      <c r="AS6" s="33" t="b">
        <f>IF(AQ6=Цены!$H$3,Цены!$L$3,IF(AQ6=Цены!$H$4,Цены!$L$4,IF(AQ6=Цены!$H$5,Цены!$L$5,IF(AQ6=Цены!$H$6,Цены!$L$6,IF(AQ6=Цены!$H$7,Цены!$L$7,IF(AQ6=Цены!$H$8,Цены!$L$8,IF(AQ6=Цены!$H$9,Цены!$L$9,IF(AQ6=Цены!$H$10,Цены!$L$10,IF(AQ6=Цены!$H$11,Цены!$L$11,IF(AQ6=Цены!$H$12,Цены!$L$12,IF(AQ6=Цены!$H$13,Цены!$L$13,IF(AQ6=Цены!$H$14,Цены!$L$14,IF(AQ6=Цены!$H$14,Цены!$L$14,IF(AQ6=Цены!$H$15,Цены!$L$15,IF(AQ6=Цены!$H$16,Цены!$L$16,IF(AQ6=Цены!$H$17,Цены!$L$17,IF(AQ6=Цены!$H$18,Цены!$L$18,IF(AQ6=Цены!$H$19,Цены!$L$19,IF(AQ6=Цены!$H$20,Цены!$L$20,IF(AQ6=Цены!$H$21,Цены!$L$21,IF(AQ6=Цены!$H$22,Цены!$L$22,IF(AQ6=Цены!$H$23,Цены!$L$23,IF(AQ6=Цены!$H$24,Цены!$L$24,IF(AQ6=Цены!$H$25,Цены!$L$25,IF(AQ6=Цены!$H$26,Цены!$L$26,IF(AQ6=Цены!$H$27,Цены!$L$27,IF(AQ6=Цены!$H$28,Цены!$L$28,IF(AQ6=Цены!$H$29,Цены!$L$29,IF(AQ6=Цены!$H$30,Цены!$L$30,IF(AQ6=Цены!$H$31,Цены!$L$31,IF(AQ6=Цены!$H$32,Цены!$L$32,IF(AQ6=Цены!$H$33,Цены!$L$33,IF(AQ6=Цены!$H$34,Цены!$L$34,IF(AQ6=Цены!$H$35,Цены!$L$35,IF(AQ6=Цены!$H$36,Цены!$L$36,IF(AQ6=Цены!$H$37,Цены!$L$37,IF(AQ6=Цены!$H$38,Цены!$L$38,IF(AQ6=Цены!$H$39,Цены!$L$39,IF(AQ6=Цены!$H$40,Цены!$L$40,IF(AQ6=Цены!$H$41,Цены!$L$41,IF(AQ6=Цены!$H$42,Цены!$L$42,IF(AQ6=Цены!$H$43,Цены!$L$43,IF(AQ6=Цены!$H$44,Цены!$L$44,IF(AQ6=Цены!$H$45,Цены!$L$45,IF(AQ6=Цены!$H$46,Цены!$L$46,IF(AQ6=Цены!$H$47,Цены!$L$47,IF(AQ6=Цены!$H$48,Цены!$L$48,IF(AQ6=Цены!$H$49,Цены!$L$49,IF(AQ6=Цены!$H$50,Цены!$L$50,IF(AQ6=Цены!$H$51,Цены!$L$51,IF(AQ6=Цены!$H$52,Цены!$L$52,IF(AQ6=Цены!$H$53,Цены!$L$53,IF(AQ6=Цены!$H$54,Цены!$L$54,IF(AQ6=Цены!$H$55,Цены!$L$55))))))))))))))))))))))))))))))))))))))))))))))))))))))</f>
        <v>0</v>
      </c>
      <c r="AT6" s="276"/>
      <c r="AU6" s="34" t="b">
        <f>IF(AQ6=Цены!$H$3,Цены!$K$3,IF(AQ6=Цены!$H$4,Цены!$K$4,IF(AQ6=Цены!$H$5,Цены!$K$5,IF(AQ6=Цены!$H$6,Цены!$K$6,IF(AQ6=Цены!$H$7,Цены!$K$7,IF(AQ6=Цены!$H$8,Цены!$K$8,IF(AQ6=Цены!$H$9,Цены!$K$9,IF(AQ6=Цены!$H$10,Цены!$K$10,IF(AQ6=Цены!$H$11,Цены!$K$11,IF(AQ6=Цены!$H$12,Цены!$K$12,IF(AQ6=Цены!$H$13,Цены!$K$13,IF(AQ6=Цены!$H$14,Цены!$K$14,IF(AQ6=Цены!$H$14,Цены!$K$14,IF(AQ6=Цены!$H$15,Цены!$K$15,IF(AQ6=Цены!$H$16,Цены!$K$16,IF(AQ6=Цены!$H$17,Цены!$K$17,IF(AQ6=Цены!$H$18,Цены!$K$18,IF(AQ6=Цены!$H$19,Цены!$K$19,IF(AQ6=Цены!$H$20,Цены!$K$20,IF(AQ6=Цены!$H$21,Цены!$K$21,IF(AQ6=Цены!$H$22,Цены!$K$22,IF(AQ6=Цены!$H$23,Цены!$K$23,IF(AQ6=Цены!$H$24,Цены!$K$24,IF(AQ6=Цены!$H$25,Цены!$K$25,IF(AQ6=Цены!$H$26,Цены!$K$26,IF(AQ6=Цены!$H$27,Цены!$K$27,IF(AQ6=Цены!$H$28,Цены!$K$28,IF(AQ6=Цены!$H$29,Цены!$K$29,IF(AQ6=Цены!$H$30,Цены!$K$30,IF(AQ6=Цены!$H$31,Цены!$K$31,IF(AQ6=Цены!$H$32,Цены!$K$32,IF(AQ6=Цены!$H$33,Цены!$K$33,IF(AQ6=Цены!$H$34,Цены!$K$34,IF(AQ6=Цены!$H$35,Цены!$K$35,IF(AQ6=Цены!$H$36,Цены!$K$36,IF(AQ6=Цены!$H$37,Цены!$K$37,IF(AQ6=Цены!$H$38,Цены!$K$38,IF(AQ6=Цены!$H$39,Цены!$K$39,IF(AQ6=Цены!$H$40,Цены!$K$40,IF(AQ6=Цены!$H$41,Цены!$K$41,IF(AQ6=Цены!$H$42,Цены!$K$42,IF(AQ6=Цены!$H$43,Цены!$K$43,IF(AQ6=Цены!$H$44,Цены!$K$44,IF(AQ6=Цены!$H$45,Цены!$K$45,IF(AQ6=Цены!$H$46,Цены!$K$46,IF(AQ6=Цены!$H$47,Цены!$K$47,IF(AQ6=Цены!$H$48,Цены!$K$48,IF(AQ6=Цены!$H$49,Цены!$K$49,IF(AQ6=Цены!$H$50,Цены!$K$50,IF(AQ6=Цены!$H$51,Цены!$K$51,IF(AQ6=Цены!$H$52,Цены!$K$52,IF(AQ6=Цены!$H$53,Цены!$K$53,IF(AQ6=Цены!$H$54,Цены!$K$54,IF(AQ6=Цены!$H$55,Цены!$K$55))))))))))))))))))))))))))))))))))))))))))))))))))))))</f>
        <v>0</v>
      </c>
      <c r="AV6" s="265"/>
      <c r="AW6" s="265"/>
      <c r="AX6" s="269"/>
      <c r="AY6" s="286"/>
      <c r="AZ6" s="286"/>
      <c r="BA6" s="265"/>
      <c r="BB6" s="269"/>
      <c r="BC6" s="287"/>
      <c r="BD6" s="243"/>
      <c r="BE6" s="35"/>
      <c r="BF6" s="43"/>
      <c r="BG6" s="33" t="b">
        <f>IF(BE6=Цены!$H$3,Цены!$L$3,IF(BE6=Цены!$H$4,Цены!$L$4,IF(BE6=Цены!$H$5,Цены!$L$5,IF(BE6=Цены!$H$6,Цены!$L$6,IF(BE6=Цены!$H$7,Цены!$L$7,IF(BE6=Цены!$H$8,Цены!$L$8,IF(BE6=Цены!$H$9,Цены!$L$9,IF(BE6=Цены!$H$10,Цены!$L$10,IF(BE6=Цены!$H$11,Цены!$L$11,IF(BE6=Цены!$H$12,Цены!$L$12,IF(BE6=Цены!$H$13,Цены!$L$13,IF(BE6=Цены!$H$14,Цены!$L$14,IF(BE6=Цены!$H$14,Цены!$L$14,IF(BE6=Цены!$H$15,Цены!$L$15,IF(BE6=Цены!$H$16,Цены!$L$16,IF(BE6=Цены!$H$17,Цены!$L$17,IF(BE6=Цены!$H$18,Цены!$L$18,IF(BE6=Цены!$H$19,Цены!$L$19,IF(BE6=Цены!$H$20,Цены!$L$20,IF(BE6=Цены!$H$21,Цены!$L$21,IF(BE6=Цены!$H$22,Цены!$L$22,IF(BE6=Цены!$H$23,Цены!$L$23,IF(BE6=Цены!$H$24,Цены!$L$24,IF(BE6=Цены!$H$25,Цены!$L$25,IF(BE6=Цены!$H$26,Цены!$L$26,IF(BE6=Цены!$H$27,Цены!$L$27,IF(BE6=Цены!$H$28,Цены!$L$28,IF(BE6=Цены!$H$29,Цены!$L$29,IF(BE6=Цены!$H$30,Цены!$L$30,IF(BE6=Цены!$H$31,Цены!$L$31,IF(BE6=Цены!$H$32,Цены!$L$32,IF(BE6=Цены!$H$33,Цены!$L$33,IF(BE6=Цены!$H$34,Цены!$L$34,IF(BE6=Цены!$H$35,Цены!$L$35,IF(BE6=Цены!$H$36,Цены!$L$36,IF(BE6=Цены!$H$37,Цены!$L$37,IF(BE6=Цены!$H$38,Цены!$L$38,IF(BE6=Цены!$H$39,Цены!$L$39,IF(BE6=Цены!$H$40,Цены!$L$40,IF(BE6=Цены!$H$41,Цены!$L$41,IF(BE6=Цены!$H$42,Цены!$L$42,IF(BE6=Цены!$H$43,Цены!$L$43,IF(BE6=Цены!$H$44,Цены!$L$44,IF(BE6=Цены!$H$45,Цены!$L$45,IF(BE6=Цены!$H$46,Цены!$L$46,IF(BE6=Цены!$H$47,Цены!$L$47,IF(BE6=Цены!$H$48,Цены!$L$48,IF(BE6=Цены!$H$49,Цены!$L$49,IF(BE6=Цены!$H$50,Цены!$L$50,IF(BE6=Цены!$H$51,Цены!$L$51,IF(BE6=Цены!$H$52,Цены!$L$52,IF(BE6=Цены!$H$53,Цены!$L$53,IF(BE6=Цены!$H$54,Цены!$L$54,IF(BE6=Цены!$H$55,Цены!$L$55))))))))))))))))))))))))))))))))))))))))))))))))))))))</f>
        <v>0</v>
      </c>
      <c r="BH6" s="276"/>
      <c r="BI6" s="34" t="b">
        <f>IF(BE6=Цены!$H$3,Цены!$K$3,IF(BE6=Цены!$H$4,Цены!$K$4,IF(BE6=Цены!$H$5,Цены!$K$5,IF(BE6=Цены!$H$6,Цены!$K$6,IF(BE6=Цены!$H$7,Цены!$K$7,IF(BE6=Цены!$H$8,Цены!$K$8,IF(BE6=Цены!$H$9,Цены!$K$9,IF(BE6=Цены!$H$10,Цены!$K$10,IF(BE6=Цены!$H$11,Цены!$K$11,IF(BE6=Цены!$H$12,Цены!$K$12,IF(BE6=Цены!$H$13,Цены!$K$13,IF(BE6=Цены!$H$14,Цены!$K$14,IF(BE6=Цены!$H$14,Цены!$K$14,IF(BE6=Цены!$H$15,Цены!$K$15,IF(BE6=Цены!$H$16,Цены!$K$16,IF(BE6=Цены!$H$17,Цены!$K$17,IF(BE6=Цены!$H$18,Цены!$K$18,IF(BE6=Цены!$H$19,Цены!$K$19,IF(BE6=Цены!$H$20,Цены!$K$20,IF(BE6=Цены!$H$21,Цены!$K$21,IF(BE6=Цены!$H$22,Цены!$K$22,IF(BE6=Цены!$H$23,Цены!$K$23,IF(BE6=Цены!$H$24,Цены!$K$24,IF(BE6=Цены!$H$25,Цены!$K$25,IF(BE6=Цены!$H$26,Цены!$K$26,IF(BE6=Цены!$H$27,Цены!$K$27,IF(BE6=Цены!$H$28,Цены!$K$28,IF(BE6=Цены!$H$29,Цены!$K$29,IF(BE6=Цены!$H$30,Цены!$K$30,IF(BE6=Цены!$H$31,Цены!$K$31,IF(BE6=Цены!$H$32,Цены!$K$32,IF(BE6=Цены!$H$33,Цены!$K$33,IF(BE6=Цены!$H$34,Цены!$K$34,IF(BE6=Цены!$H$35,Цены!$K$35,IF(BE6=Цены!$H$36,Цены!$K$36,IF(BE6=Цены!$H$37,Цены!$K$37,IF(BE6=Цены!$H$38,Цены!$K$38,IF(BE6=Цены!$H$39,Цены!$K$39,IF(BE6=Цены!$H$40,Цены!$K$40,IF(BE6=Цены!$H$41,Цены!$K$41,IF(BE6=Цены!$H$42,Цены!$K$42,IF(BE6=Цены!$H$43,Цены!$K$43,IF(BE6=Цены!$H$44,Цены!$K$44,IF(BE6=Цены!$H$45,Цены!$K$45,IF(BE6=Цены!$H$46,Цены!$K$46,IF(BE6=Цены!$H$47,Цены!$K$47,IF(BE6=Цены!$H$48,Цены!$K$48,IF(BE6=Цены!$H$49,Цены!$K$49,IF(BE6=Цены!$H$50,Цены!$K$50,IF(BE6=Цены!$H$51,Цены!$K$51,IF(BE6=Цены!$H$52,Цены!$K$52,IF(BE6=Цены!$H$53,Цены!$K$53,IF(BE6=Цены!$H$54,Цены!$K$54,IF(BE6=Цены!$H$55,Цены!$K$55))))))))))))))))))))))))))))))))))))))))))))))))))))))</f>
        <v>0</v>
      </c>
      <c r="BJ6" s="265"/>
      <c r="BK6" s="265"/>
      <c r="BL6" s="269"/>
      <c r="BM6" s="286"/>
      <c r="BN6" s="286"/>
      <c r="BO6" s="265"/>
      <c r="BP6" s="269"/>
      <c r="BQ6" s="287"/>
      <c r="BR6" s="35"/>
      <c r="BS6" s="43"/>
      <c r="BT6" s="33" t="b">
        <f>IF(BR6=Цены!$H$3,Цены!$L$3,IF(BR6=Цены!$H$4,Цены!$L$4,IF(BR6=Цены!$H$5,Цены!$L$5,IF(BR6=Цены!$H$6,Цены!$L$6,IF(BR6=Цены!$H$7,Цены!$L$7,IF(BR6=Цены!$H$8,Цены!$L$8,IF(BR6=Цены!$H$9,Цены!$L$9,IF(BR6=Цены!$H$10,Цены!$L$10,IF(BR6=Цены!$H$11,Цены!$L$11,IF(BR6=Цены!$H$12,Цены!$L$12,IF(BR6=Цены!$H$13,Цены!$L$13,IF(BR6=Цены!$H$14,Цены!$L$14,IF(BR6=Цены!$H$14,Цены!$L$14,IF(BR6=Цены!$H$15,Цены!$L$15,IF(BR6=Цены!$H$16,Цены!$L$16,IF(BR6=Цены!$H$17,Цены!$L$17,IF(BR6=Цены!$H$18,Цены!$L$18,IF(BR6=Цены!$H$19,Цены!$L$19,IF(BR6=Цены!$H$20,Цены!$L$20,IF(BR6=Цены!$H$21,Цены!$L$21,IF(BR6=Цены!$H$22,Цены!$L$22,IF(BR6=Цены!$H$23,Цены!$L$23,IF(BR6=Цены!$H$24,Цены!$L$24,IF(BR6=Цены!$H$25,Цены!$L$25,IF(BR6=Цены!$H$26,Цены!$L$26,IF(BR6=Цены!$H$27,Цены!$L$27,IF(BR6=Цены!$H$28,Цены!$L$28,IF(BR6=Цены!$H$29,Цены!$L$29,IF(BR6=Цены!$H$30,Цены!$L$30,IF(BR6=Цены!$H$31,Цены!$L$31,IF(BR6=Цены!$H$32,Цены!$L$32,IF(BR6=Цены!$H$33,Цены!$L$33,IF(BR6=Цены!$H$34,Цены!$L$34,IF(BR6=Цены!$H$35,Цены!$L$35,IF(BR6=Цены!$H$36,Цены!$L$36,IF(BR6=Цены!$H$37,Цены!$L$37,IF(BR6=Цены!$H$38,Цены!$L$38,IF(BR6=Цены!$H$39,Цены!$L$39,IF(BR6=Цены!$H$40,Цены!$L$40,IF(BR6=Цены!$H$41,Цены!$L$41,IF(BR6=Цены!$H$42,Цены!$L$42,IF(BR6=Цены!$H$43,Цены!$L$43,IF(BR6=Цены!$H$44,Цены!$L$44,IF(BR6=Цены!$H$45,Цены!$L$45,IF(BR6=Цены!$H$46,Цены!$L$46,IF(BR6=Цены!$H$47,Цены!$L$47,IF(BR6=Цены!$H$48,Цены!$L$48,IF(BR6=Цены!$H$49,Цены!$L$49,IF(BR6=Цены!$H$50,Цены!$L$50,IF(BR6=Цены!$H$51,Цены!$L$51,IF(BR6=Цены!$H$52,Цены!$L$52,IF(BR6=Цены!$H$53,Цены!$L$53,IF(BR6=Цены!$H$54,Цены!$L$54,IF(BR6=Цены!$H$55,Цены!$L$55))))))))))))))))))))))))))))))))))))))))))))))))))))))</f>
        <v>0</v>
      </c>
      <c r="BU6" s="276"/>
      <c r="BV6" s="34" t="b">
        <f>IF(BR6=Цены!$H$3,Цены!$K$3,IF(BR6=Цены!$H$4,Цены!$K$4,IF(BR6=Цены!$H$5,Цены!$K$5,IF(BR6=Цены!$H$6,Цены!$K$6,IF(BR6=Цены!$H$7,Цены!$K$7,IF(BR6=Цены!$H$8,Цены!$K$8,IF(BR6=Цены!$H$9,Цены!$K$9,IF(BR6=Цены!$H$10,Цены!$K$10,IF(BR6=Цены!$H$11,Цены!$K$11,IF(BR6=Цены!$H$12,Цены!$K$12,IF(BR6=Цены!$H$13,Цены!$K$13,IF(BR6=Цены!$H$14,Цены!$K$14,IF(BR6=Цены!$H$14,Цены!$K$14,IF(BR6=Цены!$H$15,Цены!$K$15,IF(BR6=Цены!$H$16,Цены!$K$16,IF(BR6=Цены!$H$17,Цены!$K$17,IF(BR6=Цены!$H$18,Цены!$K$18,IF(BR6=Цены!$H$19,Цены!$K$19,IF(BR6=Цены!$H$20,Цены!$K$20,IF(BR6=Цены!$H$21,Цены!$K$21,IF(BR6=Цены!$H$22,Цены!$K$22,IF(BR6=Цены!$H$23,Цены!$K$23,IF(BR6=Цены!$H$24,Цены!$K$24,IF(BR6=Цены!$H$25,Цены!$K$25,IF(BR6=Цены!$H$26,Цены!$K$26,IF(BR6=Цены!$H$27,Цены!$K$27,IF(BR6=Цены!$H$28,Цены!$K$28,IF(BR6=Цены!$H$29,Цены!$K$29,IF(BR6=Цены!$H$30,Цены!$K$30,IF(BR6=Цены!$H$31,Цены!$K$31,IF(BR6=Цены!$H$32,Цены!$K$32,IF(BR6=Цены!$H$33,Цены!$K$33,IF(BR6=Цены!$H$34,Цены!$K$34,IF(BR6=Цены!$H$35,Цены!$K$35,IF(BR6=Цены!$H$36,Цены!$K$36,IF(BR6=Цены!$H$37,Цены!$K$37,IF(BR6=Цены!$H$38,Цены!$K$38,IF(BR6=Цены!$H$39,Цены!$K$39,IF(BR6=Цены!$H$40,Цены!$K$40,IF(BR6=Цены!$H$41,Цены!$K$41,IF(BR6=Цены!$H$42,Цены!$K$42,IF(BR6=Цены!$H$43,Цены!$K$43,IF(BR6=Цены!$H$44,Цены!$K$44,IF(BR6=Цены!$H$45,Цены!$K$45,IF(BR6=Цены!$H$46,Цены!$K$46,IF(BR6=Цены!$H$47,Цены!$K$47,IF(BR6=Цены!$H$48,Цены!$K$48,IF(BR6=Цены!$H$49,Цены!$K$49,IF(BR6=Цены!$H$50,Цены!$K$50,IF(BR6=Цены!$H$51,Цены!$K$51,IF(BR6=Цены!$H$52,Цены!$K$52,IF(BR6=Цены!$H$53,Цены!$K$53,IF(BR6=Цены!$H$54,Цены!$K$54,IF(BR6=Цены!$H$55,Цены!$K$55))))))))))))))))))))))))))))))))))))))))))))))))))))))</f>
        <v>0</v>
      </c>
      <c r="BW6" s="265"/>
      <c r="BX6" s="265"/>
      <c r="BY6" s="269"/>
      <c r="BZ6" s="286"/>
      <c r="CA6" s="286"/>
      <c r="CB6" s="265"/>
      <c r="CC6" s="269"/>
      <c r="CD6" s="287"/>
      <c r="CE6" s="117"/>
      <c r="CF6" s="43"/>
      <c r="CG6" s="33" t="b">
        <f>IF(CE6=Цены!$H$3,Цены!$L$3,IF(CE6=Цены!$H$4,Цены!$L$4,IF(CE6=Цены!$H$5,Цены!$L$5,IF(CE6=Цены!$H$6,Цены!$L$6,IF(CE6=Цены!$H$7,Цены!$L$7,IF(CE6=Цены!$H$8,Цены!$L$8,IF(CE6=Цены!$H$9,Цены!$L$9,IF(CE6=Цены!$H$10,Цены!$L$10,IF(CE6=Цены!$H$11,Цены!$L$11,IF(CE6=Цены!$H$12,Цены!$L$12,IF(CE6=Цены!$H$13,Цены!$L$13,IF(CE6=Цены!$H$14,Цены!$L$14,IF(CE6=Цены!$H$14,Цены!$L$14,IF(CE6=Цены!$H$15,Цены!$L$15,IF(CE6=Цены!$H$16,Цены!$L$16,IF(CE6=Цены!$H$17,Цены!$L$17,IF(CE6=Цены!$H$18,Цены!$L$18,IF(CE6=Цены!$H$19,Цены!$L$19,IF(CE6=Цены!$H$20,Цены!$L$20,IF(CE6=Цены!$H$21,Цены!$L$21,IF(CE6=Цены!$H$22,Цены!$L$22,IF(CE6=Цены!$H$23,Цены!$L$23,IF(CE6=Цены!$H$24,Цены!$L$24,IF(CE6=Цены!$H$25,Цены!$L$25,IF(CE6=Цены!$H$26,Цены!$L$26,IF(CE6=Цены!$H$27,Цены!$L$27,IF(CE6=Цены!$H$28,Цены!$L$28,IF(CE6=Цены!$H$29,Цены!$L$29,IF(CE6=Цены!$H$30,Цены!$L$30,IF(CE6=Цены!$H$31,Цены!$L$31,IF(CE6=Цены!$H$32,Цены!$L$32,IF(CE6=Цены!$H$33,Цены!$L$33,IF(CE6=Цены!$H$34,Цены!$L$34,IF(CE6=Цены!$H$35,Цены!$L$35,IF(CE6=Цены!$H$36,Цены!$L$36,IF(CE6=Цены!$H$37,Цены!$L$37,IF(CE6=Цены!$H$38,Цены!$L$38,IF(CE6=Цены!$H$39,Цены!$L$39,IF(CE6=Цены!$H$40,Цены!$L$40,IF(CE6=Цены!$H$41,Цены!$L$41,IF(CE6=Цены!$H$42,Цены!$L$42,IF(CE6=Цены!$H$43,Цены!$L$43,IF(CE6=Цены!$H$44,Цены!$L$44,IF(CE6=Цены!$H$45,Цены!$L$45,IF(CE6=Цены!$H$46,Цены!$L$46,IF(CE6=Цены!$H$47,Цены!$L$47,IF(CE6=Цены!$H$48,Цены!$L$48,IF(CE6=Цены!$H$49,Цены!$L$49,IF(CE6=Цены!$H$50,Цены!$L$50,IF(CE6=Цены!$H$51,Цены!$L$51,IF(CE6=Цены!$H$52,Цены!$L$52,IF(CE6=Цены!$H$53,Цены!$L$53,IF(CE6=Цены!$H$54,Цены!$L$54,IF(CE6=Цены!$H$55,Цены!$L$55))))))))))))))))))))))))))))))))))))))))))))))))))))))</f>
        <v>0</v>
      </c>
      <c r="CH6" s="276"/>
      <c r="CI6" s="34" t="b">
        <f>IF(CE6=Цены!$H$3,Цены!$K$3,IF(CE6=Цены!$H$4,Цены!$K$4,IF(CE6=Цены!$H$5,Цены!$K$5,IF(CE6=Цены!$H$6,Цены!$K$6,IF(CE6=Цены!$H$7,Цены!$K$7,IF(CE6=Цены!$H$8,Цены!$K$8,IF(CE6=Цены!$H$9,Цены!$K$9,IF(CE6=Цены!$H$10,Цены!$K$10,IF(CE6=Цены!$H$11,Цены!$K$11,IF(CE6=Цены!$H$12,Цены!$K$12,IF(CE6=Цены!$H$13,Цены!$K$13,IF(CE6=Цены!$H$14,Цены!$K$14,IF(CE6=Цены!$H$14,Цены!$K$14,IF(CE6=Цены!$H$15,Цены!$K$15,IF(CE6=Цены!$H$16,Цены!$K$16,IF(CE6=Цены!$H$17,Цены!$K$17,IF(CE6=Цены!$H$18,Цены!$K$18,IF(CE6=Цены!$H$19,Цены!$K$19,IF(CE6=Цены!$H$20,Цены!$K$20,IF(CE6=Цены!$H$21,Цены!$K$21,IF(CE6=Цены!$H$22,Цены!$K$22,IF(CE6=Цены!$H$23,Цены!$K$23,IF(CE6=Цены!$H$24,Цены!$K$24,IF(CE6=Цены!$H$25,Цены!$K$25,IF(CE6=Цены!$H$26,Цены!$K$26,IF(CE6=Цены!$H$27,Цены!$K$27,IF(CE6=Цены!$H$28,Цены!$K$28,IF(CE6=Цены!$H$29,Цены!$K$29,IF(CE6=Цены!$H$30,Цены!$K$30,IF(CE6=Цены!$H$31,Цены!$K$31,IF(CE6=Цены!$H$32,Цены!$K$32,IF(CE6=Цены!$H$33,Цены!$K$33,IF(CE6=Цены!$H$34,Цены!$K$34,IF(CE6=Цены!$H$35,Цены!$K$35,IF(CE6=Цены!$H$36,Цены!$K$36,IF(CE6=Цены!$H$37,Цены!$K$37,IF(CE6=Цены!$H$38,Цены!$K$38,IF(CE6=Цены!$H$39,Цены!$K$39,IF(CE6=Цены!$H$40,Цены!$K$40,IF(CE6=Цены!$H$41,Цены!$K$41,IF(CE6=Цены!$H$42,Цены!$K$42,IF(CE6=Цены!$H$43,Цены!$K$43,IF(CE6=Цены!$H$44,Цены!$K$44,IF(CE6=Цены!$H$45,Цены!$K$45,IF(CE6=Цены!$H$46,Цены!$K$46,IF(CE6=Цены!$H$47,Цены!$K$47,IF(CE6=Цены!$H$48,Цены!$K$48,IF(CE6=Цены!$H$49,Цены!$K$49,IF(CE6=Цены!$H$50,Цены!$K$50,IF(CE6=Цены!$H$51,Цены!$K$51,IF(CE6=Цены!$H$52,Цены!$K$52,IF(CE6=Цены!$H$53,Цены!$K$53,IF(CE6=Цены!$H$54,Цены!$K$54,IF(CE6=Цены!$H$55,Цены!$K$55))))))))))))))))))))))))))))))))))))))))))))))))))))))</f>
        <v>0</v>
      </c>
      <c r="CJ6" s="265"/>
      <c r="CK6" s="265"/>
      <c r="CL6" s="269"/>
      <c r="CM6" s="286"/>
      <c r="CN6" s="286"/>
      <c r="CO6" s="265"/>
      <c r="CP6" s="269"/>
      <c r="CQ6" s="287"/>
    </row>
    <row r="7" spans="1:95" s="40" customFormat="1" ht="15.75" hidden="1" x14ac:dyDescent="0.25">
      <c r="A7" s="341"/>
      <c r="B7" s="265"/>
      <c r="C7" s="336" t="s">
        <v>120</v>
      </c>
      <c r="D7" s="44" t="s">
        <v>67</v>
      </c>
      <c r="E7" s="45">
        <v>6</v>
      </c>
      <c r="F7" s="46">
        <f>IF(D7=Цены!$H$3,Цены!$L$3,IF(D7=Цены!$H$4,Цены!$L$4,IF(D7=Цены!$H$5,Цены!$L$5,IF(D7=Цены!$H$6,Цены!$L$6,IF(D7=Цены!$H$7,Цены!$L$7,IF(D7=Цены!$H$8,Цены!$L$8,IF(D7=Цены!$H$9,Цены!$L$9,IF(D7=Цены!$H$10,Цены!$L$10,IF(D7=Цены!$H$11,Цены!$L$11,IF(D7=Цены!$H$12,Цены!$L$12,IF(D7=Цены!$H$13,Цены!$L$13,IF(D7=Цены!$H$14,Цены!$L$14,IF(D7=Цены!$H$14,Цены!$L$14,IF(D7=Цены!$H$15,Цены!$L$15,IF(D7=Цены!$H$16,Цены!$L$16,IF(D7=Цены!$H$17,Цены!$L$17,IF(D7=Цены!$H$18,Цены!$L$18,IF(D7=Цены!$H$19,Цены!$L$19,IF(D7=Цены!$H$20,Цены!$L$20,IF(D7=Цены!$H$21,Цены!$L$21,IF(D7=Цены!$H$22,Цены!$L$22,IF(D7=Цены!$H$23,Цены!$L$23,IF(D7=Цены!$H$24,Цены!$L$24,IF(D7=Цены!$H$25,Цены!$L$25,IF(D7=Цены!$H$26,Цены!$L$26,IF(D7=Цены!$H$27,Цены!$L$27,IF(D7=Цены!$H$28,Цены!$L$28,IF(D7=Цены!$H$29,Цены!$L$29,IF(D7=Цены!$H$30,Цены!$L$30,IF(D7=Цены!$H$31,Цены!$L$31,IF(D7=Цены!$H$32,Цены!$L$32,IF(D7=Цены!$H$33,Цены!$L$33,IF(D7=Цены!$H$34,Цены!$L$34,IF(D7=Цены!$H$35,Цены!$L$35,IF(D7=Цены!$H$36,Цены!$L$36,IF(D7=Цены!$H$37,Цены!$L$37,IF(D7=Цены!$H$38,Цены!$L$38,IF(D7=Цены!$H$39,Цены!$L$39,IF(D7=Цены!$H$40,Цены!$L$40,IF(D7=Цены!$H$41,Цены!$L$41,IF(D7=Цены!$H$42,Цены!$L$42,IF(D7=Цены!$H$43,Цены!$L$43,IF(D7=Цены!$H$44,Цены!$L$44,IF(D7=Цены!$H$45,Цены!$L$45,IF(D7=Цены!$H$46,Цены!$L$46,IF(D7=Цены!$H$47,Цены!$L$47,IF(D7=Цены!$H$48,Цены!$L$48,IF(D7=Цены!$H$49,Цены!$L$49,IF(D7=Цены!$H$50,Цены!$L$50,IF(D7=Цены!$H$51,Цены!$L$51,IF(D7=Цены!$H$52,Цены!$L$52,IF(D7=Цены!$H$53,Цены!$L$53,IF(D7=Цены!$H$54,Цены!$L$54,IF(D7=Цены!$H$55,Цены!$L$55))))))))))))))))))))))))))))))))))))))))))))))))))))))</f>
        <v>0.9</v>
      </c>
      <c r="G7" s="339">
        <f>E7*F7+E8*F8+E9*F9+E10*F10</f>
        <v>12.986400000000001</v>
      </c>
      <c r="H7" s="47">
        <f>IF(D7=Цены!$H$3,Цены!$K$3,IF(D7=Цены!$H$4,Цены!$K$4,IF(D7=Цены!$H$5,Цены!$K$5,IF(D7=Цены!$H$6,Цены!$K$6,IF(D7=Цены!$H$7,Цены!$K$7,IF(D7=Цены!$H$8,Цены!$K$8,IF(D7=Цены!$H$9,Цены!$K$9,IF(D7=Цены!$H$10,Цены!$K$10,IF(D7=Цены!$H$11,Цены!$K$11,IF(D7=Цены!$H$12,Цены!$K$12,IF(D7=Цены!$H$13,Цены!$K$13,IF(D7=Цены!$H$14,Цены!$K$14,IF(D7=Цены!$H$14,Цены!$K$14,IF(D7=Цены!$H$15,Цены!$K$15,IF(D7=Цены!$H$16,Цены!$K$16,IF(D7=Цены!$H$17,Цены!$K$17,IF(D7=Цены!$H$18,Цены!$K$18,IF(D7=Цены!$H$19,Цены!$K$19,IF(D7=Цены!$H$20,Цены!$K$20,IF(D7=Цены!$H$21,Цены!$K$21,IF(D7=Цены!$H$22,Цены!$K$22,IF(D7=Цены!$H$23,Цены!$K$23,IF(D7=Цены!$H$24,Цены!$K$24,IF(D7=Цены!$H$25,Цены!$K$25,IF(D7=Цены!$H$26,Цены!$K$26,IF(D7=Цены!$H$27,Цены!$K$27,IF(D7=Цены!$H$28,Цены!$K$28,IF(D7=Цены!$H$29,Цены!$K$29,IF(D7=Цены!$H$30,Цены!$K$30,IF(D7=Цены!$H$31,Цены!$K$31,IF(D7=Цены!$H$32,Цены!$K$32,IF(D7=Цены!$H$33,Цены!$K$33,IF(D7=Цены!$H$34,Цены!$K$34,IF(D7=Цены!$H$35,Цены!$K$35,IF(D7=Цены!$H$36,Цены!$K$36,IF(D7=Цены!$H$37,Цены!$K$37,IF(D7=Цены!$H$38,Цены!$K$38,IF(D7=Цены!$H$39,Цены!$K$39,IF(D7=Цены!$H$40,Цены!$K$40,IF(D7=Цены!$H$41,Цены!$K$41,IF(D7=Цены!$H$42,Цены!$K$42,IF(D7=Цены!$H$43,Цены!$K$43,IF(D7=Цены!$H$44,Цены!$K$44,IF(D7=Цены!$H$45,Цены!$K$45,IF(D7=Цены!$H$46,Цены!$K$46,IF(D7=Цены!$H$47,Цены!$K$47,IF(D7=Цены!$H$48,Цены!$K$48,IF(D7=Цены!$H$49,Цены!$K$49,IF(D7=Цены!$H$50,Цены!$K$50,IF(D7=Цены!$H$51,Цены!$K$51,IF(D7=Цены!$H$52,Цены!$K$52,IF(D7=Цены!$H$53,Цены!$K$53,IF(D7=Цены!$H$54,Цены!$K$54,IF(D7=Цены!$H$55,Цены!$K$55))))))))))))))))))))))))))))))))))))))))))))))))))))))</f>
        <v>338</v>
      </c>
      <c r="I7" s="265"/>
      <c r="J7" s="265"/>
      <c r="K7" s="332">
        <f>E7*H7+E8*H8+E9*H9+E10*H10</f>
        <v>7314</v>
      </c>
      <c r="L7" s="334">
        <f>$I$3*$J$3</f>
        <v>2800</v>
      </c>
      <c r="M7" s="332">
        <f>K7+L7</f>
        <v>10114</v>
      </c>
      <c r="N7" s="265"/>
      <c r="O7" s="332">
        <f>N3/M7*100</f>
        <v>30.452837650781099</v>
      </c>
      <c r="P7" s="331">
        <f>MROUND(M7+N3,500)</f>
        <v>13000</v>
      </c>
      <c r="Q7" s="124" t="s">
        <v>143</v>
      </c>
      <c r="R7" s="37">
        <v>4</v>
      </c>
      <c r="S7" s="38">
        <f>IF(Q7=Цены!$H$3,Цены!$L$3,IF(Q7=Цены!$H$4,Цены!$L$4,IF(Q7=Цены!$H$5,Цены!$L$5,IF(Q7=Цены!$H$6,Цены!$L$6,IF(Q7=Цены!$H$7,Цены!$L$7,IF(Q7=Цены!$H$8,Цены!$L$8,IF(Q7=Цены!$H$9,Цены!$L$9,IF(Q7=Цены!$H$10,Цены!$L$10,IF(Q7=Цены!$H$11,Цены!$L$11,IF(Q7=Цены!$H$12,Цены!$L$12,IF(Q7=Цены!$H$13,Цены!$L$13,IF(Q7=Цены!$H$14,Цены!$L$14,IF(Q7=Цены!$H$14,Цены!$L$14,IF(Q7=Цены!$H$15,Цены!$L$15,IF(Q7=Цены!$H$16,Цены!$L$16,IF(Q7=Цены!$H$17,Цены!$L$17,IF(Q7=Цены!$H$18,Цены!$L$18,IF(Q7=Цены!$H$19,Цены!$L$19,IF(Q7=Цены!$H$20,Цены!$L$20,IF(Q7=Цены!$H$21,Цены!$L$21,IF(Q7=Цены!$H$22,Цены!$L$22,IF(Q7=Цены!$H$23,Цены!$L$23,IF(Q7=Цены!$H$24,Цены!$L$24,IF(Q7=Цены!$H$25,Цены!$L$25,IF(Q7=Цены!$H$26,Цены!$L$26,IF(Q7=Цены!$H$27,Цены!$L$27,IF(Q7=Цены!$H$28,Цены!$L$28,IF(Q7=Цены!$H$29,Цены!$L$29,IF(Q7=Цены!$H$30,Цены!$L$30,IF(Q7=Цены!$H$31,Цены!$L$31,IF(Q7=Цены!$H$32,Цены!$L$32,IF(Q7=Цены!$H$33,Цены!$L$33,IF(Q7=Цены!$H$34,Цены!$L$34,IF(Q7=Цены!$H$35,Цены!$L$35,IF(Q7=Цены!$H$36,Цены!$L$36,IF(Q7=Цены!$H$37,Цены!$L$37,IF(Q7=Цены!$H$38,Цены!$L$38,IF(Q7=Цены!$H$39,Цены!$L$39,IF(Q7=Цены!$H$40,Цены!$L$40,IF(Q7=Цены!$H$41,Цены!$L$41,IF(Q7=Цены!$H$42,Цены!$L$42,IF(Q7=Цены!$H$43,Цены!$L$43,IF(Q7=Цены!$H$44,Цены!$L$44,IF(Q7=Цены!$H$45,Цены!$L$45,IF(Q7=Цены!$H$46,Цены!$L$46,IF(Q7=Цены!$H$47,Цены!$L$47,IF(Q7=Цены!$H$48,Цены!$L$48,IF(Q7=Цены!$H$49,Цены!$L$49,IF(Q7=Цены!$H$50,Цены!$L$50,IF(Q7=Цены!$H$51,Цены!$L$51,IF(Q7=Цены!$H$52,Цены!$L$52,IF(Q7=Цены!$H$53,Цены!$L$53,IF(Q7=Цены!$H$54,Цены!$L$54,IF(Q7=Цены!$H$55,Цены!$L$55))))))))))))))))))))))))))))))))))))))))))))))))))))))</f>
        <v>2.4</v>
      </c>
      <c r="T7" s="322">
        <f>R7*S7+R8*S8+R9*S9+R10*S10</f>
        <v>11.899999999999999</v>
      </c>
      <c r="U7" s="161">
        <f>IF(Q7=Цены!$H$3,Цены!$K$3,IF(Q7=Цены!$H$4,Цены!$K$4,IF(Q7=Цены!$H$5,Цены!$K$5,IF(Q7=Цены!$H$6,Цены!$K$6,IF(Q7=Цены!$H$7,Цены!$K$7,IF(Q7=Цены!$H$8,Цены!$K$8,IF(Q7=Цены!$H$9,Цены!$K$9,IF(Q7=Цены!$H$10,Цены!$K$10,IF(Q7=Цены!$H$11,Цены!$K$11,IF(Q7=Цены!$H$12,Цены!$K$12,IF(Q7=Цены!$H$13,Цены!$K$13,IF(Q7=Цены!$H$14,Цены!$K$14,IF(Q7=Цены!$H$14,Цены!$K$14,IF(Q7=Цены!$H$15,Цены!$K$15,IF(Q7=Цены!$H$16,Цены!$K$16,IF(Q7=Цены!$H$17,Цены!$K$17,IF(Q7=Цены!$H$18,Цены!$K$18,IF(Q7=Цены!$H$19,Цены!$K$19,IF(Q7=Цены!$H$20,Цены!$K$20,IF(Q7=Цены!$H$21,Цены!$K$21,IF(Q7=Цены!$H$22,Цены!$K$22,IF(Q7=Цены!$H$23,Цены!$K$23,IF(Q7=Цены!$H$24,Цены!$K$24,IF(Q7=Цены!$H$25,Цены!$K$25,IF(Q7=Цены!$H$26,Цены!$K$26,IF(Q7=Цены!$H$27,Цены!$K$27,IF(Q7=Цены!$H$28,Цены!$K$28,IF(Q7=Цены!$H$29,Цены!$K$29,IF(Q7=Цены!$H$30,Цены!$K$30,IF(Q7=Цены!$H$31,Цены!$K$31,IF(Q7=Цены!$H$32,Цены!$K$32,IF(Q7=Цены!$H$33,Цены!$K$33,IF(Q7=Цены!$H$34,Цены!$K$34,IF(Q7=Цены!$H$35,Цены!$K$35,IF(Q7=Цены!$H$36,Цены!$K$36,IF(Q7=Цены!$H$37,Цены!$K$37,IF(Q7=Цены!$H$38,Цены!$K$38,IF(Q7=Цены!$H$39,Цены!$K$39,IF(Q7=Цены!$H$40,Цены!$K$40,IF(Q7=Цены!$H$41,Цены!$K$41,IF(Q7=Цены!$H$42,Цены!$K$42,IF(Q7=Цены!$H$43,Цены!$K$43,IF(Q7=Цены!$H$44,Цены!$K$44,IF(Q7=Цены!$H$45,Цены!$K$45,IF(Q7=Цены!$H$46,Цены!$K$46,IF(Q7=Цены!$H$47,Цены!$K$47,IF(Q7=Цены!$H$48,Цены!$K$48,IF(Q7=Цены!$H$49,Цены!$K$49,IF(Q7=Цены!$H$50,Цены!$K$50,IF(Q7=Цены!$H$51,Цены!$K$51,IF(Q7=Цены!$H$52,Цены!$K$52,IF(Q7=Цены!$H$53,Цены!$K$53,IF(Q7=Цены!$H$54,Цены!$K$54,IF(Q7=Цены!$H$55,Цены!$K$55))))))))))))))))))))))))))))))))))))))))))))))))))))))</f>
        <v>469</v>
      </c>
      <c r="V7" s="265"/>
      <c r="W7" s="265"/>
      <c r="X7" s="323">
        <f>R7*U7+R8*U8+R9*U9+R10*U10</f>
        <v>2676</v>
      </c>
      <c r="Y7" s="324">
        <f>V3*W3</f>
        <v>3200</v>
      </c>
      <c r="Z7" s="323">
        <f t="shared" ref="Z7" si="0">X7+Y7</f>
        <v>5876</v>
      </c>
      <c r="AA7" s="265"/>
      <c r="AB7" s="323">
        <f>AA3/Z7*100</f>
        <v>59.904697072838673</v>
      </c>
      <c r="AC7" s="325">
        <f>MROUND(Z7+AA3,500)</f>
        <v>9500</v>
      </c>
      <c r="AD7" s="66" t="s">
        <v>69</v>
      </c>
      <c r="AE7" s="67">
        <v>4</v>
      </c>
      <c r="AF7" s="68">
        <f>IF(AD7=Цены!$H$3,Цены!$L$3,IF(AD7=Цены!$H$4,Цены!$L$4,IF(AD7=Цены!$H$5,Цены!$L$5,IF(AD7=Цены!$H$6,Цены!$L$6,IF(AD7=Цены!$H$7,Цены!$L$7,IF(AD7=Цены!$H$8,Цены!$L$8,IF(AD7=Цены!$H$9,Цены!$L$9,IF(AD7=Цены!$H$10,Цены!$L$10,IF(AD7=Цены!$H$11,Цены!$L$11,IF(AD7=Цены!$H$12,Цены!$L$12,IF(AD7=Цены!$H$13,Цены!$L$13,IF(AD7=Цены!$H$14,Цены!$L$14,IF(AD7=Цены!$H$14,Цены!$L$14,IF(AD7=Цены!$H$15,Цены!$L$15,IF(AD7=Цены!$H$16,Цены!$L$16,IF(AD7=Цены!$H$17,Цены!$L$17,IF(AD7=Цены!$H$18,Цены!$L$18,IF(AD7=Цены!$H$19,Цены!$L$19,IF(AD7=Цены!$H$20,Цены!$L$20,IF(AD7=Цены!$H$21,Цены!$L$21,IF(AD7=Цены!$H$22,Цены!$L$22,IF(AD7=Цены!$H$23,Цены!$L$23,IF(AD7=Цены!$H$24,Цены!$L$24,IF(AD7=Цены!$H$25,Цены!$L$25,IF(AD7=Цены!$H$26,Цены!$L$26,IF(AD7=Цены!$H$27,Цены!$L$27,IF(AD7=Цены!$H$28,Цены!$L$28,IF(AD7=Цены!$H$29,Цены!$L$29,IF(AD7=Цены!$H$30,Цены!$L$30,IF(AD7=Цены!$H$31,Цены!$L$31,IF(AD7=Цены!$H$32,Цены!$L$32,IF(AD7=Цены!$H$33,Цены!$L$33,IF(AD7=Цены!$H$34,Цены!$L$34,IF(AD7=Цены!$H$35,Цены!$L$35,IF(AD7=Цены!$H$36,Цены!$L$36,IF(AD7=Цены!$H$37,Цены!$L$37,IF(AD7=Цены!$H$38,Цены!$L$38,IF(AD7=Цены!$H$39,Цены!$L$39,IF(AD7=Цены!$H$40,Цены!$L$40,IF(AD7=Цены!$H$41,Цены!$L$41,IF(AD7=Цены!$H$42,Цены!$L$42,IF(AD7=Цены!$H$43,Цены!$L$43,IF(AD7=Цены!$H$44,Цены!$L$44,IF(AD7=Цены!$H$45,Цены!$L$45,IF(AD7=Цены!$H$46,Цены!$L$46,IF(AD7=Цены!$H$47,Цены!$L$47,IF(AD7=Цены!$H$48,Цены!$L$48,IF(AD7=Цены!$H$49,Цены!$L$49,IF(AD7=Цены!$H$50,Цены!$L$50,IF(AD7=Цены!$H$51,Цены!$L$51,IF(AD7=Цены!$H$52,Цены!$L$52,IF(AD7=Цены!$H$53,Цены!$L$53,IF(AD7=Цены!$H$54,Цены!$L$54,IF(AD7=Цены!$H$55,Цены!$L$55))))))))))))))))))))))))))))))))))))))))))))))))))))))</f>
        <v>1.19</v>
      </c>
      <c r="AG7" s="311">
        <f>AE7*AF7+AE8*AF8+AE9*AF9+AE10*AF10</f>
        <v>29.56</v>
      </c>
      <c r="AH7" s="69">
        <f>IF(AD7=Цены!$H$3,Цены!$K$3,IF(AD7=Цены!$H$4,Цены!$K$4,IF(AD7=Цены!$H$5,Цены!$K$5,IF(AD7=Цены!$H$6,Цены!$K$6,IF(AD7=Цены!$H$7,Цены!$K$7,IF(AD7=Цены!$H$8,Цены!$K$8,IF(AD7=Цены!$H$9,Цены!$K$9,IF(AD7=Цены!$H$10,Цены!$K$10,IF(AD7=Цены!$H$11,Цены!$K$11,IF(AD7=Цены!$H$12,Цены!$K$12,IF(AD7=Цены!$H$13,Цены!$K$13,IF(AD7=Цены!$H$14,Цены!$K$14,IF(AD7=Цены!$H$14,Цены!$K$14,IF(AD7=Цены!$H$15,Цены!$K$15,IF(AD7=Цены!$H$16,Цены!$K$16,IF(AD7=Цены!$H$17,Цены!$K$17,IF(AD7=Цены!$H$18,Цены!$K$18,IF(AD7=Цены!$H$19,Цены!$K$19,IF(AD7=Цены!$H$20,Цены!$K$20,IF(AD7=Цены!$H$21,Цены!$K$21,IF(AD7=Цены!$H$22,Цены!$K$22,IF(AD7=Цены!$H$23,Цены!$K$23,IF(AD7=Цены!$H$24,Цены!$K$24,IF(AD7=Цены!$H$25,Цены!$K$25,IF(AD7=Цены!$H$26,Цены!$K$26,IF(AD7=Цены!$H$27,Цены!$K$27,IF(AD7=Цены!$H$28,Цены!$K$28,IF(AD7=Цены!$H$29,Цены!$K$29,IF(AD7=Цены!$H$30,Цены!$K$30,IF(AD7=Цены!$H$31,Цены!$K$31,IF(AD7=Цены!$H$32,Цены!$K$32,IF(AD7=Цены!$H$33,Цены!$K$33,IF(AD7=Цены!$H$34,Цены!$K$34,IF(AD7=Цены!$H$35,Цены!$K$35,IF(AD7=Цены!$H$36,Цены!$K$36,IF(AD7=Цены!$H$37,Цены!$K$37,IF(AD7=Цены!$H$38,Цены!$K$38,IF(AD7=Цены!$H$39,Цены!$K$39,IF(AD7=Цены!$H$40,Цены!$K$40,IF(AD7=Цены!$H$41,Цены!$K$41,IF(AD7=Цены!$H$42,Цены!$K$42,IF(AD7=Цены!$H$43,Цены!$K$43,IF(AD7=Цены!$H$44,Цены!$K$44,IF(AD7=Цены!$H$45,Цены!$K$45,IF(AD7=Цены!$H$46,Цены!$K$46,IF(AD7=Цены!$H$47,Цены!$K$47,IF(AD7=Цены!$H$48,Цены!$K$48,IF(AD7=Цены!$H$49,Цены!$K$49,IF(AD7=Цены!$H$50,Цены!$K$50,IF(AD7=Цены!$H$51,Цены!$K$51,IF(AD7=Цены!$H$52,Цены!$K$52,IF(AD7=Цены!$H$53,Цены!$K$53,IF(AD7=Цены!$H$54,Цены!$K$54,IF(AD7=Цены!$H$55,Цены!$K$55))))))))))))))))))))))))))))))))))))))))))))))))))))))</f>
        <v>398</v>
      </c>
      <c r="AI7" s="265"/>
      <c r="AJ7" s="265"/>
      <c r="AK7" s="312">
        <f t="shared" ref="AK7" si="1">AE7*AH7+AE8*AH8+AE9*AH9+AE10*AH10</f>
        <v>6759</v>
      </c>
      <c r="AL7" s="314">
        <f>AI3*AJ3</f>
        <v>4000</v>
      </c>
      <c r="AM7" s="312">
        <f t="shared" ref="AM7" si="2">AK7+AL7</f>
        <v>10759</v>
      </c>
      <c r="AN7" s="265"/>
      <c r="AO7" s="312">
        <f>AN3/AM7*100</f>
        <v>40.895994051491776</v>
      </c>
      <c r="AP7" s="315">
        <f>MROUND(AM7+AN3,500)</f>
        <v>15000</v>
      </c>
      <c r="AQ7" s="125" t="s">
        <v>146</v>
      </c>
      <c r="AR7" s="79">
        <v>3</v>
      </c>
      <c r="AS7" s="80">
        <f>IF(AQ7=Цены!$H$3,Цены!$L$3,IF(AQ7=Цены!$H$4,Цены!$L$4,IF(AQ7=Цены!$H$5,Цены!$L$5,IF(AQ7=Цены!$H$6,Цены!$L$6,IF(AQ7=Цены!$H$7,Цены!$L$7,IF(AQ7=Цены!$H$8,Цены!$L$8,IF(AQ7=Цены!$H$9,Цены!$L$9,IF(AQ7=Цены!$H$10,Цены!$L$10,IF(AQ7=Цены!$H$11,Цены!$L$11,IF(AQ7=Цены!$H$12,Цены!$L$12,IF(AQ7=Цены!$H$13,Цены!$L$13,IF(AQ7=Цены!$H$14,Цены!$L$14,IF(AQ7=Цены!$H$14,Цены!$L$14,IF(AQ7=Цены!$H$15,Цены!$L$15,IF(AQ7=Цены!$H$16,Цены!$L$16,IF(AQ7=Цены!$H$17,Цены!$L$17,IF(AQ7=Цены!$H$18,Цены!$L$18,IF(AQ7=Цены!$H$19,Цены!$L$19,IF(AQ7=Цены!$H$20,Цены!$L$20,IF(AQ7=Цены!$H$21,Цены!$L$21,IF(AQ7=Цены!$H$22,Цены!$L$22,IF(AQ7=Цены!$H$23,Цены!$L$23,IF(AQ7=Цены!$H$24,Цены!$L$24,IF(AQ7=Цены!$H$25,Цены!$L$25,IF(AQ7=Цены!$H$26,Цены!$L$26,IF(AQ7=Цены!$H$27,Цены!$L$27,IF(AQ7=Цены!$H$28,Цены!$L$28,IF(AQ7=Цены!$H$29,Цены!$L$29,IF(AQ7=Цены!$H$30,Цены!$L$30,IF(AQ7=Цены!$H$31,Цены!$L$31,IF(AQ7=Цены!$H$32,Цены!$L$32,IF(AQ7=Цены!$H$33,Цены!$L$33,IF(AQ7=Цены!$H$34,Цены!$L$34,IF(AQ7=Цены!$H$35,Цены!$L$35,IF(AQ7=Цены!$H$36,Цены!$L$36,IF(AQ7=Цены!$H$37,Цены!$L$37,IF(AQ7=Цены!$H$38,Цены!$L$38,IF(AQ7=Цены!$H$39,Цены!$L$39,IF(AQ7=Цены!$H$40,Цены!$L$40,IF(AQ7=Цены!$H$41,Цены!$L$41,IF(AQ7=Цены!$H$42,Цены!$L$42,IF(AQ7=Цены!$H$43,Цены!$L$43,IF(AQ7=Цены!$H$44,Цены!$L$44,IF(AQ7=Цены!$H$45,Цены!$L$45,IF(AQ7=Цены!$H$46,Цены!$L$46,IF(AQ7=Цены!$H$47,Цены!$L$47,IF(AQ7=Цены!$H$48,Цены!$L$48,IF(AQ7=Цены!$H$49,Цены!$L$49,IF(AQ7=Цены!$H$50,Цены!$L$50,IF(AQ7=Цены!$H$51,Цены!$L$51,IF(AQ7=Цены!$H$52,Цены!$L$52,IF(AQ7=Цены!$H$53,Цены!$L$53,IF(AQ7=Цены!$H$54,Цены!$L$54,IF(AQ7=Цены!$H$55,Цены!$L$55))))))))))))))))))))))))))))))))))))))))))))))))))))))</f>
        <v>1.19</v>
      </c>
      <c r="AT7" s="271">
        <f>AR7*AS7+AR8*AS8+AR9*AS9+AR10*AS10</f>
        <v>9.51</v>
      </c>
      <c r="AU7" s="81">
        <f>IF(AQ7=Цены!$H$3,Цены!$K$3,IF(AQ7=Цены!$H$4,Цены!$K$4,IF(AQ7=Цены!$H$5,Цены!$K$5,IF(AQ7=Цены!$H$6,Цены!$K$6,IF(AQ7=Цены!$H$7,Цены!$K$7,IF(AQ7=Цены!$H$8,Цены!$K$8,IF(AQ7=Цены!$H$9,Цены!$K$9,IF(AQ7=Цены!$H$10,Цены!$K$10,IF(AQ7=Цены!$H$11,Цены!$K$11,IF(AQ7=Цены!$H$12,Цены!$K$12,IF(AQ7=Цены!$H$13,Цены!$K$13,IF(AQ7=Цены!$H$14,Цены!$K$14,IF(AQ7=Цены!$H$14,Цены!$K$14,IF(AQ7=Цены!$H$15,Цены!$K$15,IF(AQ7=Цены!$H$16,Цены!$K$16,IF(AQ7=Цены!$H$17,Цены!$K$17,IF(AQ7=Цены!$H$18,Цены!$K$18,IF(AQ7=Цены!$H$19,Цены!$K$19,IF(AQ7=Цены!$H$20,Цены!$K$20,IF(AQ7=Цены!$H$21,Цены!$K$21,IF(AQ7=Цены!$H$22,Цены!$K$22,IF(AQ7=Цены!$H$23,Цены!$K$23,IF(AQ7=Цены!$H$24,Цены!$K$24,IF(AQ7=Цены!$H$25,Цены!$K$25,IF(AQ7=Цены!$H$26,Цены!$K$26,IF(AQ7=Цены!$H$27,Цены!$K$27,IF(AQ7=Цены!$H$28,Цены!$K$28,IF(AQ7=Цены!$H$29,Цены!$K$29,IF(AQ7=Цены!$H$30,Цены!$K$30,IF(AQ7=Цены!$H$31,Цены!$K$31,IF(AQ7=Цены!$H$32,Цены!$K$32,IF(AQ7=Цены!$H$33,Цены!$K$33,IF(AQ7=Цены!$H$34,Цены!$K$34,IF(AQ7=Цены!$H$35,Цены!$K$35,IF(AQ7=Цены!$H$36,Цены!$K$36,IF(AQ7=Цены!$H$37,Цены!$K$37,IF(AQ7=Цены!$H$38,Цены!$K$38,IF(AQ7=Цены!$H$39,Цены!$K$39,IF(AQ7=Цены!$H$40,Цены!$K$40,IF(AQ7=Цены!$H$41,Цены!$K$41,IF(AQ7=Цены!$H$42,Цены!$K$42,IF(AQ7=Цены!$H$43,Цены!$K$43,IF(AQ7=Цены!$H$44,Цены!$K$44,IF(AQ7=Цены!$H$45,Цены!$K$45,IF(AQ7=Цены!$H$46,Цены!$K$46,IF(AQ7=Цены!$H$47,Цены!$K$47,IF(AQ7=Цены!$H$48,Цены!$K$48,IF(AQ7=Цены!$H$49,Цены!$K$49,IF(AQ7=Цены!$H$50,Цены!$K$50,IF(AQ7=Цены!$H$51,Цены!$K$51,IF(AQ7=Цены!$H$52,Цены!$K$52,IF(AQ7=Цены!$H$53,Цены!$K$53,IF(AQ7=Цены!$H$54,Цены!$K$54,IF(AQ7=Цены!$H$55,Цены!$K$55))))))))))))))))))))))))))))))))))))))))))))))))))))))</f>
        <v>398</v>
      </c>
      <c r="AV7" s="265"/>
      <c r="AW7" s="265"/>
      <c r="AX7" s="274">
        <f t="shared" ref="AX7" si="3">AR7*AU7+AR8*AU8+AR9*AU9+AR10*AU10</f>
        <v>3758</v>
      </c>
      <c r="AY7" s="304">
        <f>AV3*AW3</f>
        <v>4000</v>
      </c>
      <c r="AZ7" s="274">
        <f t="shared" ref="AZ7" si="4">AX7+AY7</f>
        <v>7758</v>
      </c>
      <c r="BA7" s="265"/>
      <c r="BB7" s="274">
        <f>BA3/AZ7*100</f>
        <v>56.715648362980154</v>
      </c>
      <c r="BC7" s="305">
        <f>MROUND(AZ7+BA3,500)</f>
        <v>12000</v>
      </c>
      <c r="BD7" s="244"/>
      <c r="BE7" s="127" t="s">
        <v>141</v>
      </c>
      <c r="BF7" s="102">
        <v>3</v>
      </c>
      <c r="BG7" s="103">
        <f>IF(BE7=Цены!$H$3,Цены!$L$3,IF(BE7=Цены!$H$4,Цены!$L$4,IF(BE7=Цены!$H$5,Цены!$L$5,IF(BE7=Цены!$H$6,Цены!$L$6,IF(BE7=Цены!$H$7,Цены!$L$7,IF(BE7=Цены!$H$8,Цены!$L$8,IF(BE7=Цены!$H$9,Цены!$L$9,IF(BE7=Цены!$H$10,Цены!$L$10,IF(BE7=Цены!$H$11,Цены!$L$11,IF(BE7=Цены!$H$12,Цены!$L$12,IF(BE7=Цены!$H$13,Цены!$L$13,IF(BE7=Цены!$H$14,Цены!$L$14,IF(BE7=Цены!$H$14,Цены!$L$14,IF(BE7=Цены!$H$15,Цены!$L$15,IF(BE7=Цены!$H$16,Цены!$L$16,IF(BE7=Цены!$H$17,Цены!$L$17,IF(BE7=Цены!$H$18,Цены!$L$18,IF(BE7=Цены!$H$19,Цены!$L$19,IF(BE7=Цены!$H$20,Цены!$L$20,IF(BE7=Цены!$H$21,Цены!$L$21,IF(BE7=Цены!$H$22,Цены!$L$22,IF(BE7=Цены!$H$23,Цены!$L$23,IF(BE7=Цены!$H$24,Цены!$L$24,IF(BE7=Цены!$H$25,Цены!$L$25,IF(BE7=Цены!$H$26,Цены!$L$26,IF(BE7=Цены!$H$27,Цены!$L$27,IF(BE7=Цены!$H$28,Цены!$L$28,IF(BE7=Цены!$H$29,Цены!$L$29,IF(BE7=Цены!$H$30,Цены!$L$30,IF(BE7=Цены!$H$31,Цены!$L$31,IF(BE7=Цены!$H$32,Цены!$L$32,IF(BE7=Цены!$H$33,Цены!$L$33,IF(BE7=Цены!$H$34,Цены!$L$34,IF(BE7=Цены!$H$35,Цены!$L$35,IF(BE7=Цены!$H$36,Цены!$L$36,IF(BE7=Цены!$H$37,Цены!$L$37,IF(BE7=Цены!$H$38,Цены!$L$38,IF(BE7=Цены!$H$39,Цены!$L$39,IF(BE7=Цены!$H$40,Цены!$L$40,IF(BE7=Цены!$H$41,Цены!$L$41,IF(BE7=Цены!$H$42,Цены!$L$42,IF(BE7=Цены!$H$43,Цены!$L$43,IF(BE7=Цены!$H$44,Цены!$L$44,IF(BE7=Цены!$H$45,Цены!$L$45,IF(BE7=Цены!$H$46,Цены!$L$46,IF(BE7=Цены!$H$47,Цены!$L$47,IF(BE7=Цены!$H$48,Цены!$L$48,IF(BE7=Цены!$H$49,Цены!$L$49,IF(BE7=Цены!$H$50,Цены!$L$50,IF(BE7=Цены!$H$51,Цены!$L$51,IF(BE7=Цены!$H$52,Цены!$L$52,IF(BE7=Цены!$H$53,Цены!$L$53,IF(BE7=Цены!$H$54,Цены!$L$54,IF(BE7=Цены!$H$55,Цены!$L$55))))))))))))))))))))))))))))))))))))))))))))))))))))))</f>
        <v>0.9</v>
      </c>
      <c r="BH7" s="280">
        <f>BF7*BG7+BF8*BG8+BF9*BG9+BF10*BG10</f>
        <v>4.26</v>
      </c>
      <c r="BI7" s="104">
        <f>IF(BE7=Цены!$H$3,Цены!$K$3,IF(BE7=Цены!$H$4,Цены!$K$4,IF(BE7=Цены!$H$5,Цены!$K$5,IF(BE7=Цены!$H$6,Цены!$K$6,IF(BE7=Цены!$H$7,Цены!$K$7,IF(BE7=Цены!$H$8,Цены!$K$8,IF(BE7=Цены!$H$9,Цены!$K$9,IF(BE7=Цены!$H$10,Цены!$K$10,IF(BE7=Цены!$H$11,Цены!$K$11,IF(BE7=Цены!$H$12,Цены!$K$12,IF(BE7=Цены!$H$13,Цены!$K$13,IF(BE7=Цены!$H$14,Цены!$K$14,IF(BE7=Цены!$H$14,Цены!$K$14,IF(BE7=Цены!$H$15,Цены!$K$15,IF(BE7=Цены!$H$16,Цены!$K$16,IF(BE7=Цены!$H$17,Цены!$K$17,IF(BE7=Цены!$H$18,Цены!$K$18,IF(BE7=Цены!$H$19,Цены!$K$19,IF(BE7=Цены!$H$20,Цены!$K$20,IF(BE7=Цены!$H$21,Цены!$K$21,IF(BE7=Цены!$H$22,Цены!$K$22,IF(BE7=Цены!$H$23,Цены!$K$23,IF(BE7=Цены!$H$24,Цены!$K$24,IF(BE7=Цены!$H$25,Цены!$K$25,IF(BE7=Цены!$H$26,Цены!$K$26,IF(BE7=Цены!$H$27,Цены!$K$27,IF(BE7=Цены!$H$28,Цены!$K$28,IF(BE7=Цены!$H$29,Цены!$K$29,IF(BE7=Цены!$H$30,Цены!$K$30,IF(BE7=Цены!$H$31,Цены!$K$31,IF(BE7=Цены!$H$32,Цены!$K$32,IF(BE7=Цены!$H$33,Цены!$K$33,IF(BE7=Цены!$H$34,Цены!$K$34,IF(BE7=Цены!$H$35,Цены!$K$35,IF(BE7=Цены!$H$36,Цены!$K$36,IF(BE7=Цены!$H$37,Цены!$K$37,IF(BE7=Цены!$H$38,Цены!$K$38,IF(BE7=Цены!$H$39,Цены!$K$39,IF(BE7=Цены!$H$40,Цены!$K$40,IF(BE7=Цены!$H$41,Цены!$K$41,IF(BE7=Цены!$H$42,Цены!$K$42,IF(BE7=Цены!$H$43,Цены!$K$43,IF(BE7=Цены!$H$44,Цены!$K$44,IF(BE7=Цены!$H$45,Цены!$K$45,IF(BE7=Цены!$H$46,Цены!$K$46,IF(BE7=Цены!$H$47,Цены!$K$47,IF(BE7=Цены!$H$48,Цены!$K$48,IF(BE7=Цены!$H$49,Цены!$K$49,IF(BE7=Цены!$H$50,Цены!$K$50,IF(BE7=Цены!$H$51,Цены!$K$51,IF(BE7=Цены!$H$52,Цены!$K$52,IF(BE7=Цены!$H$53,Цены!$K$53,IF(BE7=Цены!$H$54,Цены!$K$54,IF(BE7=Цены!$H$55,Цены!$K$55))))))))))))))))))))))))))))))))))))))))))))))))))))))</f>
        <v>338</v>
      </c>
      <c r="BJ7" s="265"/>
      <c r="BK7" s="265"/>
      <c r="BL7" s="281">
        <f t="shared" ref="BL7" si="5">BF7*BI7+BF8*BI8+BF9*BI9+BF10*BI10</f>
        <v>1908</v>
      </c>
      <c r="BM7" s="292">
        <f>BJ3*BK3</f>
        <v>2800</v>
      </c>
      <c r="BN7" s="281">
        <f t="shared" ref="BN7" si="6">BL7+BM7</f>
        <v>4708</v>
      </c>
      <c r="BO7" s="265"/>
      <c r="BP7" s="281">
        <f>BO3/BN7*100</f>
        <v>65.420560747663558</v>
      </c>
      <c r="BQ7" s="293">
        <f>MROUND(BN7+BO3,500)</f>
        <v>8000</v>
      </c>
      <c r="BR7" s="122" t="s">
        <v>67</v>
      </c>
      <c r="BS7" s="108">
        <v>2</v>
      </c>
      <c r="BT7" s="109">
        <f>IF(BR7=Цены!$H$3,Цены!$L$3,IF(BR7=Цены!$H$4,Цены!$L$4,IF(BR7=Цены!$H$5,Цены!$L$5,IF(BR7=Цены!$H$6,Цены!$L$6,IF(BR7=Цены!$H$7,Цены!$L$7,IF(BR7=Цены!$H$8,Цены!$L$8,IF(BR7=Цены!$H$9,Цены!$L$9,IF(BR7=Цены!$H$10,Цены!$L$10,IF(BR7=Цены!$H$11,Цены!$L$11,IF(BR7=Цены!$H$12,Цены!$L$12,IF(BR7=Цены!$H$13,Цены!$L$13,IF(BR7=Цены!$H$14,Цены!$L$14,IF(BR7=Цены!$H$14,Цены!$L$14,IF(BR7=Цены!$H$15,Цены!$L$15,IF(BR7=Цены!$H$16,Цены!$L$16,IF(BR7=Цены!$H$17,Цены!$L$17,IF(BR7=Цены!$H$18,Цены!$L$18,IF(BR7=Цены!$H$19,Цены!$L$19,IF(BR7=Цены!$H$20,Цены!$L$20,IF(BR7=Цены!$H$21,Цены!$L$21,IF(BR7=Цены!$H$22,Цены!$L$22,IF(BR7=Цены!$H$23,Цены!$L$23,IF(BR7=Цены!$H$24,Цены!$L$24,IF(BR7=Цены!$H$25,Цены!$L$25,IF(BR7=Цены!$H$26,Цены!$L$26,IF(BR7=Цены!$H$27,Цены!$L$27,IF(BR7=Цены!$H$28,Цены!$L$28,IF(BR7=Цены!$H$29,Цены!$L$29,IF(BR7=Цены!$H$30,Цены!$L$30,IF(BR7=Цены!$H$31,Цены!$L$31,IF(BR7=Цены!$H$32,Цены!$L$32,IF(BR7=Цены!$H$33,Цены!$L$33,IF(BR7=Цены!$H$34,Цены!$L$34,IF(BR7=Цены!$H$35,Цены!$L$35,IF(BR7=Цены!$H$36,Цены!$L$36,IF(BR7=Цены!$H$37,Цены!$L$37,IF(BR7=Цены!$H$38,Цены!$L$38,IF(BR7=Цены!$H$39,Цены!$L$39,IF(BR7=Цены!$H$40,Цены!$L$40,IF(BR7=Цены!$H$41,Цены!$L$41,IF(BR7=Цены!$H$42,Цены!$L$42,IF(BR7=Цены!$H$43,Цены!$L$43,IF(BR7=Цены!$H$44,Цены!$L$44,IF(BR7=Цены!$H$45,Цены!$L$45,IF(BR7=Цены!$H$46,Цены!$L$46,IF(BR7=Цены!$H$47,Цены!$L$47,IF(BR7=Цены!$H$48,Цены!$L$48,IF(BR7=Цены!$H$49,Цены!$L$49,IF(BR7=Цены!$H$50,Цены!$L$50,IF(BR7=Цены!$H$51,Цены!$L$51,IF(BR7=Цены!$H$52,Цены!$L$52,IF(BR7=Цены!$H$53,Цены!$L$53,IF(BR7=Цены!$H$54,Цены!$L$54,IF(BR7=Цены!$H$55,Цены!$L$55))))))))))))))))))))))))))))))))))))))))))))))))))))))</f>
        <v>0.9</v>
      </c>
      <c r="BU7" s="284">
        <f>BS7*BT7+BS8*BT8+BS9*BT9+BS10*BT10</f>
        <v>3.3600000000000003</v>
      </c>
      <c r="BV7" s="110">
        <f>IF(BR7=Цены!$H$3,Цены!$K$3,IF(BR7=Цены!$H$4,Цены!$K$4,IF(BR7=Цены!$H$5,Цены!$K$5,IF(BR7=Цены!$H$6,Цены!$K$6,IF(BR7=Цены!$H$7,Цены!$K$7,IF(BR7=Цены!$H$8,Цены!$K$8,IF(BR7=Цены!$H$9,Цены!$K$9,IF(BR7=Цены!$H$10,Цены!$K$10,IF(BR7=Цены!$H$11,Цены!$K$11,IF(BR7=Цены!$H$12,Цены!$K$12,IF(BR7=Цены!$H$13,Цены!$K$13,IF(BR7=Цены!$H$14,Цены!$K$14,IF(BR7=Цены!$H$14,Цены!$K$14,IF(BR7=Цены!$H$15,Цены!$K$15,IF(BR7=Цены!$H$16,Цены!$K$16,IF(BR7=Цены!$H$17,Цены!$K$17,IF(BR7=Цены!$H$18,Цены!$K$18,IF(BR7=Цены!$H$19,Цены!$K$19,IF(BR7=Цены!$H$20,Цены!$K$20,IF(BR7=Цены!$H$21,Цены!$K$21,IF(BR7=Цены!$H$22,Цены!$K$22,IF(BR7=Цены!$H$23,Цены!$K$23,IF(BR7=Цены!$H$24,Цены!$K$24,IF(BR7=Цены!$H$25,Цены!$K$25,IF(BR7=Цены!$H$26,Цены!$K$26,IF(BR7=Цены!$H$27,Цены!$K$27,IF(BR7=Цены!$H$28,Цены!$K$28,IF(BR7=Цены!$H$29,Цены!$K$29,IF(BR7=Цены!$H$30,Цены!$K$30,IF(BR7=Цены!$H$31,Цены!$K$31,IF(BR7=Цены!$H$32,Цены!$K$32,IF(BR7=Цены!$H$33,Цены!$K$33,IF(BR7=Цены!$H$34,Цены!$K$34,IF(BR7=Цены!$H$35,Цены!$K$35,IF(BR7=Цены!$H$36,Цены!$K$36,IF(BR7=Цены!$H$37,Цены!$K$37,IF(BR7=Цены!$H$38,Цены!$K$38,IF(BR7=Цены!$H$39,Цены!$K$39,IF(BR7=Цены!$H$40,Цены!$K$40,IF(BR7=Цены!$H$41,Цены!$K$41,IF(BR7=Цены!$H$42,Цены!$K$42,IF(BR7=Цены!$H$43,Цены!$K$43,IF(BR7=Цены!$H$44,Цены!$K$44,IF(BR7=Цены!$H$45,Цены!$K$45,IF(BR7=Цены!$H$46,Цены!$K$46,IF(BR7=Цены!$H$47,Цены!$K$47,IF(BR7=Цены!$H$48,Цены!$K$48,IF(BR7=Цены!$H$49,Цены!$K$49,IF(BR7=Цены!$H$50,Цены!$K$50,IF(BR7=Цены!$H$51,Цены!$K$51,IF(BR7=Цены!$H$52,Цены!$K$52,IF(BR7=Цены!$H$53,Цены!$K$53,IF(BR7=Цены!$H$54,Цены!$K$54,IF(BR7=Цены!$H$55,Цены!$K$55))))))))))))))))))))))))))))))))))))))))))))))))))))))</f>
        <v>338</v>
      </c>
      <c r="BW7" s="265"/>
      <c r="BX7" s="265"/>
      <c r="BY7" s="285">
        <f t="shared" ref="BY7" si="7">BS7*BV7+BS8*BV8+BS9*BV9+BS10*BV10</f>
        <v>1570</v>
      </c>
      <c r="BZ7" s="290">
        <f>BW3*BX3</f>
        <v>800</v>
      </c>
      <c r="CA7" s="285">
        <f t="shared" ref="CA7" si="8">BY7+BZ7</f>
        <v>2370</v>
      </c>
      <c r="CB7" s="265"/>
      <c r="CC7" s="285">
        <f>CB3/CA7*100</f>
        <v>37.130801687763721</v>
      </c>
      <c r="CD7" s="291">
        <f>MROUND(CA7+CB3,500)</f>
        <v>3500</v>
      </c>
      <c r="CE7" s="119" t="s">
        <v>67</v>
      </c>
      <c r="CF7" s="112">
        <v>2</v>
      </c>
      <c r="CG7" s="113">
        <f>IF(CE7=Цены!$H$3,Цены!$L$3,IF(CE7=Цены!$H$4,Цены!$L$4,IF(CE7=Цены!$H$5,Цены!$L$5,IF(CE7=Цены!$H$6,Цены!$L$6,IF(CE7=Цены!$H$7,Цены!$L$7,IF(CE7=Цены!$H$8,Цены!$L$8,IF(CE7=Цены!$H$9,Цены!$L$9,IF(CE7=Цены!$H$10,Цены!$L$10,IF(CE7=Цены!$H$11,Цены!$L$11,IF(CE7=Цены!$H$12,Цены!$L$12,IF(CE7=Цены!$H$13,Цены!$L$13,IF(CE7=Цены!$H$14,Цены!$L$14,IF(CE7=Цены!$H$14,Цены!$L$14,IF(CE7=Цены!$H$15,Цены!$L$15,IF(CE7=Цены!$H$16,Цены!$L$16,IF(CE7=Цены!$H$17,Цены!$L$17,IF(CE7=Цены!$H$18,Цены!$L$18,IF(CE7=Цены!$H$19,Цены!$L$19,IF(CE7=Цены!$H$20,Цены!$L$20,IF(CE7=Цены!$H$21,Цены!$L$21,IF(CE7=Цены!$H$22,Цены!$L$22,IF(CE7=Цены!$H$23,Цены!$L$23,IF(CE7=Цены!$H$24,Цены!$L$24,IF(CE7=Цены!$H$25,Цены!$L$25,IF(CE7=Цены!$H$26,Цены!$L$26,IF(CE7=Цены!$H$27,Цены!$L$27,IF(CE7=Цены!$H$28,Цены!$L$28,IF(CE7=Цены!$H$29,Цены!$L$29,IF(CE7=Цены!$H$30,Цены!$L$30,IF(CE7=Цены!$H$31,Цены!$L$31,IF(CE7=Цены!$H$32,Цены!$L$32,IF(CE7=Цены!$H$33,Цены!$L$33,IF(CE7=Цены!$H$34,Цены!$L$34,IF(CE7=Цены!$H$35,Цены!$L$35,IF(CE7=Цены!$H$36,Цены!$L$36,IF(CE7=Цены!$H$37,Цены!$L$37,IF(CE7=Цены!$H$38,Цены!$L$38,IF(CE7=Цены!$H$39,Цены!$L$39,IF(CE7=Цены!$H$40,Цены!$L$40,IF(CE7=Цены!$H$41,Цены!$L$41,IF(CE7=Цены!$H$42,Цены!$L$42,IF(CE7=Цены!$H$43,Цены!$L$43,IF(CE7=Цены!$H$44,Цены!$L$44,IF(CE7=Цены!$H$45,Цены!$L$45,IF(CE7=Цены!$H$46,Цены!$L$46,IF(CE7=Цены!$H$47,Цены!$L$47,IF(CE7=Цены!$H$48,Цены!$L$48,IF(CE7=Цены!$H$49,Цены!$L$49,IF(CE7=Цены!$H$50,Цены!$L$50,IF(CE7=Цены!$H$51,Цены!$L$51,IF(CE7=Цены!$H$52,Цены!$L$52,IF(CE7=Цены!$H$53,Цены!$L$53,IF(CE7=Цены!$H$54,Цены!$L$54,IF(CE7=Цены!$H$55,Цены!$L$55))))))))))))))))))))))))))))))))))))))))))))))))))))))</f>
        <v>0.9</v>
      </c>
      <c r="CH7" s="282">
        <f>CF7*CG7+CF8*CG8+CF9*CG9+CF10*CG10</f>
        <v>4.2132000000000005</v>
      </c>
      <c r="CI7" s="114">
        <f>IF(CE7=Цены!$H$3,Цены!$K$3,IF(CE7=Цены!$H$4,Цены!$K$4,IF(CE7=Цены!$H$5,Цены!$K$5,IF(CE7=Цены!$H$6,Цены!$K$6,IF(CE7=Цены!$H$7,Цены!$K$7,IF(CE7=Цены!$H$8,Цены!$K$8,IF(CE7=Цены!$H$9,Цены!$K$9,IF(CE7=Цены!$H$10,Цены!$K$10,IF(CE7=Цены!$H$11,Цены!$K$11,IF(CE7=Цены!$H$12,Цены!$K$12,IF(CE7=Цены!$H$13,Цены!$K$13,IF(CE7=Цены!$H$14,Цены!$K$14,IF(CE7=Цены!$H$14,Цены!$K$14,IF(CE7=Цены!$H$15,Цены!$K$15,IF(CE7=Цены!$H$16,Цены!$K$16,IF(CE7=Цены!$H$17,Цены!$K$17,IF(CE7=Цены!$H$18,Цены!$K$18,IF(CE7=Цены!$H$19,Цены!$K$19,IF(CE7=Цены!$H$20,Цены!$K$20,IF(CE7=Цены!$H$21,Цены!$K$21,IF(CE7=Цены!$H$22,Цены!$K$22,IF(CE7=Цены!$H$23,Цены!$K$23,IF(CE7=Цены!$H$24,Цены!$K$24,IF(CE7=Цены!$H$25,Цены!$K$25,IF(CE7=Цены!$H$26,Цены!$K$26,IF(CE7=Цены!$H$27,Цены!$K$27,IF(CE7=Цены!$H$28,Цены!$K$28,IF(CE7=Цены!$H$29,Цены!$K$29,IF(CE7=Цены!$H$30,Цены!$K$30,IF(CE7=Цены!$H$31,Цены!$K$31,IF(CE7=Цены!$H$32,Цены!$K$32,IF(CE7=Цены!$H$33,Цены!$K$33,IF(CE7=Цены!$H$34,Цены!$K$34,IF(CE7=Цены!$H$35,Цены!$K$35,IF(CE7=Цены!$H$36,Цены!$K$36,IF(CE7=Цены!$H$37,Цены!$K$37,IF(CE7=Цены!$H$38,Цены!$K$38,IF(CE7=Цены!$H$39,Цены!$K$39,IF(CE7=Цены!$H$40,Цены!$K$40,IF(CE7=Цены!$H$41,Цены!$K$41,IF(CE7=Цены!$H$42,Цены!$K$42,IF(CE7=Цены!$H$43,Цены!$K$43,IF(CE7=Цены!$H$44,Цены!$K$44,IF(CE7=Цены!$H$45,Цены!$K$45,IF(CE7=Цены!$H$46,Цены!$K$46,IF(CE7=Цены!$H$47,Цены!$K$47,IF(CE7=Цены!$H$48,Цены!$K$48,IF(CE7=Цены!$H$49,Цены!$K$49,IF(CE7=Цены!$H$50,Цены!$K$50,IF(CE7=Цены!$H$51,Цены!$K$51,IF(CE7=Цены!$H$52,Цены!$K$52,IF(CE7=Цены!$H$53,Цены!$K$53,IF(CE7=Цены!$H$54,Цены!$K$54,IF(CE7=Цены!$H$55,Цены!$K$55))))))))))))))))))))))))))))))))))))))))))))))))))))))</f>
        <v>338</v>
      </c>
      <c r="CJ7" s="265"/>
      <c r="CK7" s="265"/>
      <c r="CL7" s="283">
        <f t="shared" ref="CL7" si="9">CF7*CI7+CF8*CI8+CF9*CI9+CF10*CI10</f>
        <v>1486</v>
      </c>
      <c r="CM7" s="288">
        <f>CJ3*CK3</f>
        <v>1200</v>
      </c>
      <c r="CN7" s="283">
        <f t="shared" ref="CN7" si="10">CL7+CM7</f>
        <v>2686</v>
      </c>
      <c r="CO7" s="265"/>
      <c r="CP7" s="283">
        <f>CO3/CN7*100</f>
        <v>49.14370811615786</v>
      </c>
      <c r="CQ7" s="289">
        <f>MROUND(CN7+CO3,500)</f>
        <v>4000</v>
      </c>
    </row>
    <row r="8" spans="1:95" s="40" customFormat="1" ht="15.75" hidden="1" x14ac:dyDescent="0.25">
      <c r="A8" s="341"/>
      <c r="B8" s="265"/>
      <c r="C8" s="336"/>
      <c r="D8" s="44" t="s">
        <v>87</v>
      </c>
      <c r="E8" s="45">
        <v>5</v>
      </c>
      <c r="F8" s="46">
        <f>IF(D8=Цены!$H$3,Цены!$L$3,IF(D8=Цены!$H$4,Цены!$L$4,IF(D8=Цены!$H$5,Цены!$L$5,IF(D8=Цены!$H$6,Цены!$L$6,IF(D8=Цены!$H$7,Цены!$L$7,IF(D8=Цены!$H$8,Цены!$L$8,IF(D8=Цены!$H$9,Цены!$L$9,IF(D8=Цены!$H$10,Цены!$L$10,IF(D8=Цены!$H$11,Цены!$L$11,IF(D8=Цены!$H$12,Цены!$L$12,IF(D8=Цены!$H$13,Цены!$L$13,IF(D8=Цены!$H$14,Цены!$L$14,IF(D8=Цены!$H$14,Цены!$L$14,IF(D8=Цены!$H$15,Цены!$L$15,IF(D8=Цены!$H$16,Цены!$L$16,IF(D8=Цены!$H$17,Цены!$L$17,IF(D8=Цены!$H$18,Цены!$L$18,IF(D8=Цены!$H$19,Цены!$L$19,IF(D8=Цены!$H$20,Цены!$L$20,IF(D8=Цены!$H$21,Цены!$L$21,IF(D8=Цены!$H$22,Цены!$L$22,IF(D8=Цены!$H$23,Цены!$L$23,IF(D8=Цены!$H$24,Цены!$L$24,IF(D8=Цены!$H$25,Цены!$L$25,IF(D8=Цены!$H$26,Цены!$L$26,IF(D8=Цены!$H$27,Цены!$L$27,IF(D8=Цены!$H$28,Цены!$L$28,IF(D8=Цены!$H$29,Цены!$L$29,IF(D8=Цены!$H$30,Цены!$L$30,IF(D8=Цены!$H$31,Цены!$L$31,IF(D8=Цены!$H$32,Цены!$L$32,IF(D8=Цены!$H$33,Цены!$L$33,IF(D8=Цены!$H$34,Цены!$L$34,IF(D8=Цены!$H$35,Цены!$L$35,IF(D8=Цены!$H$36,Цены!$L$36,IF(D8=Цены!$H$37,Цены!$L$37,IF(D8=Цены!$H$38,Цены!$L$38,IF(D8=Цены!$H$39,Цены!$L$39,IF(D8=Цены!$H$40,Цены!$L$40,IF(D8=Цены!$H$41,Цены!$L$41,IF(D8=Цены!$H$42,Цены!$L$42,IF(D8=Цены!$H$43,Цены!$L$43,IF(D8=Цены!$H$44,Цены!$L$44,IF(D8=Цены!$H$45,Цены!$L$45,IF(D8=Цены!$H$46,Цены!$L$46,IF(D8=Цены!$H$47,Цены!$L$47,IF(D8=Цены!$H$48,Цены!$L$48,IF(D8=Цены!$H$49,Цены!$L$49,IF(D8=Цены!$H$50,Цены!$L$50,IF(D8=Цены!$H$51,Цены!$L$51,IF(D8=Цены!$H$52,Цены!$L$52,IF(D8=Цены!$H$53,Цены!$L$53,IF(D8=Цены!$H$54,Цены!$L$54,IF(D8=Цены!$H$55,Цены!$L$55))))))))))))))))))))))))))))))))))))))))))))))))))))))</f>
        <v>1.2</v>
      </c>
      <c r="G8" s="339"/>
      <c r="H8" s="47">
        <f>IF(D8=Цены!$H$3,Цены!$K$3,IF(D8=Цены!$H$4,Цены!$K$4,IF(D8=Цены!$H$5,Цены!$K$5,IF(D8=Цены!$H$6,Цены!$K$6,IF(D8=Цены!$H$7,Цены!$K$7,IF(D8=Цены!$H$8,Цены!$K$8,IF(D8=Цены!$H$9,Цены!$K$9,IF(D8=Цены!$H$10,Цены!$K$10,IF(D8=Цены!$H$11,Цены!$K$11,IF(D8=Цены!$H$12,Цены!$K$12,IF(D8=Цены!$H$13,Цены!$K$13,IF(D8=Цены!$H$14,Цены!$K$14,IF(D8=Цены!$H$14,Цены!$K$14,IF(D8=Цены!$H$15,Цены!$K$15,IF(D8=Цены!$H$16,Цены!$K$16,IF(D8=Цены!$H$17,Цены!$K$17,IF(D8=Цены!$H$18,Цены!$K$18,IF(D8=Цены!$H$19,Цены!$K$19,IF(D8=Цены!$H$20,Цены!$K$20,IF(D8=Цены!$H$21,Цены!$K$21,IF(D8=Цены!$H$22,Цены!$K$22,IF(D8=Цены!$H$23,Цены!$K$23,IF(D8=Цены!$H$24,Цены!$K$24,IF(D8=Цены!$H$25,Цены!$K$25,IF(D8=Цены!$H$26,Цены!$K$26,IF(D8=Цены!$H$27,Цены!$K$27,IF(D8=Цены!$H$28,Цены!$K$28,IF(D8=Цены!$H$29,Цены!$K$29,IF(D8=Цены!$H$30,Цены!$K$30,IF(D8=Цены!$H$31,Цены!$K$31,IF(D8=Цены!$H$32,Цены!$K$32,IF(D8=Цены!$H$33,Цены!$K$33,IF(D8=Цены!$H$34,Цены!$K$34,IF(D8=Цены!$H$35,Цены!$K$35,IF(D8=Цены!$H$36,Цены!$K$36,IF(D8=Цены!$H$37,Цены!$K$37,IF(D8=Цены!$H$38,Цены!$K$38,IF(D8=Цены!$H$39,Цены!$K$39,IF(D8=Цены!$H$40,Цены!$K$40,IF(D8=Цены!$H$41,Цены!$K$41,IF(D8=Цены!$H$42,Цены!$K$42,IF(D8=Цены!$H$43,Цены!$K$43,IF(D8=Цены!$H$44,Цены!$K$44,IF(D8=Цены!$H$45,Цены!$K$45,IF(D8=Цены!$H$46,Цены!$K$46,IF(D8=Цены!$H$47,Цены!$K$47,IF(D8=Цены!$H$48,Цены!$K$48,IF(D8=Цены!$H$49,Цены!$K$49,IF(D8=Цены!$H$50,Цены!$K$50,IF(D8=Цены!$H$51,Цены!$K$51,IF(D8=Цены!$H$52,Цены!$K$52,IF(D8=Цены!$H$53,Цены!$K$53,IF(D8=Цены!$H$54,Цены!$K$54,IF(D8=Цены!$H$55,Цены!$K$55))))))))))))))))))))))))))))))))))))))))))))))))))))))</f>
        <v>378</v>
      </c>
      <c r="I8" s="265"/>
      <c r="J8" s="265"/>
      <c r="K8" s="332"/>
      <c r="L8" s="334"/>
      <c r="M8" s="334"/>
      <c r="N8" s="265"/>
      <c r="O8" s="332"/>
      <c r="P8" s="331"/>
      <c r="Q8" s="132" t="s">
        <v>148</v>
      </c>
      <c r="R8" s="37">
        <v>2</v>
      </c>
      <c r="S8" s="38">
        <f>IF(Q8=Цены!$H$3,Цены!$L$3,IF(Q8=Цены!$H$4,Цены!$L$4,IF(Q8=Цены!$H$5,Цены!$L$5,IF(Q8=Цены!$H$6,Цены!$L$6,IF(Q8=Цены!$H$7,Цены!$L$7,IF(Q8=Цены!$H$8,Цены!$L$8,IF(Q8=Цены!$H$9,Цены!$L$9,IF(Q8=Цены!$H$10,Цены!$L$10,IF(Q8=Цены!$H$11,Цены!$L$11,IF(Q8=Цены!$H$12,Цены!$L$12,IF(Q8=Цены!$H$13,Цены!$L$13,IF(Q8=Цены!$H$14,Цены!$L$14,IF(Q8=Цены!$H$14,Цены!$L$14,IF(Q8=Цены!$H$15,Цены!$L$15,IF(Q8=Цены!$H$16,Цены!$L$16,IF(Q8=Цены!$H$17,Цены!$L$17,IF(Q8=Цены!$H$18,Цены!$L$18,IF(Q8=Цены!$H$19,Цены!$L$19,IF(Q8=Цены!$H$20,Цены!$L$20,IF(Q8=Цены!$H$21,Цены!$L$21,IF(Q8=Цены!$H$22,Цены!$L$22,IF(Q8=Цены!$H$23,Цены!$L$23,IF(Q8=Цены!$H$24,Цены!$L$24,IF(Q8=Цены!$H$25,Цены!$L$25,IF(Q8=Цены!$H$26,Цены!$L$26,IF(Q8=Цены!$H$27,Цены!$L$27,IF(Q8=Цены!$H$28,Цены!$L$28,IF(Q8=Цены!$H$29,Цены!$L$29,IF(Q8=Цены!$H$30,Цены!$L$30,IF(Q8=Цены!$H$31,Цены!$L$31,IF(Q8=Цены!$H$32,Цены!$L$32,IF(Q8=Цены!$H$33,Цены!$L$33,IF(Q8=Цены!$H$34,Цены!$L$34,IF(Q8=Цены!$H$35,Цены!$L$35,IF(Q8=Цены!$H$36,Цены!$L$36,IF(Q8=Цены!$H$37,Цены!$L$37,IF(Q8=Цены!$H$38,Цены!$L$38,IF(Q8=Цены!$H$39,Цены!$L$39,IF(Q8=Цены!$H$40,Цены!$L$40,IF(Q8=Цены!$H$41,Цены!$L$41,IF(Q8=Цены!$H$42,Цены!$L$42,IF(Q8=Цены!$H$43,Цены!$L$43,IF(Q8=Цены!$H$44,Цены!$L$44,IF(Q8=Цены!$H$45,Цены!$L$45,IF(Q8=Цены!$H$46,Цены!$L$46,IF(Q8=Цены!$H$47,Цены!$L$47,IF(Q8=Цены!$H$48,Цены!$L$48,IF(Q8=Цены!$H$49,Цены!$L$49,IF(Q8=Цены!$H$50,Цены!$L$50,IF(Q8=Цены!$H$51,Цены!$L$51,IF(Q8=Цены!$H$52,Цены!$L$52,IF(Q8=Цены!$H$53,Цены!$L$53,IF(Q8=Цены!$H$54,Цены!$L$54,IF(Q8=Цены!$H$55,Цены!$L$55))))))))))))))))))))))))))))))))))))))))))))))))))))))</f>
        <v>1.1499999999999999</v>
      </c>
      <c r="T8" s="322"/>
      <c r="U8" s="161">
        <f>IF(Q8=Цены!$H$3,Цены!$K$3,IF(Q8=Цены!$H$4,Цены!$K$4,IF(Q8=Цены!$H$5,Цены!$K$5,IF(Q8=Цены!$H$6,Цены!$K$6,IF(Q8=Цены!$H$7,Цены!$K$7,IF(Q8=Цены!$H$8,Цены!$K$8,IF(Q8=Цены!$H$9,Цены!$K$9,IF(Q8=Цены!$H$10,Цены!$K$10,IF(Q8=Цены!$H$11,Цены!$K$11,IF(Q8=Цены!$H$12,Цены!$K$12,IF(Q8=Цены!$H$13,Цены!$K$13,IF(Q8=Цены!$H$14,Цены!$K$14,IF(Q8=Цены!$H$14,Цены!$K$14,IF(Q8=Цены!$H$15,Цены!$K$15,IF(Q8=Цены!$H$16,Цены!$K$16,IF(Q8=Цены!$H$17,Цены!$K$17,IF(Q8=Цены!$H$18,Цены!$K$18,IF(Q8=Цены!$H$19,Цены!$K$19,IF(Q8=Цены!$H$20,Цены!$K$20,IF(Q8=Цены!$H$21,Цены!$K$21,IF(Q8=Цены!$H$22,Цены!$K$22,IF(Q8=Цены!$H$23,Цены!$K$23,IF(Q8=Цены!$H$24,Цены!$K$24,IF(Q8=Цены!$H$25,Цены!$K$25,IF(Q8=Цены!$H$26,Цены!$K$26,IF(Q8=Цены!$H$27,Цены!$K$27,IF(Q8=Цены!$H$28,Цены!$K$28,IF(Q8=Цены!$H$29,Цены!$K$29,IF(Q8=Цены!$H$30,Цены!$K$30,IF(Q8=Цены!$H$31,Цены!$K$31,IF(Q8=Цены!$H$32,Цены!$K$32,IF(Q8=Цены!$H$33,Цены!$K$33,IF(Q8=Цены!$H$34,Цены!$K$34,IF(Q8=Цены!$H$35,Цены!$K$35,IF(Q8=Цены!$H$36,Цены!$K$36,IF(Q8=Цены!$H$37,Цены!$K$37,IF(Q8=Цены!$H$38,Цены!$K$38,IF(Q8=Цены!$H$39,Цены!$K$39,IF(Q8=Цены!$H$40,Цены!$K$40,IF(Q8=Цены!$H$41,Цены!$K$41,IF(Q8=Цены!$H$42,Цены!$K$42,IF(Q8=Цены!$H$43,Цены!$K$43,IF(Q8=Цены!$H$44,Цены!$K$44,IF(Q8=Цены!$H$45,Цены!$K$45,IF(Q8=Цены!$H$46,Цены!$K$46,IF(Q8=Цены!$H$47,Цены!$K$47,IF(Q8=Цены!$H$48,Цены!$K$48,IF(Q8=Цены!$H$49,Цены!$K$49,IF(Q8=Цены!$H$50,Цены!$K$50,IF(Q8=Цены!$H$51,Цены!$K$51,IF(Q8=Цены!$H$52,Цены!$K$52,IF(Q8=Цены!$H$53,Цены!$K$53,IF(Q8=Цены!$H$54,Цены!$K$54,IF(Q8=Цены!$H$55,Цены!$K$55))))))))))))))))))))))))))))))))))))))))))))))))))))))</f>
        <v>400</v>
      </c>
      <c r="V8" s="265"/>
      <c r="W8" s="265"/>
      <c r="X8" s="323"/>
      <c r="Y8" s="324"/>
      <c r="Z8" s="324"/>
      <c r="AA8" s="265"/>
      <c r="AB8" s="323"/>
      <c r="AC8" s="325"/>
      <c r="AD8" s="66" t="s">
        <v>70</v>
      </c>
      <c r="AE8" s="67">
        <v>3</v>
      </c>
      <c r="AF8" s="68">
        <f>IF(AD8=Цены!$H$3,Цены!$L$3,IF(AD8=Цены!$H$4,Цены!$L$4,IF(AD8=Цены!$H$5,Цены!$L$5,IF(AD8=Цены!$H$6,Цены!$L$6,IF(AD8=Цены!$H$7,Цены!$L$7,IF(AD8=Цены!$H$8,Цены!$L$8,IF(AD8=Цены!$H$9,Цены!$L$9,IF(AD8=Цены!$H$10,Цены!$L$10,IF(AD8=Цены!$H$11,Цены!$L$11,IF(AD8=Цены!$H$12,Цены!$L$12,IF(AD8=Цены!$H$13,Цены!$L$13,IF(AD8=Цены!$H$14,Цены!$L$14,IF(AD8=Цены!$H$14,Цены!$L$14,IF(AD8=Цены!$H$15,Цены!$L$15,IF(AD8=Цены!$H$16,Цены!$L$16,IF(AD8=Цены!$H$17,Цены!$L$17,IF(AD8=Цены!$H$18,Цены!$L$18,IF(AD8=Цены!$H$19,Цены!$L$19,IF(AD8=Цены!$H$20,Цены!$L$20,IF(AD8=Цены!$H$21,Цены!$L$21,IF(AD8=Цены!$H$22,Цены!$L$22,IF(AD8=Цены!$H$23,Цены!$L$23,IF(AD8=Цены!$H$24,Цены!$L$24,IF(AD8=Цены!$H$25,Цены!$L$25,IF(AD8=Цены!$H$26,Цены!$L$26,IF(AD8=Цены!$H$27,Цены!$L$27,IF(AD8=Цены!$H$28,Цены!$L$28,IF(AD8=Цены!$H$29,Цены!$L$29,IF(AD8=Цены!$H$30,Цены!$L$30,IF(AD8=Цены!$H$31,Цены!$L$31,IF(AD8=Цены!$H$32,Цены!$L$32,IF(AD8=Цены!$H$33,Цены!$L$33,IF(AD8=Цены!$H$34,Цены!$L$34,IF(AD8=Цены!$H$35,Цены!$L$35,IF(AD8=Цены!$H$36,Цены!$L$36,IF(AD8=Цены!$H$37,Цены!$L$37,IF(AD8=Цены!$H$38,Цены!$L$38,IF(AD8=Цены!$H$39,Цены!$L$39,IF(AD8=Цены!$H$40,Цены!$L$40,IF(AD8=Цены!$H$41,Цены!$L$41,IF(AD8=Цены!$H$42,Цены!$L$42,IF(AD8=Цены!$H$43,Цены!$L$43,IF(AD8=Цены!$H$44,Цены!$L$44,IF(AD8=Цены!$H$45,Цены!$L$45,IF(AD8=Цены!$H$46,Цены!$L$46,IF(AD8=Цены!$H$47,Цены!$L$47,IF(AD8=Цены!$H$48,Цены!$L$48,IF(AD8=Цены!$H$49,Цены!$L$49,IF(AD8=Цены!$H$50,Цены!$L$50,IF(AD8=Цены!$H$51,Цены!$L$51,IF(AD8=Цены!$H$52,Цены!$L$52,IF(AD8=Цены!$H$53,Цены!$L$53,IF(AD8=Цены!$H$54,Цены!$L$54,IF(AD8=Цены!$H$55,Цены!$L$55))))))))))))))))))))))))))))))))))))))))))))))))))))))</f>
        <v>2.4</v>
      </c>
      <c r="AG8" s="311"/>
      <c r="AH8" s="69">
        <f>IF(AD8=Цены!$H$3,Цены!$K$3,IF(AD8=Цены!$H$4,Цены!$K$4,IF(AD8=Цены!$H$5,Цены!$K$5,IF(AD8=Цены!$H$6,Цены!$K$6,IF(AD8=Цены!$H$7,Цены!$K$7,IF(AD8=Цены!$H$8,Цены!$K$8,IF(AD8=Цены!$H$9,Цены!$K$9,IF(AD8=Цены!$H$10,Цены!$K$10,IF(AD8=Цены!$H$11,Цены!$K$11,IF(AD8=Цены!$H$12,Цены!$K$12,IF(AD8=Цены!$H$13,Цены!$K$13,IF(AD8=Цены!$H$14,Цены!$K$14,IF(AD8=Цены!$H$14,Цены!$K$14,IF(AD8=Цены!$H$15,Цены!$K$15,IF(AD8=Цены!$H$16,Цены!$K$16,IF(AD8=Цены!$H$17,Цены!$K$17,IF(AD8=Цены!$H$18,Цены!$K$18,IF(AD8=Цены!$H$19,Цены!$K$19,IF(AD8=Цены!$H$20,Цены!$K$20,IF(AD8=Цены!$H$21,Цены!$K$21,IF(AD8=Цены!$H$22,Цены!$K$22,IF(AD8=Цены!$H$23,Цены!$K$23,IF(AD8=Цены!$H$24,Цены!$K$24,IF(AD8=Цены!$H$25,Цены!$K$25,IF(AD8=Цены!$H$26,Цены!$K$26,IF(AD8=Цены!$H$27,Цены!$K$27,IF(AD8=Цены!$H$28,Цены!$K$28,IF(AD8=Цены!$H$29,Цены!$K$29,IF(AD8=Цены!$H$30,Цены!$K$30,IF(AD8=Цены!$H$31,Цены!$K$31,IF(AD8=Цены!$H$32,Цены!$K$32,IF(AD8=Цены!$H$33,Цены!$K$33,IF(AD8=Цены!$H$34,Цены!$K$34,IF(AD8=Цены!$H$35,Цены!$K$35,IF(AD8=Цены!$H$36,Цены!$K$36,IF(AD8=Цены!$H$37,Цены!$K$37,IF(AD8=Цены!$H$38,Цены!$K$38,IF(AD8=Цены!$H$39,Цены!$K$39,IF(AD8=Цены!$H$40,Цены!$K$40,IF(AD8=Цены!$H$41,Цены!$K$41,IF(AD8=Цены!$H$42,Цены!$K$42,IF(AD8=Цены!$H$43,Цены!$K$43,IF(AD8=Цены!$H$44,Цены!$K$44,IF(AD8=Цены!$H$45,Цены!$K$45,IF(AD8=Цены!$H$46,Цены!$K$46,IF(AD8=Цены!$H$47,Цены!$K$47,IF(AD8=Цены!$H$48,Цены!$K$48,IF(AD8=Цены!$H$49,Цены!$K$49,IF(AD8=Цены!$H$50,Цены!$K$50,IF(AD8=Цены!$H$51,Цены!$K$51,IF(AD8=Цены!$H$52,Цены!$K$52,IF(AD8=Цены!$H$53,Цены!$K$53,IF(AD8=Цены!$H$54,Цены!$K$54,IF(AD8=Цены!$H$55,Цены!$K$55))))))))))))))))))))))))))))))))))))))))))))))))))))))</f>
        <v>469</v>
      </c>
      <c r="AI8" s="265"/>
      <c r="AJ8" s="265"/>
      <c r="AK8" s="312"/>
      <c r="AL8" s="314"/>
      <c r="AM8" s="314"/>
      <c r="AN8" s="265"/>
      <c r="AO8" s="312"/>
      <c r="AP8" s="315"/>
      <c r="AQ8" s="125" t="s">
        <v>140</v>
      </c>
      <c r="AR8" s="79">
        <v>2</v>
      </c>
      <c r="AS8" s="80">
        <f>IF(AQ8=Цены!$H$3,Цены!$L$3,IF(AQ8=Цены!$H$4,Цены!$L$4,IF(AQ8=Цены!$H$5,Цены!$L$5,IF(AQ8=Цены!$H$6,Цены!$L$6,IF(AQ8=Цены!$H$7,Цены!$L$7,IF(AQ8=Цены!$H$8,Цены!$L$8,IF(AQ8=Цены!$H$9,Цены!$L$9,IF(AQ8=Цены!$H$10,Цены!$L$10,IF(AQ8=Цены!$H$11,Цены!$L$11,IF(AQ8=Цены!$H$12,Цены!$L$12,IF(AQ8=Цены!$H$13,Цены!$L$13,IF(AQ8=Цены!$H$14,Цены!$L$14,IF(AQ8=Цены!$H$14,Цены!$L$14,IF(AQ8=Цены!$H$15,Цены!$L$15,IF(AQ8=Цены!$H$16,Цены!$L$16,IF(AQ8=Цены!$H$17,Цены!$L$17,IF(AQ8=Цены!$H$18,Цены!$L$18,IF(AQ8=Цены!$H$19,Цены!$L$19,IF(AQ8=Цены!$H$20,Цены!$L$20,IF(AQ8=Цены!$H$21,Цены!$L$21,IF(AQ8=Цены!$H$22,Цены!$L$22,IF(AQ8=Цены!$H$23,Цены!$L$23,IF(AQ8=Цены!$H$24,Цены!$L$24,IF(AQ8=Цены!$H$25,Цены!$L$25,IF(AQ8=Цены!$H$26,Цены!$L$26,IF(AQ8=Цены!$H$27,Цены!$L$27,IF(AQ8=Цены!$H$28,Цены!$L$28,IF(AQ8=Цены!$H$29,Цены!$L$29,IF(AQ8=Цены!$H$30,Цены!$L$30,IF(AQ8=Цены!$H$31,Цены!$L$31,IF(AQ8=Цены!$H$32,Цены!$L$32,IF(AQ8=Цены!$H$33,Цены!$L$33,IF(AQ8=Цены!$H$34,Цены!$L$34,IF(AQ8=Цены!$H$35,Цены!$L$35,IF(AQ8=Цены!$H$36,Цены!$L$36,IF(AQ8=Цены!$H$37,Цены!$L$37,IF(AQ8=Цены!$H$38,Цены!$L$38,IF(AQ8=Цены!$H$39,Цены!$L$39,IF(AQ8=Цены!$H$40,Цены!$L$40,IF(AQ8=Цены!$H$41,Цены!$L$41,IF(AQ8=Цены!$H$42,Цены!$L$42,IF(AQ8=Цены!$H$43,Цены!$L$43,IF(AQ8=Цены!$H$44,Цены!$L$44,IF(AQ8=Цены!$H$45,Цены!$L$45,IF(AQ8=Цены!$H$46,Цены!$L$46,IF(AQ8=Цены!$H$47,Цены!$L$47,IF(AQ8=Цены!$H$48,Цены!$L$48,IF(AQ8=Цены!$H$49,Цены!$L$49,IF(AQ8=Цены!$H$50,Цены!$L$50,IF(AQ8=Цены!$H$51,Цены!$L$51,IF(AQ8=Цены!$H$52,Цены!$L$52,IF(AQ8=Цены!$H$53,Цены!$L$53,IF(AQ8=Цены!$H$54,Цены!$L$54,IF(AQ8=Цены!$H$55,Цены!$L$55))))))))))))))))))))))))))))))))))))))))))))))))))))))</f>
        <v>0.37</v>
      </c>
      <c r="AT8" s="271"/>
      <c r="AU8" s="81">
        <f>IF(AQ8=Цены!$H$3,Цены!$K$3,IF(AQ8=Цены!$H$4,Цены!$K$4,IF(AQ8=Цены!$H$5,Цены!$K$5,IF(AQ8=Цены!$H$6,Цены!$K$6,IF(AQ8=Цены!$H$7,Цены!$K$7,IF(AQ8=Цены!$H$8,Цены!$K$8,IF(AQ8=Цены!$H$9,Цены!$K$9,IF(AQ8=Цены!$H$10,Цены!$K$10,IF(AQ8=Цены!$H$11,Цены!$K$11,IF(AQ8=Цены!$H$12,Цены!$K$12,IF(AQ8=Цены!$H$13,Цены!$K$13,IF(AQ8=Цены!$H$14,Цены!$K$14,IF(AQ8=Цены!$H$14,Цены!$K$14,IF(AQ8=Цены!$H$15,Цены!$K$15,IF(AQ8=Цены!$H$16,Цены!$K$16,IF(AQ8=Цены!$H$17,Цены!$K$17,IF(AQ8=Цены!$H$18,Цены!$K$18,IF(AQ8=Цены!$H$19,Цены!$K$19,IF(AQ8=Цены!$H$20,Цены!$K$20,IF(AQ8=Цены!$H$21,Цены!$K$21,IF(AQ8=Цены!$H$22,Цены!$K$22,IF(AQ8=Цены!$H$23,Цены!$K$23,IF(AQ8=Цены!$H$24,Цены!$K$24,IF(AQ8=Цены!$H$25,Цены!$K$25,IF(AQ8=Цены!$H$26,Цены!$K$26,IF(AQ8=Цены!$H$27,Цены!$K$27,IF(AQ8=Цены!$H$28,Цены!$K$28,IF(AQ8=Цены!$H$29,Цены!$K$29,IF(AQ8=Цены!$H$30,Цены!$K$30,IF(AQ8=Цены!$H$31,Цены!$K$31,IF(AQ8=Цены!$H$32,Цены!$K$32,IF(AQ8=Цены!$H$33,Цены!$K$33,IF(AQ8=Цены!$H$34,Цены!$K$34,IF(AQ8=Цены!$H$35,Цены!$K$35,IF(AQ8=Цены!$H$36,Цены!$K$36,IF(AQ8=Цены!$H$37,Цены!$K$37,IF(AQ8=Цены!$H$38,Цены!$K$38,IF(AQ8=Цены!$H$39,Цены!$K$39,IF(AQ8=Цены!$H$40,Цены!$K$40,IF(AQ8=Цены!$H$41,Цены!$K$41,IF(AQ8=Цены!$H$42,Цены!$K$42,IF(AQ8=Цены!$H$43,Цены!$K$43,IF(AQ8=Цены!$H$44,Цены!$K$44,IF(AQ8=Цены!$H$45,Цены!$K$45,IF(AQ8=Цены!$H$46,Цены!$K$46,IF(AQ8=Цены!$H$47,Цены!$K$47,IF(AQ8=Цены!$H$48,Цены!$K$48,IF(AQ8=Цены!$H$49,Цены!$K$49,IF(AQ8=Цены!$H$50,Цены!$K$50,IF(AQ8=Цены!$H$51,Цены!$K$51,IF(AQ8=Цены!$H$52,Цены!$K$52,IF(AQ8=Цены!$H$53,Цены!$K$53,IF(AQ8=Цены!$H$54,Цены!$K$54,IF(AQ8=Цены!$H$55,Цены!$K$55))))))))))))))))))))))))))))))))))))))))))))))))))))))</f>
        <v>730</v>
      </c>
      <c r="AV8" s="265"/>
      <c r="AW8" s="265"/>
      <c r="AX8" s="274"/>
      <c r="AY8" s="304"/>
      <c r="AZ8" s="304"/>
      <c r="BA8" s="265"/>
      <c r="BB8" s="274"/>
      <c r="BC8" s="305"/>
      <c r="BD8" s="244"/>
      <c r="BE8" s="116" t="s">
        <v>96</v>
      </c>
      <c r="BF8" s="102">
        <v>2</v>
      </c>
      <c r="BG8" s="103">
        <f>IF(BE8=Цены!$H$3,Цены!$L$3,IF(BE8=Цены!$H$4,Цены!$L$4,IF(BE8=Цены!$H$5,Цены!$L$5,IF(BE8=Цены!$H$6,Цены!$L$6,IF(BE8=Цены!$H$7,Цены!$L$7,IF(BE8=Цены!$H$8,Цены!$L$8,IF(BE8=Цены!$H$9,Цены!$L$9,IF(BE8=Цены!$H$10,Цены!$L$10,IF(BE8=Цены!$H$11,Цены!$L$11,IF(BE8=Цены!$H$12,Цены!$L$12,IF(BE8=Цены!$H$13,Цены!$L$13,IF(BE8=Цены!$H$14,Цены!$L$14,IF(BE8=Цены!$H$14,Цены!$L$14,IF(BE8=Цены!$H$15,Цены!$L$15,IF(BE8=Цены!$H$16,Цены!$L$16,IF(BE8=Цены!$H$17,Цены!$L$17,IF(BE8=Цены!$H$18,Цены!$L$18,IF(BE8=Цены!$H$19,Цены!$L$19,IF(BE8=Цены!$H$20,Цены!$L$20,IF(BE8=Цены!$H$21,Цены!$L$21,IF(BE8=Цены!$H$22,Цены!$L$22,IF(BE8=Цены!$H$23,Цены!$L$23,IF(BE8=Цены!$H$24,Цены!$L$24,IF(BE8=Цены!$H$25,Цены!$L$25,IF(BE8=Цены!$H$26,Цены!$L$26,IF(BE8=Цены!$H$27,Цены!$L$27,IF(BE8=Цены!$H$28,Цены!$L$28,IF(BE8=Цены!$H$29,Цены!$L$29,IF(BE8=Цены!$H$30,Цены!$L$30,IF(BE8=Цены!$H$31,Цены!$L$31,IF(BE8=Цены!$H$32,Цены!$L$32,IF(BE8=Цены!$H$33,Цены!$L$33,IF(BE8=Цены!$H$34,Цены!$L$34,IF(BE8=Цены!$H$35,Цены!$L$35,IF(BE8=Цены!$H$36,Цены!$L$36,IF(BE8=Цены!$H$37,Цены!$L$37,IF(BE8=Цены!$H$38,Цены!$L$38,IF(BE8=Цены!$H$39,Цены!$L$39,IF(BE8=Цены!$H$40,Цены!$L$40,IF(BE8=Цены!$H$41,Цены!$L$41,IF(BE8=Цены!$H$42,Цены!$L$42,IF(BE8=Цены!$H$43,Цены!$L$43,IF(BE8=Цены!$H$44,Цены!$L$44,IF(BE8=Цены!$H$45,Цены!$L$45,IF(BE8=Цены!$H$46,Цены!$L$46,IF(BE8=Цены!$H$47,Цены!$L$47,IF(BE8=Цены!$H$48,Цены!$L$48,IF(BE8=Цены!$H$49,Цены!$L$49,IF(BE8=Цены!$H$50,Цены!$L$50,IF(BE8=Цены!$H$51,Цены!$L$51,IF(BE8=Цены!$H$52,Цены!$L$52,IF(BE8=Цены!$H$53,Цены!$L$53,IF(BE8=Цены!$H$54,Цены!$L$54,IF(BE8=Цены!$H$55,Цены!$L$55))))))))))))))))))))))))))))))))))))))))))))))))))))))</f>
        <v>0.78</v>
      </c>
      <c r="BH8" s="280"/>
      <c r="BI8" s="104">
        <f>IF(BE8=Цены!$H$3,Цены!$K$3,IF(BE8=Цены!$H$4,Цены!$K$4,IF(BE8=Цены!$H$5,Цены!$K$5,IF(BE8=Цены!$H$6,Цены!$K$6,IF(BE8=Цены!$H$7,Цены!$K$7,IF(BE8=Цены!$H$8,Цены!$K$8,IF(BE8=Цены!$H$9,Цены!$K$9,IF(BE8=Цены!$H$10,Цены!$K$10,IF(BE8=Цены!$H$11,Цены!$K$11,IF(BE8=Цены!$H$12,Цены!$K$12,IF(BE8=Цены!$H$13,Цены!$K$13,IF(BE8=Цены!$H$14,Цены!$K$14,IF(BE8=Цены!$H$14,Цены!$K$14,IF(BE8=Цены!$H$15,Цены!$K$15,IF(BE8=Цены!$H$16,Цены!$K$16,IF(BE8=Цены!$H$17,Цены!$K$17,IF(BE8=Цены!$H$18,Цены!$K$18,IF(BE8=Цены!$H$19,Цены!$K$19,IF(BE8=Цены!$H$20,Цены!$K$20,IF(BE8=Цены!$H$21,Цены!$K$21,IF(BE8=Цены!$H$22,Цены!$K$22,IF(BE8=Цены!$H$23,Цены!$K$23,IF(BE8=Цены!$H$24,Цены!$K$24,IF(BE8=Цены!$H$25,Цены!$K$25,IF(BE8=Цены!$H$26,Цены!$K$26,IF(BE8=Цены!$H$27,Цены!$K$27,IF(BE8=Цены!$H$28,Цены!$K$28,IF(BE8=Цены!$H$29,Цены!$K$29,IF(BE8=Цены!$H$30,Цены!$K$30,IF(BE8=Цены!$H$31,Цены!$K$31,IF(BE8=Цены!$H$32,Цены!$K$32,IF(BE8=Цены!$H$33,Цены!$K$33,IF(BE8=Цены!$H$34,Цены!$K$34,IF(BE8=Цены!$H$35,Цены!$K$35,IF(BE8=Цены!$H$36,Цены!$K$36,IF(BE8=Цены!$H$37,Цены!$K$37,IF(BE8=Цены!$H$38,Цены!$K$38,IF(BE8=Цены!$H$39,Цены!$K$39,IF(BE8=Цены!$H$40,Цены!$K$40,IF(BE8=Цены!$H$41,Цены!$K$41,IF(BE8=Цены!$H$42,Цены!$K$42,IF(BE8=Цены!$H$43,Цены!$K$43,IF(BE8=Цены!$H$44,Цены!$K$44,IF(BE8=Цены!$H$45,Цены!$K$45,IF(BE8=Цены!$H$46,Цены!$K$46,IF(BE8=Цены!$H$47,Цены!$K$47,IF(BE8=Цены!$H$48,Цены!$K$48,IF(BE8=Цены!$H$49,Цены!$K$49,IF(BE8=Цены!$H$50,Цены!$K$50,IF(BE8=Цены!$H$51,Цены!$K$51,IF(BE8=Цены!$H$52,Цены!$K$52,IF(BE8=Цены!$H$53,Цены!$K$53,IF(BE8=Цены!$H$54,Цены!$K$54,IF(BE8=Цены!$H$55,Цены!$K$55))))))))))))))))))))))))))))))))))))))))))))))))))))))</f>
        <v>447</v>
      </c>
      <c r="BJ8" s="265"/>
      <c r="BK8" s="265"/>
      <c r="BL8" s="281"/>
      <c r="BM8" s="292"/>
      <c r="BN8" s="292"/>
      <c r="BO8" s="265"/>
      <c r="BP8" s="281"/>
      <c r="BQ8" s="293"/>
      <c r="BR8" s="133" t="s">
        <v>96</v>
      </c>
      <c r="BS8" s="108">
        <v>2</v>
      </c>
      <c r="BT8" s="109">
        <f>IF(BR8=Цены!$H$3,Цены!$L$3,IF(BR8=Цены!$H$4,Цены!$L$4,IF(BR8=Цены!$H$5,Цены!$L$5,IF(BR8=Цены!$H$6,Цены!$L$6,IF(BR8=Цены!$H$7,Цены!$L$7,IF(BR8=Цены!$H$8,Цены!$L$8,IF(BR8=Цены!$H$9,Цены!$L$9,IF(BR8=Цены!$H$10,Цены!$L$10,IF(BR8=Цены!$H$11,Цены!$L$11,IF(BR8=Цены!$H$12,Цены!$L$12,IF(BR8=Цены!$H$13,Цены!$L$13,IF(BR8=Цены!$H$14,Цены!$L$14,IF(BR8=Цены!$H$14,Цены!$L$14,IF(BR8=Цены!$H$15,Цены!$L$15,IF(BR8=Цены!$H$16,Цены!$L$16,IF(BR8=Цены!$H$17,Цены!$L$17,IF(BR8=Цены!$H$18,Цены!$L$18,IF(BR8=Цены!$H$19,Цены!$L$19,IF(BR8=Цены!$H$20,Цены!$L$20,IF(BR8=Цены!$H$21,Цены!$L$21,IF(BR8=Цены!$H$22,Цены!$L$22,IF(BR8=Цены!$H$23,Цены!$L$23,IF(BR8=Цены!$H$24,Цены!$L$24,IF(BR8=Цены!$H$25,Цены!$L$25,IF(BR8=Цены!$H$26,Цены!$L$26,IF(BR8=Цены!$H$27,Цены!$L$27,IF(BR8=Цены!$H$28,Цены!$L$28,IF(BR8=Цены!$H$29,Цены!$L$29,IF(BR8=Цены!$H$30,Цены!$L$30,IF(BR8=Цены!$H$31,Цены!$L$31,IF(BR8=Цены!$H$32,Цены!$L$32,IF(BR8=Цены!$H$33,Цены!$L$33,IF(BR8=Цены!$H$34,Цены!$L$34,IF(BR8=Цены!$H$35,Цены!$L$35,IF(BR8=Цены!$H$36,Цены!$L$36,IF(BR8=Цены!$H$37,Цены!$L$37,IF(BR8=Цены!$H$38,Цены!$L$38,IF(BR8=Цены!$H$39,Цены!$L$39,IF(BR8=Цены!$H$40,Цены!$L$40,IF(BR8=Цены!$H$41,Цены!$L$41,IF(BR8=Цены!$H$42,Цены!$L$42,IF(BR8=Цены!$H$43,Цены!$L$43,IF(BR8=Цены!$H$44,Цены!$L$44,IF(BR8=Цены!$H$45,Цены!$L$45,IF(BR8=Цены!$H$46,Цены!$L$46,IF(BR8=Цены!$H$47,Цены!$L$47,IF(BR8=Цены!$H$48,Цены!$L$48,IF(BR8=Цены!$H$49,Цены!$L$49,IF(BR8=Цены!$H$50,Цены!$L$50,IF(BR8=Цены!$H$51,Цены!$L$51,IF(BR8=Цены!$H$52,Цены!$L$52,IF(BR8=Цены!$H$53,Цены!$L$53,IF(BR8=Цены!$H$54,Цены!$L$54,IF(BR8=Цены!$H$55,Цены!$L$55))))))))))))))))))))))))))))))))))))))))))))))))))))))</f>
        <v>0.78</v>
      </c>
      <c r="BU8" s="284"/>
      <c r="BV8" s="110">
        <f>IF(BR8=Цены!$H$3,Цены!$K$3,IF(BR8=Цены!$H$4,Цены!$K$4,IF(BR8=Цены!$H$5,Цены!$K$5,IF(BR8=Цены!$H$6,Цены!$K$6,IF(BR8=Цены!$H$7,Цены!$K$7,IF(BR8=Цены!$H$8,Цены!$K$8,IF(BR8=Цены!$H$9,Цены!$K$9,IF(BR8=Цены!$H$10,Цены!$K$10,IF(BR8=Цены!$H$11,Цены!$K$11,IF(BR8=Цены!$H$12,Цены!$K$12,IF(BR8=Цены!$H$13,Цены!$K$13,IF(BR8=Цены!$H$14,Цены!$K$14,IF(BR8=Цены!$H$14,Цены!$K$14,IF(BR8=Цены!$H$15,Цены!$K$15,IF(BR8=Цены!$H$16,Цены!$K$16,IF(BR8=Цены!$H$17,Цены!$K$17,IF(BR8=Цены!$H$18,Цены!$K$18,IF(BR8=Цены!$H$19,Цены!$K$19,IF(BR8=Цены!$H$20,Цены!$K$20,IF(BR8=Цены!$H$21,Цены!$K$21,IF(BR8=Цены!$H$22,Цены!$K$22,IF(BR8=Цены!$H$23,Цены!$K$23,IF(BR8=Цены!$H$24,Цены!$K$24,IF(BR8=Цены!$H$25,Цены!$K$25,IF(BR8=Цены!$H$26,Цены!$K$26,IF(BR8=Цены!$H$27,Цены!$K$27,IF(BR8=Цены!$H$28,Цены!$K$28,IF(BR8=Цены!$H$29,Цены!$K$29,IF(BR8=Цены!$H$30,Цены!$K$30,IF(BR8=Цены!$H$31,Цены!$K$31,IF(BR8=Цены!$H$32,Цены!$K$32,IF(BR8=Цены!$H$33,Цены!$K$33,IF(BR8=Цены!$H$34,Цены!$K$34,IF(BR8=Цены!$H$35,Цены!$K$35,IF(BR8=Цены!$H$36,Цены!$K$36,IF(BR8=Цены!$H$37,Цены!$K$37,IF(BR8=Цены!$H$38,Цены!$K$38,IF(BR8=Цены!$H$39,Цены!$K$39,IF(BR8=Цены!$H$40,Цены!$K$40,IF(BR8=Цены!$H$41,Цены!$K$41,IF(BR8=Цены!$H$42,Цены!$K$42,IF(BR8=Цены!$H$43,Цены!$K$43,IF(BR8=Цены!$H$44,Цены!$K$44,IF(BR8=Цены!$H$45,Цены!$K$45,IF(BR8=Цены!$H$46,Цены!$K$46,IF(BR8=Цены!$H$47,Цены!$K$47,IF(BR8=Цены!$H$48,Цены!$K$48,IF(BR8=Цены!$H$49,Цены!$K$49,IF(BR8=Цены!$H$50,Цены!$K$50,IF(BR8=Цены!$H$51,Цены!$K$51,IF(BR8=Цены!$H$52,Цены!$K$52,IF(BR8=Цены!$H$53,Цены!$K$53,IF(BR8=Цены!$H$54,Цены!$K$54,IF(BR8=Цены!$H$55,Цены!$K$55))))))))))))))))))))))))))))))))))))))))))))))))))))))</f>
        <v>447</v>
      </c>
      <c r="BW8" s="265"/>
      <c r="BX8" s="265"/>
      <c r="BY8" s="285"/>
      <c r="BZ8" s="290"/>
      <c r="CA8" s="290"/>
      <c r="CB8" s="265"/>
      <c r="CC8" s="285"/>
      <c r="CD8" s="291"/>
      <c r="CE8" s="126" t="s">
        <v>145</v>
      </c>
      <c r="CF8" s="112">
        <v>2</v>
      </c>
      <c r="CG8" s="113">
        <f>IF(CE8=Цены!$H$3,Цены!$L$3,IF(CE8=Цены!$H$4,Цены!$L$4,IF(CE8=Цены!$H$5,Цены!$L$5,IF(CE8=Цены!$H$6,Цены!$L$6,IF(CE8=Цены!$H$7,Цены!$L$7,IF(CE8=Цены!$H$8,Цены!$L$8,IF(CE8=Цены!$H$9,Цены!$L$9,IF(CE8=Цены!$H$10,Цены!$L$10,IF(CE8=Цены!$H$11,Цены!$L$11,IF(CE8=Цены!$H$12,Цены!$L$12,IF(CE8=Цены!$H$13,Цены!$L$13,IF(CE8=Цены!$H$14,Цены!$L$14,IF(CE8=Цены!$H$14,Цены!$L$14,IF(CE8=Цены!$H$15,Цены!$L$15,IF(CE8=Цены!$H$16,Цены!$L$16,IF(CE8=Цены!$H$17,Цены!$L$17,IF(CE8=Цены!$H$18,Цены!$L$18,IF(CE8=Цены!$H$19,Цены!$L$19,IF(CE8=Цены!$H$20,Цены!$L$20,IF(CE8=Цены!$H$21,Цены!$L$21,IF(CE8=Цены!$H$22,Цены!$L$22,IF(CE8=Цены!$H$23,Цены!$L$23,IF(CE8=Цены!$H$24,Цены!$L$24,IF(CE8=Цены!$H$25,Цены!$L$25,IF(CE8=Цены!$H$26,Цены!$L$26,IF(CE8=Цены!$H$27,Цены!$L$27,IF(CE8=Цены!$H$28,Цены!$L$28,IF(CE8=Цены!$H$29,Цены!$L$29,IF(CE8=Цены!$H$30,Цены!$L$30,IF(CE8=Цены!$H$31,Цены!$L$31,IF(CE8=Цены!$H$32,Цены!$L$32,IF(CE8=Цены!$H$33,Цены!$L$33,IF(CE8=Цены!$H$34,Цены!$L$34,IF(CE8=Цены!$H$35,Цены!$L$35,IF(CE8=Цены!$H$36,Цены!$L$36,IF(CE8=Цены!$H$37,Цены!$L$37,IF(CE8=Цены!$H$38,Цены!$L$38,IF(CE8=Цены!$H$39,Цены!$L$39,IF(CE8=Цены!$H$40,Цены!$L$40,IF(CE8=Цены!$H$41,Цены!$L$41,IF(CE8=Цены!$H$42,Цены!$L$42,IF(CE8=Цены!$H$43,Цены!$L$43,IF(CE8=Цены!$H$44,Цены!$L$44,IF(CE8=Цены!$H$45,Цены!$L$45,IF(CE8=Цены!$H$46,Цены!$L$46,IF(CE8=Цены!$H$47,Цены!$L$47,IF(CE8=Цены!$H$48,Цены!$L$48,IF(CE8=Цены!$H$49,Цены!$L$49,IF(CE8=Цены!$H$50,Цены!$L$50,IF(CE8=Цены!$H$51,Цены!$L$51,IF(CE8=Цены!$H$52,Цены!$L$52,IF(CE8=Цены!$H$53,Цены!$L$53,IF(CE8=Цены!$H$54,Цены!$L$54,IF(CE8=Цены!$H$55,Цены!$L$55))))))))))))))))))))))))))))))))))))))))))))))))))))))</f>
        <v>1.2</v>
      </c>
      <c r="CH8" s="282"/>
      <c r="CI8" s="114">
        <f>IF(CE8=Цены!$H$3,Цены!$K$3,IF(CE8=Цены!$H$4,Цены!$K$4,IF(CE8=Цены!$H$5,Цены!$K$5,IF(CE8=Цены!$H$6,Цены!$K$6,IF(CE8=Цены!$H$7,Цены!$K$7,IF(CE8=Цены!$H$8,Цены!$K$8,IF(CE8=Цены!$H$9,Цены!$K$9,IF(CE8=Цены!$H$10,Цены!$K$10,IF(CE8=Цены!$H$11,Цены!$K$11,IF(CE8=Цены!$H$12,Цены!$K$12,IF(CE8=Цены!$H$13,Цены!$K$13,IF(CE8=Цены!$H$14,Цены!$K$14,IF(CE8=Цены!$H$14,Цены!$K$14,IF(CE8=Цены!$H$15,Цены!$K$15,IF(CE8=Цены!$H$16,Цены!$K$16,IF(CE8=Цены!$H$17,Цены!$K$17,IF(CE8=Цены!$H$18,Цены!$K$18,IF(CE8=Цены!$H$19,Цены!$K$19,IF(CE8=Цены!$H$20,Цены!$K$20,IF(CE8=Цены!$H$21,Цены!$K$21,IF(CE8=Цены!$H$22,Цены!$K$22,IF(CE8=Цены!$H$23,Цены!$K$23,IF(CE8=Цены!$H$24,Цены!$K$24,IF(CE8=Цены!$H$25,Цены!$K$25,IF(CE8=Цены!$H$26,Цены!$K$26,IF(CE8=Цены!$H$27,Цены!$K$27,IF(CE8=Цены!$H$28,Цены!$K$28,IF(CE8=Цены!$H$29,Цены!$K$29,IF(CE8=Цены!$H$30,Цены!$K$30,IF(CE8=Цены!$H$31,Цены!$K$31,IF(CE8=Цены!$H$32,Цены!$K$32,IF(CE8=Цены!$H$33,Цены!$K$33,IF(CE8=Цены!$H$34,Цены!$K$34,IF(CE8=Цены!$H$35,Цены!$K$35,IF(CE8=Цены!$H$36,Цены!$K$36,IF(CE8=Цены!$H$37,Цены!$K$37,IF(CE8=Цены!$H$38,Цены!$K$38,IF(CE8=Цены!$H$39,Цены!$K$39,IF(CE8=Цены!$H$40,Цены!$K$40,IF(CE8=Цены!$H$41,Цены!$K$41,IF(CE8=Цены!$H$42,Цены!$K$42,IF(CE8=Цены!$H$43,Цены!$K$43,IF(CE8=Цены!$H$44,Цены!$K$44,IF(CE8=Цены!$H$45,Цены!$K$45,IF(CE8=Цены!$H$46,Цены!$K$46,IF(CE8=Цены!$H$47,Цены!$K$47,IF(CE8=Цены!$H$48,Цены!$K$48,IF(CE8=Цены!$H$49,Цены!$K$49,IF(CE8=Цены!$H$50,Цены!$K$50,IF(CE8=Цены!$H$51,Цены!$K$51,IF(CE8=Цены!$H$52,Цены!$K$52,IF(CE8=Цены!$H$53,Цены!$K$53,IF(CE8=Цены!$H$54,Цены!$K$54,IF(CE8=Цены!$H$55,Цены!$K$55))))))))))))))))))))))))))))))))))))))))))))))))))))))</f>
        <v>378</v>
      </c>
      <c r="CJ8" s="265"/>
      <c r="CK8" s="265"/>
      <c r="CL8" s="283"/>
      <c r="CM8" s="288"/>
      <c r="CN8" s="288"/>
      <c r="CO8" s="265"/>
      <c r="CP8" s="283"/>
      <c r="CQ8" s="289"/>
    </row>
    <row r="9" spans="1:95" s="40" customFormat="1" ht="15.75" hidden="1" x14ac:dyDescent="0.25">
      <c r="A9" s="341"/>
      <c r="B9" s="265"/>
      <c r="C9" s="336"/>
      <c r="D9" s="48" t="s">
        <v>125</v>
      </c>
      <c r="E9" s="45">
        <v>4</v>
      </c>
      <c r="F9" s="46">
        <f>IF(D9=Цены!$H$3,Цены!$L$3,IF(D9=Цены!$H$4,Цены!$L$4,IF(D9=Цены!$H$5,Цены!$L$5,IF(D9=Цены!$H$6,Цены!$L$6,IF(D9=Цены!$H$7,Цены!$L$7,IF(D9=Цены!$H$8,Цены!$L$8,IF(D9=Цены!$H$9,Цены!$L$9,IF(D9=Цены!$H$10,Цены!$L$10,IF(D9=Цены!$H$11,Цены!$L$11,IF(D9=Цены!$H$12,Цены!$L$12,IF(D9=Цены!$H$13,Цены!$L$13,IF(D9=Цены!$H$14,Цены!$L$14,IF(D9=Цены!$H$14,Цены!$L$14,IF(D9=Цены!$H$15,Цены!$L$15,IF(D9=Цены!$H$16,Цены!$L$16,IF(D9=Цены!$H$17,Цены!$L$17,IF(D9=Цены!$H$18,Цены!$L$18,IF(D9=Цены!$H$19,Цены!$L$19,IF(D9=Цены!$H$20,Цены!$L$20,IF(D9=Цены!$H$21,Цены!$L$21,IF(D9=Цены!$H$22,Цены!$L$22,IF(D9=Цены!$H$23,Цены!$L$23,IF(D9=Цены!$H$24,Цены!$L$24,IF(D9=Цены!$H$25,Цены!$L$25,IF(D9=Цены!$H$26,Цены!$L$26,IF(D9=Цены!$H$27,Цены!$L$27,IF(D9=Цены!$H$28,Цены!$L$28,IF(D9=Цены!$H$29,Цены!$L$29,IF(D9=Цены!$H$30,Цены!$L$30,IF(D9=Цены!$H$31,Цены!$L$31,IF(D9=Цены!$H$32,Цены!$L$32,IF(D9=Цены!$H$33,Цены!$L$33,IF(D9=Цены!$H$34,Цены!$L$34,IF(D9=Цены!$H$35,Цены!$L$35,IF(D9=Цены!$H$36,Цены!$L$36,IF(D9=Цены!$H$37,Цены!$L$37,IF(D9=Цены!$H$38,Цены!$L$38,IF(D9=Цены!$H$39,Цены!$L$39,IF(D9=Цены!$H$40,Цены!$L$40,IF(D9=Цены!$H$41,Цены!$L$41,IF(D9=Цены!$H$42,Цены!$L$42,IF(D9=Цены!$H$43,Цены!$L$43,IF(D9=Цены!$H$44,Цены!$L$44,IF(D9=Цены!$H$45,Цены!$L$45,IF(D9=Цены!$H$46,Цены!$L$46,IF(D9=Цены!$H$47,Цены!$L$47,IF(D9=Цены!$H$48,Цены!$L$48,IF(D9=Цены!$H$49,Цены!$L$49,IF(D9=Цены!$H$50,Цены!$L$50,IF(D9=Цены!$H$51,Цены!$L$51,IF(D9=Цены!$H$52,Цены!$L$52,IF(D9=Цены!$H$53,Цены!$L$53,IF(D9=Цены!$H$54,Цены!$L$54,IF(D9=Цены!$H$55,Цены!$L$55))))))))))))))))))))))))))))))))))))))))))))))))))))))</f>
        <v>0.39</v>
      </c>
      <c r="G9" s="339"/>
      <c r="H9" s="47">
        <f>IF(D9=Цены!$H$3,Цены!$K$3,IF(D9=Цены!$H$4,Цены!$K$4,IF(D9=Цены!$H$5,Цены!$K$5,IF(D9=Цены!$H$6,Цены!$K$6,IF(D9=Цены!$H$7,Цены!$K$7,IF(D9=Цены!$H$8,Цены!$K$8,IF(D9=Цены!$H$9,Цены!$K$9,IF(D9=Цены!$H$10,Цены!$K$10,IF(D9=Цены!$H$11,Цены!$K$11,IF(D9=Цены!$H$12,Цены!$K$12,IF(D9=Цены!$H$13,Цены!$K$13,IF(D9=Цены!$H$14,Цены!$K$14,IF(D9=Цены!$H$14,Цены!$K$14,IF(D9=Цены!$H$15,Цены!$K$15,IF(D9=Цены!$H$16,Цены!$K$16,IF(D9=Цены!$H$17,Цены!$K$17,IF(D9=Цены!$H$18,Цены!$K$18,IF(D9=Цены!$H$19,Цены!$K$19,IF(D9=Цены!$H$20,Цены!$K$20,IF(D9=Цены!$H$21,Цены!$K$21,IF(D9=Цены!$H$22,Цены!$K$22,IF(D9=Цены!$H$23,Цены!$K$23,IF(D9=Цены!$H$24,Цены!$K$24,IF(D9=Цены!$H$25,Цены!$K$25,IF(D9=Цены!$H$26,Цены!$K$26,IF(D9=Цены!$H$27,Цены!$K$27,IF(D9=Цены!$H$28,Цены!$K$28,IF(D9=Цены!$H$29,Цены!$K$29,IF(D9=Цены!$H$30,Цены!$K$30,IF(D9=Цены!$H$31,Цены!$K$31,IF(D9=Цены!$H$32,Цены!$K$32,IF(D9=Цены!$H$33,Цены!$K$33,IF(D9=Цены!$H$34,Цены!$K$34,IF(D9=Цены!$H$35,Цены!$K$35,IF(D9=Цены!$H$36,Цены!$K$36,IF(D9=Цены!$H$37,Цены!$K$37,IF(D9=Цены!$H$38,Цены!$K$38,IF(D9=Цены!$H$39,Цены!$K$39,IF(D9=Цены!$H$40,Цены!$K$40,IF(D9=Цены!$H$41,Цены!$K$41,IF(D9=Цены!$H$42,Цены!$K$42,IF(D9=Цены!$H$43,Цены!$K$43,IF(D9=Цены!$H$44,Цены!$K$44,IF(D9=Цены!$H$45,Цены!$K$45,IF(D9=Цены!$H$46,Цены!$K$46,IF(D9=Цены!$H$47,Цены!$K$47,IF(D9=Цены!$H$48,Цены!$K$48,IF(D9=Цены!$H$49,Цены!$K$49,IF(D9=Цены!$H$50,Цены!$K$50,IF(D9=Цены!$H$51,Цены!$K$51,IF(D9=Цены!$H$52,Цены!$K$52,IF(D9=Цены!$H$53,Цены!$K$53,IF(D9=Цены!$H$54,Цены!$K$54,IF(D9=Цены!$H$55,Цены!$K$55))))))))))))))))))))))))))))))))))))))))))))))))))))))</f>
        <v>822</v>
      </c>
      <c r="I9" s="265"/>
      <c r="J9" s="265"/>
      <c r="K9" s="332"/>
      <c r="L9" s="334"/>
      <c r="M9" s="334"/>
      <c r="N9" s="265"/>
      <c r="O9" s="332"/>
      <c r="P9" s="331"/>
      <c r="Q9" s="41"/>
      <c r="R9" s="37"/>
      <c r="S9" s="38" t="b">
        <f>IF(Q9=Цены!$H$3,Цены!$L$3,IF(Q9=Цены!$H$4,Цены!$L$4,IF(Q9=Цены!$H$5,Цены!$L$5,IF(Q9=Цены!$H$6,Цены!$L$6,IF(Q9=Цены!$H$7,Цены!$L$7,IF(Q9=Цены!$H$8,Цены!$L$8,IF(Q9=Цены!$H$9,Цены!$L$9,IF(Q9=Цены!$H$10,Цены!$L$10,IF(Q9=Цены!$H$11,Цены!$L$11,IF(Q9=Цены!$H$12,Цены!$L$12,IF(Q9=Цены!$H$13,Цены!$L$13,IF(Q9=Цены!$H$14,Цены!$L$14,IF(Q9=Цены!$H$14,Цены!$L$14,IF(Q9=Цены!$H$15,Цены!$L$15,IF(Q9=Цены!$H$16,Цены!$L$16,IF(Q9=Цены!$H$17,Цены!$L$17,IF(Q9=Цены!$H$18,Цены!$L$18,IF(Q9=Цены!$H$19,Цены!$L$19,IF(Q9=Цены!$H$20,Цены!$L$20,IF(Q9=Цены!$H$21,Цены!$L$21,IF(Q9=Цены!$H$22,Цены!$L$22,IF(Q9=Цены!$H$23,Цены!$L$23,IF(Q9=Цены!$H$24,Цены!$L$24,IF(Q9=Цены!$H$25,Цены!$L$25,IF(Q9=Цены!$H$26,Цены!$L$26,IF(Q9=Цены!$H$27,Цены!$L$27,IF(Q9=Цены!$H$28,Цены!$L$28,IF(Q9=Цены!$H$29,Цены!$L$29,IF(Q9=Цены!$H$30,Цены!$L$30,IF(Q9=Цены!$H$31,Цены!$L$31,IF(Q9=Цены!$H$32,Цены!$L$32,IF(Q9=Цены!$H$33,Цены!$L$33,IF(Q9=Цены!$H$34,Цены!$L$34,IF(Q9=Цены!$H$35,Цены!$L$35,IF(Q9=Цены!$H$36,Цены!$L$36,IF(Q9=Цены!$H$37,Цены!$L$37,IF(Q9=Цены!$H$38,Цены!$L$38,IF(Q9=Цены!$H$39,Цены!$L$39,IF(Q9=Цены!$H$40,Цены!$L$40,IF(Q9=Цены!$H$41,Цены!$L$41,IF(Q9=Цены!$H$42,Цены!$L$42,IF(Q9=Цены!$H$43,Цены!$L$43,IF(Q9=Цены!$H$44,Цены!$L$44,IF(Q9=Цены!$H$45,Цены!$L$45,IF(Q9=Цены!$H$46,Цены!$L$46,IF(Q9=Цены!$H$47,Цены!$L$47,IF(Q9=Цены!$H$48,Цены!$L$48,IF(Q9=Цены!$H$49,Цены!$L$49,IF(Q9=Цены!$H$50,Цены!$L$50,IF(Q9=Цены!$H$51,Цены!$L$51,IF(Q9=Цены!$H$52,Цены!$L$52,IF(Q9=Цены!$H$53,Цены!$L$53,IF(Q9=Цены!$H$54,Цены!$L$54,IF(Q9=Цены!$H$55,Цены!$L$55))))))))))))))))))))))))))))))))))))))))))))))))))))))</f>
        <v>0</v>
      </c>
      <c r="T9" s="322"/>
      <c r="U9" s="161" t="b">
        <f>IF(Q9=Цены!$H$3,Цены!$K$3,IF(Q9=Цены!$H$4,Цены!$K$4,IF(Q9=Цены!$H$5,Цены!$K$5,IF(Q9=Цены!$H$6,Цены!$K$6,IF(Q9=Цены!$H$7,Цены!$K$7,IF(Q9=Цены!$H$8,Цены!$K$8,IF(Q9=Цены!$H$9,Цены!$K$9,IF(Q9=Цены!$H$10,Цены!$K$10,IF(Q9=Цены!$H$11,Цены!$K$11,IF(Q9=Цены!$H$12,Цены!$K$12,IF(Q9=Цены!$H$13,Цены!$K$13,IF(Q9=Цены!$H$14,Цены!$K$14,IF(Q9=Цены!$H$14,Цены!$K$14,IF(Q9=Цены!$H$15,Цены!$K$15,IF(Q9=Цены!$H$16,Цены!$K$16,IF(Q9=Цены!$H$17,Цены!$K$17,IF(Q9=Цены!$H$18,Цены!$K$18,IF(Q9=Цены!$H$19,Цены!$K$19,IF(Q9=Цены!$H$20,Цены!$K$20,IF(Q9=Цены!$H$21,Цены!$K$21,IF(Q9=Цены!$H$22,Цены!$K$22,IF(Q9=Цены!$H$23,Цены!$K$23,IF(Q9=Цены!$H$24,Цены!$K$24,IF(Q9=Цены!$H$25,Цены!$K$25,IF(Q9=Цены!$H$26,Цены!$K$26,IF(Q9=Цены!$H$27,Цены!$K$27,IF(Q9=Цены!$H$28,Цены!$K$28,IF(Q9=Цены!$H$29,Цены!$K$29,IF(Q9=Цены!$H$30,Цены!$K$30,IF(Q9=Цены!$H$31,Цены!$K$31,IF(Q9=Цены!$H$32,Цены!$K$32,IF(Q9=Цены!$H$33,Цены!$K$33,IF(Q9=Цены!$H$34,Цены!$K$34,IF(Q9=Цены!$H$35,Цены!$K$35,IF(Q9=Цены!$H$36,Цены!$K$36,IF(Q9=Цены!$H$37,Цены!$K$37,IF(Q9=Цены!$H$38,Цены!$K$38,IF(Q9=Цены!$H$39,Цены!$K$39,IF(Q9=Цены!$H$40,Цены!$K$40,IF(Q9=Цены!$H$41,Цены!$K$41,IF(Q9=Цены!$H$42,Цены!$K$42,IF(Q9=Цены!$H$43,Цены!$K$43,IF(Q9=Цены!$H$44,Цены!$K$44,IF(Q9=Цены!$H$45,Цены!$K$45,IF(Q9=Цены!$H$46,Цены!$K$46,IF(Q9=Цены!$H$47,Цены!$K$47,IF(Q9=Цены!$H$48,Цены!$K$48,IF(Q9=Цены!$H$49,Цены!$K$49,IF(Q9=Цены!$H$50,Цены!$K$50,IF(Q9=Цены!$H$51,Цены!$K$51,IF(Q9=Цены!$H$52,Цены!$K$52,IF(Q9=Цены!$H$53,Цены!$K$53,IF(Q9=Цены!$H$54,Цены!$K$54,IF(Q9=Цены!$H$55,Цены!$K$55))))))))))))))))))))))))))))))))))))))))))))))))))))))</f>
        <v>0</v>
      </c>
      <c r="V9" s="265"/>
      <c r="W9" s="265"/>
      <c r="X9" s="323"/>
      <c r="Y9" s="324"/>
      <c r="Z9" s="324"/>
      <c r="AA9" s="265"/>
      <c r="AB9" s="323"/>
      <c r="AC9" s="325"/>
      <c r="AD9" s="70" t="s">
        <v>95</v>
      </c>
      <c r="AE9" s="67">
        <v>4</v>
      </c>
      <c r="AF9" s="68">
        <f>IF(AD9=Цены!$H$3,Цены!$L$3,IF(AD9=Цены!$H$4,Цены!$L$4,IF(AD9=Цены!$H$5,Цены!$L$5,IF(AD9=Цены!$H$6,Цены!$L$6,IF(AD9=Цены!$H$7,Цены!$L$7,IF(AD9=Цены!$H$8,Цены!$L$8,IF(AD9=Цены!$H$9,Цены!$L$9,IF(AD9=Цены!$H$10,Цены!$L$10,IF(AD9=Цены!$H$11,Цены!$L$11,IF(AD9=Цены!$H$12,Цены!$L$12,IF(AD9=Цены!$H$13,Цены!$L$13,IF(AD9=Цены!$H$14,Цены!$L$14,IF(AD9=Цены!$H$14,Цены!$L$14,IF(AD9=Цены!$H$15,Цены!$L$15,IF(AD9=Цены!$H$16,Цены!$L$16,IF(AD9=Цены!$H$17,Цены!$L$17,IF(AD9=Цены!$H$18,Цены!$L$18,IF(AD9=Цены!$H$19,Цены!$L$19,IF(AD9=Цены!$H$20,Цены!$L$20,IF(AD9=Цены!$H$21,Цены!$L$21,IF(AD9=Цены!$H$22,Цены!$L$22,IF(AD9=Цены!$H$23,Цены!$L$23,IF(AD9=Цены!$H$24,Цены!$L$24,IF(AD9=Цены!$H$25,Цены!$L$25,IF(AD9=Цены!$H$26,Цены!$L$26,IF(AD9=Цены!$H$27,Цены!$L$27,IF(AD9=Цены!$H$28,Цены!$L$28,IF(AD9=Цены!$H$29,Цены!$L$29,IF(AD9=Цены!$H$30,Цены!$L$30,IF(AD9=Цены!$H$31,Цены!$L$31,IF(AD9=Цены!$H$32,Цены!$L$32,IF(AD9=Цены!$H$33,Цены!$L$33,IF(AD9=Цены!$H$34,Цены!$L$34,IF(AD9=Цены!$H$35,Цены!$L$35,IF(AD9=Цены!$H$36,Цены!$L$36,IF(AD9=Цены!$H$37,Цены!$L$37,IF(AD9=Цены!$H$38,Цены!$L$38,IF(AD9=Цены!$H$39,Цены!$L$39,IF(AD9=Цены!$H$40,Цены!$L$40,IF(AD9=Цены!$H$41,Цены!$L$41,IF(AD9=Цены!$H$42,Цены!$L$42,IF(AD9=Цены!$H$43,Цены!$L$43,IF(AD9=Цены!$H$44,Цены!$L$44,IF(AD9=Цены!$H$45,Цены!$L$45,IF(AD9=Цены!$H$46,Цены!$L$46,IF(AD9=Цены!$H$47,Цены!$L$47,IF(AD9=Цены!$H$48,Цены!$L$48,IF(AD9=Цены!$H$49,Цены!$L$49,IF(AD9=Цены!$H$50,Цены!$L$50,IF(AD9=Цены!$H$51,Цены!$L$51,IF(AD9=Цены!$H$52,Цены!$L$52,IF(AD9=Цены!$H$53,Цены!$L$53,IF(AD9=Цены!$H$54,Цены!$L$54,IF(AD9=Цены!$H$55,Цены!$L$55))))))))))))))))))))))))))))))))))))))))))))))))))))))</f>
        <v>2.6</v>
      </c>
      <c r="AG9" s="311"/>
      <c r="AH9" s="69">
        <f>IF(AD9=Цены!$H$3,Цены!$K$3,IF(AD9=Цены!$H$4,Цены!$K$4,IF(AD9=Цены!$H$5,Цены!$K$5,IF(AD9=Цены!$H$6,Цены!$K$6,IF(AD9=Цены!$H$7,Цены!$K$7,IF(AD9=Цены!$H$8,Цены!$K$8,IF(AD9=Цены!$H$9,Цены!$K$9,IF(AD9=Цены!$H$10,Цены!$K$10,IF(AD9=Цены!$H$11,Цены!$K$11,IF(AD9=Цены!$H$12,Цены!$K$12,IF(AD9=Цены!$H$13,Цены!$K$13,IF(AD9=Цены!$H$14,Цены!$K$14,IF(AD9=Цены!$H$14,Цены!$K$14,IF(AD9=Цены!$H$15,Цены!$K$15,IF(AD9=Цены!$H$16,Цены!$K$16,IF(AD9=Цены!$H$17,Цены!$K$17,IF(AD9=Цены!$H$18,Цены!$K$18,IF(AD9=Цены!$H$19,Цены!$K$19,IF(AD9=Цены!$H$20,Цены!$K$20,IF(AD9=Цены!$H$21,Цены!$K$21,IF(AD9=Цены!$H$22,Цены!$K$22,IF(AD9=Цены!$H$23,Цены!$K$23,IF(AD9=Цены!$H$24,Цены!$K$24,IF(AD9=Цены!$H$25,Цены!$K$25,IF(AD9=Цены!$H$26,Цены!$K$26,IF(AD9=Цены!$H$27,Цены!$K$27,IF(AD9=Цены!$H$28,Цены!$K$28,IF(AD9=Цены!$H$29,Цены!$K$29,IF(AD9=Цены!$H$30,Цены!$K$30,IF(AD9=Цены!$H$31,Цены!$K$31,IF(AD9=Цены!$H$32,Цены!$K$32,IF(AD9=Цены!$H$33,Цены!$K$33,IF(AD9=Цены!$H$34,Цены!$K$34,IF(AD9=Цены!$H$35,Цены!$K$35,IF(AD9=Цены!$H$36,Цены!$K$36,IF(AD9=Цены!$H$37,Цены!$K$37,IF(AD9=Цены!$H$38,Цены!$K$38,IF(AD9=Цены!$H$39,Цены!$K$39,IF(AD9=Цены!$H$40,Цены!$K$40,IF(AD9=Цены!$H$41,Цены!$K$41,IF(AD9=Цены!$H$42,Цены!$K$42,IF(AD9=Цены!$H$43,Цены!$K$43,IF(AD9=Цены!$H$44,Цены!$K$44,IF(AD9=Цены!$H$45,Цены!$K$45,IF(AD9=Цены!$H$46,Цены!$K$46,IF(AD9=Цены!$H$47,Цены!$K$47,IF(AD9=Цены!$H$48,Цены!$K$48,IF(AD9=Цены!$H$49,Цены!$K$49,IF(AD9=Цены!$H$50,Цены!$K$50,IF(AD9=Цены!$H$51,Цены!$K$51,IF(AD9=Цены!$H$52,Цены!$K$52,IF(AD9=Цены!$H$53,Цены!$K$53,IF(AD9=Цены!$H$54,Цены!$K$54,IF(AD9=Цены!$H$55,Цены!$K$55))))))))))))))))))))))))))))))))))))))))))))))))))))))</f>
        <v>552</v>
      </c>
      <c r="AI9" s="265"/>
      <c r="AJ9" s="265"/>
      <c r="AK9" s="312"/>
      <c r="AL9" s="314"/>
      <c r="AM9" s="314"/>
      <c r="AN9" s="265"/>
      <c r="AO9" s="312"/>
      <c r="AP9" s="315"/>
      <c r="AQ9" s="82" t="s">
        <v>147</v>
      </c>
      <c r="AR9" s="79">
        <v>2</v>
      </c>
      <c r="AS9" s="80">
        <f>IF(AQ9=Цены!$H$3,Цены!$L$3,IF(AQ9=Цены!$H$4,Цены!$L$4,IF(AQ9=Цены!$H$5,Цены!$L$5,IF(AQ9=Цены!$H$6,Цены!$L$6,IF(AQ9=Цены!$H$7,Цены!$L$7,IF(AQ9=Цены!$H$8,Цены!$L$8,IF(AQ9=Цены!$H$9,Цены!$L$9,IF(AQ9=Цены!$H$10,Цены!$L$10,IF(AQ9=Цены!$H$11,Цены!$L$11,IF(AQ9=Цены!$H$12,Цены!$L$12,IF(AQ9=Цены!$H$13,Цены!$L$13,IF(AQ9=Цены!$H$14,Цены!$L$14,IF(AQ9=Цены!$H$14,Цены!$L$14,IF(AQ9=Цены!$H$15,Цены!$L$15,IF(AQ9=Цены!$H$16,Цены!$L$16,IF(AQ9=Цены!$H$17,Цены!$L$17,IF(AQ9=Цены!$H$18,Цены!$L$18,IF(AQ9=Цены!$H$19,Цены!$L$19,IF(AQ9=Цены!$H$20,Цены!$L$20,IF(AQ9=Цены!$H$21,Цены!$L$21,IF(AQ9=Цены!$H$22,Цены!$L$22,IF(AQ9=Цены!$H$23,Цены!$L$23,IF(AQ9=Цены!$H$24,Цены!$L$24,IF(AQ9=Цены!$H$25,Цены!$L$25,IF(AQ9=Цены!$H$26,Цены!$L$26,IF(AQ9=Цены!$H$27,Цены!$L$27,IF(AQ9=Цены!$H$28,Цены!$L$28,IF(AQ9=Цены!$H$29,Цены!$L$29,IF(AQ9=Цены!$H$30,Цены!$L$30,IF(AQ9=Цены!$H$31,Цены!$L$31,IF(AQ9=Цены!$H$32,Цены!$L$32,IF(AQ9=Цены!$H$33,Цены!$L$33,IF(AQ9=Цены!$H$34,Цены!$L$34,IF(AQ9=Цены!$H$35,Цены!$L$35,IF(AQ9=Цены!$H$36,Цены!$L$36,IF(AQ9=Цены!$H$37,Цены!$L$37,IF(AQ9=Цены!$H$38,Цены!$L$38,IF(AQ9=Цены!$H$39,Цены!$L$39,IF(AQ9=Цены!$H$40,Цены!$L$40,IF(AQ9=Цены!$H$41,Цены!$L$41,IF(AQ9=Цены!$H$42,Цены!$L$42,IF(AQ9=Цены!$H$43,Цены!$L$43,IF(AQ9=Цены!$H$44,Цены!$L$44,IF(AQ9=Цены!$H$45,Цены!$L$45,IF(AQ9=Цены!$H$46,Цены!$L$46,IF(AQ9=Цены!$H$47,Цены!$L$47,IF(AQ9=Цены!$H$48,Цены!$L$48,IF(AQ9=Цены!$H$49,Цены!$L$49,IF(AQ9=Цены!$H$50,Цены!$L$50,IF(AQ9=Цены!$H$51,Цены!$L$51,IF(AQ9=Цены!$H$52,Цены!$L$52,IF(AQ9=Цены!$H$53,Цены!$L$53,IF(AQ9=Цены!$H$54,Цены!$L$54,IF(AQ9=Цены!$H$55,Цены!$L$55))))))))))))))))))))))))))))))))))))))))))))))))))))))</f>
        <v>2.6</v>
      </c>
      <c r="AT9" s="271"/>
      <c r="AU9" s="81">
        <f>IF(AQ9=Цены!$H$3,Цены!$K$3,IF(AQ9=Цены!$H$4,Цены!$K$4,IF(AQ9=Цены!$H$5,Цены!$K$5,IF(AQ9=Цены!$H$6,Цены!$K$6,IF(AQ9=Цены!$H$7,Цены!$K$7,IF(AQ9=Цены!$H$8,Цены!$K$8,IF(AQ9=Цены!$H$9,Цены!$K$9,IF(AQ9=Цены!$H$10,Цены!$K$10,IF(AQ9=Цены!$H$11,Цены!$K$11,IF(AQ9=Цены!$H$12,Цены!$K$12,IF(AQ9=Цены!$H$13,Цены!$K$13,IF(AQ9=Цены!$H$14,Цены!$K$14,IF(AQ9=Цены!$H$14,Цены!$K$14,IF(AQ9=Цены!$H$15,Цены!$K$15,IF(AQ9=Цены!$H$16,Цены!$K$16,IF(AQ9=Цены!$H$17,Цены!$K$17,IF(AQ9=Цены!$H$18,Цены!$K$18,IF(AQ9=Цены!$H$19,Цены!$K$19,IF(AQ9=Цены!$H$20,Цены!$K$20,IF(AQ9=Цены!$H$21,Цены!$K$21,IF(AQ9=Цены!$H$22,Цены!$K$22,IF(AQ9=Цены!$H$23,Цены!$K$23,IF(AQ9=Цены!$H$24,Цены!$K$24,IF(AQ9=Цены!$H$25,Цены!$K$25,IF(AQ9=Цены!$H$26,Цены!$K$26,IF(AQ9=Цены!$H$27,Цены!$K$27,IF(AQ9=Цены!$H$28,Цены!$K$28,IF(AQ9=Цены!$H$29,Цены!$K$29,IF(AQ9=Цены!$H$30,Цены!$K$30,IF(AQ9=Цены!$H$31,Цены!$K$31,IF(AQ9=Цены!$H$32,Цены!$K$32,IF(AQ9=Цены!$H$33,Цены!$K$33,IF(AQ9=Цены!$H$34,Цены!$K$34,IF(AQ9=Цены!$H$35,Цены!$K$35,IF(AQ9=Цены!$H$36,Цены!$K$36,IF(AQ9=Цены!$H$37,Цены!$K$37,IF(AQ9=Цены!$H$38,Цены!$K$38,IF(AQ9=Цены!$H$39,Цены!$K$39,IF(AQ9=Цены!$H$40,Цены!$K$40,IF(AQ9=Цены!$H$41,Цены!$K$41,IF(AQ9=Цены!$H$42,Цены!$K$42,IF(AQ9=Цены!$H$43,Цены!$K$43,IF(AQ9=Цены!$H$44,Цены!$K$44,IF(AQ9=Цены!$H$45,Цены!$K$45,IF(AQ9=Цены!$H$46,Цены!$K$46,IF(AQ9=Цены!$H$47,Цены!$K$47,IF(AQ9=Цены!$H$48,Цены!$K$48,IF(AQ9=Цены!$H$49,Цены!$K$49,IF(AQ9=Цены!$H$50,Цены!$K$50,IF(AQ9=Цены!$H$51,Цены!$K$51,IF(AQ9=Цены!$H$52,Цены!$K$52,IF(AQ9=Цены!$H$53,Цены!$K$53,IF(AQ9=Цены!$H$54,Цены!$K$54,IF(AQ9=Цены!$H$55,Цены!$K$55))))))))))))))))))))))))))))))))))))))))))))))))))))))</f>
        <v>552</v>
      </c>
      <c r="AV9" s="265"/>
      <c r="AW9" s="265"/>
      <c r="AX9" s="274"/>
      <c r="AY9" s="304"/>
      <c r="AZ9" s="304"/>
      <c r="BA9" s="265"/>
      <c r="BB9" s="274"/>
      <c r="BC9" s="305"/>
      <c r="BD9" s="244"/>
      <c r="BE9" s="105"/>
      <c r="BF9" s="102"/>
      <c r="BG9" s="103" t="b">
        <f>IF(BE9=Цены!$H$3,Цены!$L$3,IF(BE9=Цены!$H$4,Цены!$L$4,IF(BE9=Цены!$H$5,Цены!$L$5,IF(BE9=Цены!$H$6,Цены!$L$6,IF(BE9=Цены!$H$7,Цены!$L$7,IF(BE9=Цены!$H$8,Цены!$L$8,IF(BE9=Цены!$H$9,Цены!$L$9,IF(BE9=Цены!$H$10,Цены!$L$10,IF(BE9=Цены!$H$11,Цены!$L$11,IF(BE9=Цены!$H$12,Цены!$L$12,IF(BE9=Цены!$H$13,Цены!$L$13,IF(BE9=Цены!$H$14,Цены!$L$14,IF(BE9=Цены!$H$14,Цены!$L$14,IF(BE9=Цены!$H$15,Цены!$L$15,IF(BE9=Цены!$H$16,Цены!$L$16,IF(BE9=Цены!$H$17,Цены!$L$17,IF(BE9=Цены!$H$18,Цены!$L$18,IF(BE9=Цены!$H$19,Цены!$L$19,IF(BE9=Цены!$H$20,Цены!$L$20,IF(BE9=Цены!$H$21,Цены!$L$21,IF(BE9=Цены!$H$22,Цены!$L$22,IF(BE9=Цены!$H$23,Цены!$L$23,IF(BE9=Цены!$H$24,Цены!$L$24,IF(BE9=Цены!$H$25,Цены!$L$25,IF(BE9=Цены!$H$26,Цены!$L$26,IF(BE9=Цены!$H$27,Цены!$L$27,IF(BE9=Цены!$H$28,Цены!$L$28,IF(BE9=Цены!$H$29,Цены!$L$29,IF(BE9=Цены!$H$30,Цены!$L$30,IF(BE9=Цены!$H$31,Цены!$L$31,IF(BE9=Цены!$H$32,Цены!$L$32,IF(BE9=Цены!$H$33,Цены!$L$33,IF(BE9=Цены!$H$34,Цены!$L$34,IF(BE9=Цены!$H$35,Цены!$L$35,IF(BE9=Цены!$H$36,Цены!$L$36,IF(BE9=Цены!$H$37,Цены!$L$37,IF(BE9=Цены!$H$38,Цены!$L$38,IF(BE9=Цены!$H$39,Цены!$L$39,IF(BE9=Цены!$H$40,Цены!$L$40,IF(BE9=Цены!$H$41,Цены!$L$41,IF(BE9=Цены!$H$42,Цены!$L$42,IF(BE9=Цены!$H$43,Цены!$L$43,IF(BE9=Цены!$H$44,Цены!$L$44,IF(BE9=Цены!$H$45,Цены!$L$45,IF(BE9=Цены!$H$46,Цены!$L$46,IF(BE9=Цены!$H$47,Цены!$L$47,IF(BE9=Цены!$H$48,Цены!$L$48,IF(BE9=Цены!$H$49,Цены!$L$49,IF(BE9=Цены!$H$50,Цены!$L$50,IF(BE9=Цены!$H$51,Цены!$L$51,IF(BE9=Цены!$H$52,Цены!$L$52,IF(BE9=Цены!$H$53,Цены!$L$53,IF(BE9=Цены!$H$54,Цены!$L$54,IF(BE9=Цены!$H$55,Цены!$L$55))))))))))))))))))))))))))))))))))))))))))))))))))))))</f>
        <v>0</v>
      </c>
      <c r="BH9" s="280"/>
      <c r="BI9" s="104" t="b">
        <f>IF(BE9=Цены!$H$3,Цены!$K$3,IF(BE9=Цены!$H$4,Цены!$K$4,IF(BE9=Цены!$H$5,Цены!$K$5,IF(BE9=Цены!$H$6,Цены!$K$6,IF(BE9=Цены!$H$7,Цены!$K$7,IF(BE9=Цены!$H$8,Цены!$K$8,IF(BE9=Цены!$H$9,Цены!$K$9,IF(BE9=Цены!$H$10,Цены!$K$10,IF(BE9=Цены!$H$11,Цены!$K$11,IF(BE9=Цены!$H$12,Цены!$K$12,IF(BE9=Цены!$H$13,Цены!$K$13,IF(BE9=Цены!$H$14,Цены!$K$14,IF(BE9=Цены!$H$14,Цены!$K$14,IF(BE9=Цены!$H$15,Цены!$K$15,IF(BE9=Цены!$H$16,Цены!$K$16,IF(BE9=Цены!$H$17,Цены!$K$17,IF(BE9=Цены!$H$18,Цены!$K$18,IF(BE9=Цены!$H$19,Цены!$K$19,IF(BE9=Цены!$H$20,Цены!$K$20,IF(BE9=Цены!$H$21,Цены!$K$21,IF(BE9=Цены!$H$22,Цены!$K$22,IF(BE9=Цены!$H$23,Цены!$K$23,IF(BE9=Цены!$H$24,Цены!$K$24,IF(BE9=Цены!$H$25,Цены!$K$25,IF(BE9=Цены!$H$26,Цены!$K$26,IF(BE9=Цены!$H$27,Цены!$K$27,IF(BE9=Цены!$H$28,Цены!$K$28,IF(BE9=Цены!$H$29,Цены!$K$29,IF(BE9=Цены!$H$30,Цены!$K$30,IF(BE9=Цены!$H$31,Цены!$K$31,IF(BE9=Цены!$H$32,Цены!$K$32,IF(BE9=Цены!$H$33,Цены!$K$33,IF(BE9=Цены!$H$34,Цены!$K$34,IF(BE9=Цены!$H$35,Цены!$K$35,IF(BE9=Цены!$H$36,Цены!$K$36,IF(BE9=Цены!$H$37,Цены!$K$37,IF(BE9=Цены!$H$38,Цены!$K$38,IF(BE9=Цены!$H$39,Цены!$K$39,IF(BE9=Цены!$H$40,Цены!$K$40,IF(BE9=Цены!$H$41,Цены!$K$41,IF(BE9=Цены!$H$42,Цены!$K$42,IF(BE9=Цены!$H$43,Цены!$K$43,IF(BE9=Цены!$H$44,Цены!$K$44,IF(BE9=Цены!$H$45,Цены!$K$45,IF(BE9=Цены!$H$46,Цены!$K$46,IF(BE9=Цены!$H$47,Цены!$K$47,IF(BE9=Цены!$H$48,Цены!$K$48,IF(BE9=Цены!$H$49,Цены!$K$49,IF(BE9=Цены!$H$50,Цены!$K$50,IF(BE9=Цены!$H$51,Цены!$K$51,IF(BE9=Цены!$H$52,Цены!$K$52,IF(BE9=Цены!$H$53,Цены!$K$53,IF(BE9=Цены!$H$54,Цены!$K$54,IF(BE9=Цены!$H$55,Цены!$K$55))))))))))))))))))))))))))))))))))))))))))))))))))))))</f>
        <v>0</v>
      </c>
      <c r="BJ9" s="265"/>
      <c r="BK9" s="265"/>
      <c r="BL9" s="281"/>
      <c r="BM9" s="292"/>
      <c r="BN9" s="292"/>
      <c r="BO9" s="265"/>
      <c r="BP9" s="281"/>
      <c r="BQ9" s="293"/>
      <c r="BR9" s="111"/>
      <c r="BS9" s="108"/>
      <c r="BT9" s="109" t="b">
        <f>IF(BR9=Цены!$H$3,Цены!$L$3,IF(BR9=Цены!$H$4,Цены!$L$4,IF(BR9=Цены!$H$5,Цены!$L$5,IF(BR9=Цены!$H$6,Цены!$L$6,IF(BR9=Цены!$H$7,Цены!$L$7,IF(BR9=Цены!$H$8,Цены!$L$8,IF(BR9=Цены!$H$9,Цены!$L$9,IF(BR9=Цены!$H$10,Цены!$L$10,IF(BR9=Цены!$H$11,Цены!$L$11,IF(BR9=Цены!$H$12,Цены!$L$12,IF(BR9=Цены!$H$13,Цены!$L$13,IF(BR9=Цены!$H$14,Цены!$L$14,IF(BR9=Цены!$H$14,Цены!$L$14,IF(BR9=Цены!$H$15,Цены!$L$15,IF(BR9=Цены!$H$16,Цены!$L$16,IF(BR9=Цены!$H$17,Цены!$L$17,IF(BR9=Цены!$H$18,Цены!$L$18,IF(BR9=Цены!$H$19,Цены!$L$19,IF(BR9=Цены!$H$20,Цены!$L$20,IF(BR9=Цены!$H$21,Цены!$L$21,IF(BR9=Цены!$H$22,Цены!$L$22,IF(BR9=Цены!$H$23,Цены!$L$23,IF(BR9=Цены!$H$24,Цены!$L$24,IF(BR9=Цены!$H$25,Цены!$L$25,IF(BR9=Цены!$H$26,Цены!$L$26,IF(BR9=Цены!$H$27,Цены!$L$27,IF(BR9=Цены!$H$28,Цены!$L$28,IF(BR9=Цены!$H$29,Цены!$L$29,IF(BR9=Цены!$H$30,Цены!$L$30,IF(BR9=Цены!$H$31,Цены!$L$31,IF(BR9=Цены!$H$32,Цены!$L$32,IF(BR9=Цены!$H$33,Цены!$L$33,IF(BR9=Цены!$H$34,Цены!$L$34,IF(BR9=Цены!$H$35,Цены!$L$35,IF(BR9=Цены!$H$36,Цены!$L$36,IF(BR9=Цены!$H$37,Цены!$L$37,IF(BR9=Цены!$H$38,Цены!$L$38,IF(BR9=Цены!$H$39,Цены!$L$39,IF(BR9=Цены!$H$40,Цены!$L$40,IF(BR9=Цены!$H$41,Цены!$L$41,IF(BR9=Цены!$H$42,Цены!$L$42,IF(BR9=Цены!$H$43,Цены!$L$43,IF(BR9=Цены!$H$44,Цены!$L$44,IF(BR9=Цены!$H$45,Цены!$L$45,IF(BR9=Цены!$H$46,Цены!$L$46,IF(BR9=Цены!$H$47,Цены!$L$47,IF(BR9=Цены!$H$48,Цены!$L$48,IF(BR9=Цены!$H$49,Цены!$L$49,IF(BR9=Цены!$H$50,Цены!$L$50,IF(BR9=Цены!$H$51,Цены!$L$51,IF(BR9=Цены!$H$52,Цены!$L$52,IF(BR9=Цены!$H$53,Цены!$L$53,IF(BR9=Цены!$H$54,Цены!$L$54,IF(BR9=Цены!$H$55,Цены!$L$55))))))))))))))))))))))))))))))))))))))))))))))))))))))</f>
        <v>0</v>
      </c>
      <c r="BU9" s="284"/>
      <c r="BV9" s="110" t="b">
        <f>IF(BR9=Цены!$H$3,Цены!$K$3,IF(BR9=Цены!$H$4,Цены!$K$4,IF(BR9=Цены!$H$5,Цены!$K$5,IF(BR9=Цены!$H$6,Цены!$K$6,IF(BR9=Цены!$H$7,Цены!$K$7,IF(BR9=Цены!$H$8,Цены!$K$8,IF(BR9=Цены!$H$9,Цены!$K$9,IF(BR9=Цены!$H$10,Цены!$K$10,IF(BR9=Цены!$H$11,Цены!$K$11,IF(BR9=Цены!$H$12,Цены!$K$12,IF(BR9=Цены!$H$13,Цены!$K$13,IF(BR9=Цены!$H$14,Цены!$K$14,IF(BR9=Цены!$H$14,Цены!$K$14,IF(BR9=Цены!$H$15,Цены!$K$15,IF(BR9=Цены!$H$16,Цены!$K$16,IF(BR9=Цены!$H$17,Цены!$K$17,IF(BR9=Цены!$H$18,Цены!$K$18,IF(BR9=Цены!$H$19,Цены!$K$19,IF(BR9=Цены!$H$20,Цены!$K$20,IF(BR9=Цены!$H$21,Цены!$K$21,IF(BR9=Цены!$H$22,Цены!$K$22,IF(BR9=Цены!$H$23,Цены!$K$23,IF(BR9=Цены!$H$24,Цены!$K$24,IF(BR9=Цены!$H$25,Цены!$K$25,IF(BR9=Цены!$H$26,Цены!$K$26,IF(BR9=Цены!$H$27,Цены!$K$27,IF(BR9=Цены!$H$28,Цены!$K$28,IF(BR9=Цены!$H$29,Цены!$K$29,IF(BR9=Цены!$H$30,Цены!$K$30,IF(BR9=Цены!$H$31,Цены!$K$31,IF(BR9=Цены!$H$32,Цены!$K$32,IF(BR9=Цены!$H$33,Цены!$K$33,IF(BR9=Цены!$H$34,Цены!$K$34,IF(BR9=Цены!$H$35,Цены!$K$35,IF(BR9=Цены!$H$36,Цены!$K$36,IF(BR9=Цены!$H$37,Цены!$K$37,IF(BR9=Цены!$H$38,Цены!$K$38,IF(BR9=Цены!$H$39,Цены!$K$39,IF(BR9=Цены!$H$40,Цены!$K$40,IF(BR9=Цены!$H$41,Цены!$K$41,IF(BR9=Цены!$H$42,Цены!$K$42,IF(BR9=Цены!$H$43,Цены!$K$43,IF(BR9=Цены!$H$44,Цены!$K$44,IF(BR9=Цены!$H$45,Цены!$K$45,IF(BR9=Цены!$H$46,Цены!$K$46,IF(BR9=Цены!$H$47,Цены!$K$47,IF(BR9=Цены!$H$48,Цены!$K$48,IF(BR9=Цены!$H$49,Цены!$K$49,IF(BR9=Цены!$H$50,Цены!$K$50,IF(BR9=Цены!$H$51,Цены!$K$51,IF(BR9=Цены!$H$52,Цены!$K$52,IF(BR9=Цены!$H$53,Цены!$K$53,IF(BR9=Цены!$H$54,Цены!$K$54,IF(BR9=Цены!$H$55,Цены!$K$55))))))))))))))))))))))))))))))))))))))))))))))))))))))</f>
        <v>0</v>
      </c>
      <c r="BW9" s="265"/>
      <c r="BX9" s="265"/>
      <c r="BY9" s="285"/>
      <c r="BZ9" s="290"/>
      <c r="CA9" s="290"/>
      <c r="CB9" s="265"/>
      <c r="CC9" s="285"/>
      <c r="CD9" s="291"/>
      <c r="CE9" s="115" t="s">
        <v>121</v>
      </c>
      <c r="CF9" s="112">
        <v>1</v>
      </c>
      <c r="CG9" s="113">
        <f>IF(CE9=Цены!$H$3,Цены!$L$3,IF(CE9=Цены!$H$4,Цены!$L$4,IF(CE9=Цены!$H$5,Цены!$L$5,IF(CE9=Цены!$H$6,Цены!$L$6,IF(CE9=Цены!$H$7,Цены!$L$7,IF(CE9=Цены!$H$8,Цены!$L$8,IF(CE9=Цены!$H$9,Цены!$L$9,IF(CE9=Цены!$H$10,Цены!$L$10,IF(CE9=Цены!$H$11,Цены!$L$11,IF(CE9=Цены!$H$12,Цены!$L$12,IF(CE9=Цены!$H$13,Цены!$L$13,IF(CE9=Цены!$H$14,Цены!$L$14,IF(CE9=Цены!$H$14,Цены!$L$14,IF(CE9=Цены!$H$15,Цены!$L$15,IF(CE9=Цены!$H$16,Цены!$L$16,IF(CE9=Цены!$H$17,Цены!$L$17,IF(CE9=Цены!$H$18,Цены!$L$18,IF(CE9=Цены!$H$19,Цены!$L$19,IF(CE9=Цены!$H$20,Цены!$L$20,IF(CE9=Цены!$H$21,Цены!$L$21,IF(CE9=Цены!$H$22,Цены!$L$22,IF(CE9=Цены!$H$23,Цены!$L$23,IF(CE9=Цены!$H$24,Цены!$L$24,IF(CE9=Цены!$H$25,Цены!$L$25,IF(CE9=Цены!$H$26,Цены!$L$26,IF(CE9=Цены!$H$27,Цены!$L$27,IF(CE9=Цены!$H$28,Цены!$L$28,IF(CE9=Цены!$H$29,Цены!$L$29,IF(CE9=Цены!$H$30,Цены!$L$30,IF(CE9=Цены!$H$31,Цены!$L$31,IF(CE9=Цены!$H$32,Цены!$L$32,IF(CE9=Цены!$H$33,Цены!$L$33,IF(CE9=Цены!$H$34,Цены!$L$34,IF(CE9=Цены!$H$35,Цены!$L$35,IF(CE9=Цены!$H$36,Цены!$L$36,IF(CE9=Цены!$H$37,Цены!$L$37,IF(CE9=Цены!$H$38,Цены!$L$38,IF(CE9=Цены!$H$39,Цены!$L$39,IF(CE9=Цены!$H$40,Цены!$L$40,IF(CE9=Цены!$H$41,Цены!$L$41,IF(CE9=Цены!$H$42,Цены!$L$42,IF(CE9=Цены!$H$43,Цены!$L$43,IF(CE9=Цены!$H$44,Цены!$L$44,IF(CE9=Цены!$H$45,Цены!$L$45,IF(CE9=Цены!$H$46,Цены!$L$46,IF(CE9=Цены!$H$47,Цены!$L$47,IF(CE9=Цены!$H$48,Цены!$L$48,IF(CE9=Цены!$H$49,Цены!$L$49,IF(CE9=Цены!$H$50,Цены!$L$50,IF(CE9=Цены!$H$51,Цены!$L$51,IF(CE9=Цены!$H$52,Цены!$L$52,IF(CE9=Цены!$H$53,Цены!$L$53,IF(CE9=Цены!$H$54,Цены!$L$54,IF(CE9=Цены!$H$55,Цены!$L$55))))))))))))))))))))))))))))))))))))))))))))))))))))))</f>
        <v>1.32E-2</v>
      </c>
      <c r="CH9" s="282"/>
      <c r="CI9" s="114">
        <f>IF(CE9=Цены!$H$3,Цены!$K$3,IF(CE9=Цены!$H$4,Цены!$K$4,IF(CE9=Цены!$H$5,Цены!$K$5,IF(CE9=Цены!$H$6,Цены!$K$6,IF(CE9=Цены!$H$7,Цены!$K$7,IF(CE9=Цены!$H$8,Цены!$K$8,IF(CE9=Цены!$H$9,Цены!$K$9,IF(CE9=Цены!$H$10,Цены!$K$10,IF(CE9=Цены!$H$11,Цены!$K$11,IF(CE9=Цены!$H$12,Цены!$K$12,IF(CE9=Цены!$H$13,Цены!$K$13,IF(CE9=Цены!$H$14,Цены!$K$14,IF(CE9=Цены!$H$14,Цены!$K$14,IF(CE9=Цены!$H$15,Цены!$K$15,IF(CE9=Цены!$H$16,Цены!$K$16,IF(CE9=Цены!$H$17,Цены!$K$17,IF(CE9=Цены!$H$18,Цены!$K$18,IF(CE9=Цены!$H$19,Цены!$K$19,IF(CE9=Цены!$H$20,Цены!$K$20,IF(CE9=Цены!$H$21,Цены!$K$21,IF(CE9=Цены!$H$22,Цены!$K$22,IF(CE9=Цены!$H$23,Цены!$K$23,IF(CE9=Цены!$H$24,Цены!$K$24,IF(CE9=Цены!$H$25,Цены!$K$25,IF(CE9=Цены!$H$26,Цены!$K$26,IF(CE9=Цены!$H$27,Цены!$K$27,IF(CE9=Цены!$H$28,Цены!$K$28,IF(CE9=Цены!$H$29,Цены!$K$29,IF(CE9=Цены!$H$30,Цены!$K$30,IF(CE9=Цены!$H$31,Цены!$K$31,IF(CE9=Цены!$H$32,Цены!$K$32,IF(CE9=Цены!$H$33,Цены!$K$33,IF(CE9=Цены!$H$34,Цены!$K$34,IF(CE9=Цены!$H$35,Цены!$K$35,IF(CE9=Цены!$H$36,Цены!$K$36,IF(CE9=Цены!$H$37,Цены!$K$37,IF(CE9=Цены!$H$38,Цены!$K$38,IF(CE9=Цены!$H$39,Цены!$K$39,IF(CE9=Цены!$H$40,Цены!$K$40,IF(CE9=Цены!$H$41,Цены!$K$41,IF(CE9=Цены!$H$42,Цены!$K$42,IF(CE9=Цены!$H$43,Цены!$K$43,IF(CE9=Цены!$H$44,Цены!$K$44,IF(CE9=Цены!$H$45,Цены!$K$45,IF(CE9=Цены!$H$46,Цены!$K$46,IF(CE9=Цены!$H$47,Цены!$K$47,IF(CE9=Цены!$H$48,Цены!$K$48,IF(CE9=Цены!$H$49,Цены!$K$49,IF(CE9=Цены!$H$50,Цены!$K$50,IF(CE9=Цены!$H$51,Цены!$K$51,IF(CE9=Цены!$H$52,Цены!$K$52,IF(CE9=Цены!$H$53,Цены!$K$53,IF(CE9=Цены!$H$54,Цены!$K$54,IF(CE9=Цены!$H$55,Цены!$K$55))))))))))))))))))))))))))))))))))))))))))))))))))))))</f>
        <v>54</v>
      </c>
      <c r="CJ9" s="265"/>
      <c r="CK9" s="265"/>
      <c r="CL9" s="283"/>
      <c r="CM9" s="288"/>
      <c r="CN9" s="288"/>
      <c r="CO9" s="265"/>
      <c r="CP9" s="283"/>
      <c r="CQ9" s="289"/>
    </row>
    <row r="10" spans="1:95" s="40" customFormat="1" ht="15.75" hidden="1" x14ac:dyDescent="0.25">
      <c r="A10" s="341"/>
      <c r="B10" s="265"/>
      <c r="C10" s="336"/>
      <c r="D10" s="44" t="s">
        <v>121</v>
      </c>
      <c r="E10" s="45">
        <v>2</v>
      </c>
      <c r="F10" s="46">
        <f>IF(D10=Цены!$H$3,Цены!$L$3,IF(D10=Цены!$H$4,Цены!$L$4,IF(D10=Цены!$H$5,Цены!$L$5,IF(D10=Цены!$H$6,Цены!$L$6,IF(D10=Цены!$H$7,Цены!$L$7,IF(D10=Цены!$H$8,Цены!$L$8,IF(D10=Цены!$H$9,Цены!$L$9,IF(D10=Цены!$H$10,Цены!$L$10,IF(D10=Цены!$H$11,Цены!$L$11,IF(D10=Цены!$H$12,Цены!$L$12,IF(D10=Цены!$H$13,Цены!$L$13,IF(D10=Цены!$H$14,Цены!$L$14,IF(D10=Цены!$H$14,Цены!$L$14,IF(D10=Цены!$H$15,Цены!$L$15,IF(D10=Цены!$H$16,Цены!$L$16,IF(D10=Цены!$H$17,Цены!$L$17,IF(D10=Цены!$H$18,Цены!$L$18,IF(D10=Цены!$H$19,Цены!$L$19,IF(D10=Цены!$H$20,Цены!$L$20,IF(D10=Цены!$H$21,Цены!$L$21,IF(D10=Цены!$H$22,Цены!$L$22,IF(D10=Цены!$H$23,Цены!$L$23,IF(D10=Цены!$H$24,Цены!$L$24,IF(D10=Цены!$H$25,Цены!$L$25,IF(D10=Цены!$H$26,Цены!$L$26,IF(D10=Цены!$H$27,Цены!$L$27,IF(D10=Цены!$H$28,Цены!$L$28,IF(D10=Цены!$H$29,Цены!$L$29,IF(D10=Цены!$H$30,Цены!$L$30,IF(D10=Цены!$H$31,Цены!$L$31,IF(D10=Цены!$H$32,Цены!$L$32,IF(D10=Цены!$H$33,Цены!$L$33,IF(D10=Цены!$H$34,Цены!$L$34,IF(D10=Цены!$H$35,Цены!$L$35,IF(D10=Цены!$H$36,Цены!$L$36,IF(D10=Цены!$H$37,Цены!$L$37,IF(D10=Цены!$H$38,Цены!$L$38,IF(D10=Цены!$H$39,Цены!$L$39,IF(D10=Цены!$H$40,Цены!$L$40,IF(D10=Цены!$H$41,Цены!$L$41,IF(D10=Цены!$H$42,Цены!$L$42,IF(D10=Цены!$H$43,Цены!$L$43,IF(D10=Цены!$H$44,Цены!$L$44,IF(D10=Цены!$H$45,Цены!$L$45,IF(D10=Цены!$H$46,Цены!$L$46,IF(D10=Цены!$H$47,Цены!$L$47,IF(D10=Цены!$H$48,Цены!$L$48,IF(D10=Цены!$H$49,Цены!$L$49,IF(D10=Цены!$H$50,Цены!$L$50,IF(D10=Цены!$H$51,Цены!$L$51,IF(D10=Цены!$H$52,Цены!$L$52,IF(D10=Цены!$H$53,Цены!$L$53,IF(D10=Цены!$H$54,Цены!$L$54,IF(D10=Цены!$H$55,Цены!$L$55))))))))))))))))))))))))))))))))))))))))))))))))))))))</f>
        <v>1.32E-2</v>
      </c>
      <c r="G10" s="339"/>
      <c r="H10" s="47">
        <f>IF(D10=Цены!$H$3,Цены!$K$3,IF(D10=Цены!$H$4,Цены!$K$4,IF(D10=Цены!$H$5,Цены!$K$5,IF(D10=Цены!$H$6,Цены!$K$6,IF(D10=Цены!$H$7,Цены!$K$7,IF(D10=Цены!$H$8,Цены!$K$8,IF(D10=Цены!$H$9,Цены!$K$9,IF(D10=Цены!$H$10,Цены!$K$10,IF(D10=Цены!$H$11,Цены!$K$11,IF(D10=Цены!$H$12,Цены!$K$12,IF(D10=Цены!$H$13,Цены!$K$13,IF(D10=Цены!$H$14,Цены!$K$14,IF(D10=Цены!$H$14,Цены!$K$14,IF(D10=Цены!$H$15,Цены!$K$15,IF(D10=Цены!$H$16,Цены!$K$16,IF(D10=Цены!$H$17,Цены!$K$17,IF(D10=Цены!$H$18,Цены!$K$18,IF(D10=Цены!$H$19,Цены!$K$19,IF(D10=Цены!$H$20,Цены!$K$20,IF(D10=Цены!$H$21,Цены!$K$21,IF(D10=Цены!$H$22,Цены!$K$22,IF(D10=Цены!$H$23,Цены!$K$23,IF(D10=Цены!$H$24,Цены!$K$24,IF(D10=Цены!$H$25,Цены!$K$25,IF(D10=Цены!$H$26,Цены!$K$26,IF(D10=Цены!$H$27,Цены!$K$27,IF(D10=Цены!$H$28,Цены!$K$28,IF(D10=Цены!$H$29,Цены!$K$29,IF(D10=Цены!$H$30,Цены!$K$30,IF(D10=Цены!$H$31,Цены!$K$31,IF(D10=Цены!$H$32,Цены!$K$32,IF(D10=Цены!$H$33,Цены!$K$33,IF(D10=Цены!$H$34,Цены!$K$34,IF(D10=Цены!$H$35,Цены!$K$35,IF(D10=Цены!$H$36,Цены!$K$36,IF(D10=Цены!$H$37,Цены!$K$37,IF(D10=Цены!$H$38,Цены!$K$38,IF(D10=Цены!$H$39,Цены!$K$39,IF(D10=Цены!$H$40,Цены!$K$40,IF(D10=Цены!$H$41,Цены!$K$41,IF(D10=Цены!$H$42,Цены!$K$42,IF(D10=Цены!$H$43,Цены!$K$43,IF(D10=Цены!$H$44,Цены!$K$44,IF(D10=Цены!$H$45,Цены!$K$45,IF(D10=Цены!$H$46,Цены!$K$46,IF(D10=Цены!$H$47,Цены!$K$47,IF(D10=Цены!$H$48,Цены!$K$48,IF(D10=Цены!$H$49,Цены!$K$49,IF(D10=Цены!$H$50,Цены!$K$50,IF(D10=Цены!$H$51,Цены!$K$51,IF(D10=Цены!$H$52,Цены!$K$52,IF(D10=Цены!$H$53,Цены!$K$53,IF(D10=Цены!$H$54,Цены!$K$54,IF(D10=Цены!$H$55,Цены!$K$55))))))))))))))))))))))))))))))))))))))))))))))))))))))</f>
        <v>54</v>
      </c>
      <c r="I10" s="265"/>
      <c r="J10" s="265"/>
      <c r="K10" s="332"/>
      <c r="L10" s="334"/>
      <c r="M10" s="334"/>
      <c r="N10" s="265"/>
      <c r="O10" s="332"/>
      <c r="P10" s="331"/>
      <c r="Q10" s="39"/>
      <c r="R10" s="37"/>
      <c r="S10" s="38" t="b">
        <f>IF(Q10=Цены!$H$3,Цены!$L$3,IF(Q10=Цены!$H$4,Цены!$L$4,IF(Q10=Цены!$H$5,Цены!$L$5,IF(Q10=Цены!$H$6,Цены!$L$6,IF(Q10=Цены!$H$7,Цены!$L$7,IF(Q10=Цены!$H$8,Цены!$L$8,IF(Q10=Цены!$H$9,Цены!$L$9,IF(Q10=Цены!$H$10,Цены!$L$10,IF(Q10=Цены!$H$11,Цены!$L$11,IF(Q10=Цены!$H$12,Цены!$L$12,IF(Q10=Цены!$H$13,Цены!$L$13,IF(Q10=Цены!$H$14,Цены!$L$14,IF(Q10=Цены!$H$14,Цены!$L$14,IF(Q10=Цены!$H$15,Цены!$L$15,IF(Q10=Цены!$H$16,Цены!$L$16,IF(Q10=Цены!$H$17,Цены!$L$17,IF(Q10=Цены!$H$18,Цены!$L$18,IF(Q10=Цены!$H$19,Цены!$L$19,IF(Q10=Цены!$H$20,Цены!$L$20,IF(Q10=Цены!$H$21,Цены!$L$21,IF(Q10=Цены!$H$22,Цены!$L$22,IF(Q10=Цены!$H$23,Цены!$L$23,IF(Q10=Цены!$H$24,Цены!$L$24,IF(Q10=Цены!$H$25,Цены!$L$25,IF(Q10=Цены!$H$26,Цены!$L$26,IF(Q10=Цены!$H$27,Цены!$L$27,IF(Q10=Цены!$H$28,Цены!$L$28,IF(Q10=Цены!$H$29,Цены!$L$29,IF(Q10=Цены!$H$30,Цены!$L$30,IF(Q10=Цены!$H$31,Цены!$L$31,IF(Q10=Цены!$H$32,Цены!$L$32,IF(Q10=Цены!$H$33,Цены!$L$33,IF(Q10=Цены!$H$34,Цены!$L$34,IF(Q10=Цены!$H$35,Цены!$L$35,IF(Q10=Цены!$H$36,Цены!$L$36,IF(Q10=Цены!$H$37,Цены!$L$37,IF(Q10=Цены!$H$38,Цены!$L$38,IF(Q10=Цены!$H$39,Цены!$L$39,IF(Q10=Цены!$H$40,Цены!$L$40,IF(Q10=Цены!$H$41,Цены!$L$41,IF(Q10=Цены!$H$42,Цены!$L$42,IF(Q10=Цены!$H$43,Цены!$L$43,IF(Q10=Цены!$H$44,Цены!$L$44,IF(Q10=Цены!$H$45,Цены!$L$45,IF(Q10=Цены!$H$46,Цены!$L$46,IF(Q10=Цены!$H$47,Цены!$L$47,IF(Q10=Цены!$H$48,Цены!$L$48,IF(Q10=Цены!$H$49,Цены!$L$49,IF(Q10=Цены!$H$50,Цены!$L$50,IF(Q10=Цены!$H$51,Цены!$L$51,IF(Q10=Цены!$H$52,Цены!$L$52,IF(Q10=Цены!$H$53,Цены!$L$53,IF(Q10=Цены!$H$54,Цены!$L$54,IF(Q10=Цены!$H$55,Цены!$L$55))))))))))))))))))))))))))))))))))))))))))))))))))))))</f>
        <v>0</v>
      </c>
      <c r="T10" s="322"/>
      <c r="U10" s="161" t="b">
        <f>IF(Q10=Цены!$H$3,Цены!$K$3,IF(Q10=Цены!$H$4,Цены!$K$4,IF(Q10=Цены!$H$5,Цены!$K$5,IF(Q10=Цены!$H$6,Цены!$K$6,IF(Q10=Цены!$H$7,Цены!$K$7,IF(Q10=Цены!$H$8,Цены!$K$8,IF(Q10=Цены!$H$9,Цены!$K$9,IF(Q10=Цены!$H$10,Цены!$K$10,IF(Q10=Цены!$H$11,Цены!$K$11,IF(Q10=Цены!$H$12,Цены!$K$12,IF(Q10=Цены!$H$13,Цены!$K$13,IF(Q10=Цены!$H$14,Цены!$K$14,IF(Q10=Цены!$H$14,Цены!$K$14,IF(Q10=Цены!$H$15,Цены!$K$15,IF(Q10=Цены!$H$16,Цены!$K$16,IF(Q10=Цены!$H$17,Цены!$K$17,IF(Q10=Цены!$H$18,Цены!$K$18,IF(Q10=Цены!$H$19,Цены!$K$19,IF(Q10=Цены!$H$20,Цены!$K$20,IF(Q10=Цены!$H$21,Цены!$K$21,IF(Q10=Цены!$H$22,Цены!$K$22,IF(Q10=Цены!$H$23,Цены!$K$23,IF(Q10=Цены!$H$24,Цены!$K$24,IF(Q10=Цены!$H$25,Цены!$K$25,IF(Q10=Цены!$H$26,Цены!$K$26,IF(Q10=Цены!$H$27,Цены!$K$27,IF(Q10=Цены!$H$28,Цены!$K$28,IF(Q10=Цены!$H$29,Цены!$K$29,IF(Q10=Цены!$H$30,Цены!$K$30,IF(Q10=Цены!$H$31,Цены!$K$31,IF(Q10=Цены!$H$32,Цены!$K$32,IF(Q10=Цены!$H$33,Цены!$K$33,IF(Q10=Цены!$H$34,Цены!$K$34,IF(Q10=Цены!$H$35,Цены!$K$35,IF(Q10=Цены!$H$36,Цены!$K$36,IF(Q10=Цены!$H$37,Цены!$K$37,IF(Q10=Цены!$H$38,Цены!$K$38,IF(Q10=Цены!$H$39,Цены!$K$39,IF(Q10=Цены!$H$40,Цены!$K$40,IF(Q10=Цены!$H$41,Цены!$K$41,IF(Q10=Цены!$H$42,Цены!$K$42,IF(Q10=Цены!$H$43,Цены!$K$43,IF(Q10=Цены!$H$44,Цены!$K$44,IF(Q10=Цены!$H$45,Цены!$K$45,IF(Q10=Цены!$H$46,Цены!$K$46,IF(Q10=Цены!$H$47,Цены!$K$47,IF(Q10=Цены!$H$48,Цены!$K$48,IF(Q10=Цены!$H$49,Цены!$K$49,IF(Q10=Цены!$H$50,Цены!$K$50,IF(Q10=Цены!$H$51,Цены!$K$51,IF(Q10=Цены!$H$52,Цены!$K$52,IF(Q10=Цены!$H$53,Цены!$K$53,IF(Q10=Цены!$H$54,Цены!$K$54,IF(Q10=Цены!$H$55,Цены!$K$55))))))))))))))))))))))))))))))))))))))))))))))))))))))</f>
        <v>0</v>
      </c>
      <c r="V10" s="265"/>
      <c r="W10" s="265"/>
      <c r="X10" s="323"/>
      <c r="Y10" s="324"/>
      <c r="Z10" s="324"/>
      <c r="AA10" s="265"/>
      <c r="AB10" s="323"/>
      <c r="AC10" s="325"/>
      <c r="AD10" s="66" t="s">
        <v>88</v>
      </c>
      <c r="AE10" s="67">
        <v>4</v>
      </c>
      <c r="AF10" s="68">
        <f>IF(AD10=Цены!$H$3,Цены!$L$3,IF(AD10=Цены!$H$4,Цены!$L$4,IF(AD10=Цены!$H$5,Цены!$L$5,IF(AD10=Цены!$H$6,Цены!$L$6,IF(AD10=Цены!$H$7,Цены!$L$7,IF(AD10=Цены!$H$8,Цены!$L$8,IF(AD10=Цены!$H$9,Цены!$L$9,IF(AD10=Цены!$H$10,Цены!$L$10,IF(AD10=Цены!$H$11,Цены!$L$11,IF(AD10=Цены!$H$12,Цены!$L$12,IF(AD10=Цены!$H$13,Цены!$L$13,IF(AD10=Цены!$H$14,Цены!$L$14,IF(AD10=Цены!$H$14,Цены!$L$14,IF(AD10=Цены!$H$15,Цены!$L$15,IF(AD10=Цены!$H$16,Цены!$L$16,IF(AD10=Цены!$H$17,Цены!$L$17,IF(AD10=Цены!$H$18,Цены!$L$18,IF(AD10=Цены!$H$19,Цены!$L$19,IF(AD10=Цены!$H$20,Цены!$L$20,IF(AD10=Цены!$H$21,Цены!$L$21,IF(AD10=Цены!$H$22,Цены!$L$22,IF(AD10=Цены!$H$23,Цены!$L$23,IF(AD10=Цены!$H$24,Цены!$L$24,IF(AD10=Цены!$H$25,Цены!$L$25,IF(AD10=Цены!$H$26,Цены!$L$26,IF(AD10=Цены!$H$27,Цены!$L$27,IF(AD10=Цены!$H$28,Цены!$L$28,IF(AD10=Цены!$H$29,Цены!$L$29,IF(AD10=Цены!$H$30,Цены!$L$30,IF(AD10=Цены!$H$31,Цены!$L$31,IF(AD10=Цены!$H$32,Цены!$L$32,IF(AD10=Цены!$H$33,Цены!$L$33,IF(AD10=Цены!$H$34,Цены!$L$34,IF(AD10=Цены!$H$35,Цены!$L$35,IF(AD10=Цены!$H$36,Цены!$L$36,IF(AD10=Цены!$H$37,Цены!$L$37,IF(AD10=Цены!$H$38,Цены!$L$38,IF(AD10=Цены!$H$39,Цены!$L$39,IF(AD10=Цены!$H$40,Цены!$L$40,IF(AD10=Цены!$H$41,Цены!$L$41,IF(AD10=Цены!$H$42,Цены!$L$42,IF(AD10=Цены!$H$43,Цены!$L$43,IF(AD10=Цены!$H$44,Цены!$L$44,IF(AD10=Цены!$H$45,Цены!$L$45,IF(AD10=Цены!$H$46,Цены!$L$46,IF(AD10=Цены!$H$47,Цены!$L$47,IF(AD10=Цены!$H$48,Цены!$L$48,IF(AD10=Цены!$H$49,Цены!$L$49,IF(AD10=Цены!$H$50,Цены!$L$50,IF(AD10=Цены!$H$51,Цены!$L$51,IF(AD10=Цены!$H$52,Цены!$L$52,IF(AD10=Цены!$H$53,Цены!$L$53,IF(AD10=Цены!$H$54,Цены!$L$54,IF(AD10=Цены!$H$55,Цены!$L$55))))))))))))))))))))))))))))))))))))))))))))))))))))))</f>
        <v>1.8</v>
      </c>
      <c r="AG10" s="311"/>
      <c r="AH10" s="69">
        <f>IF(AD10=Цены!$H$3,Цены!$K$3,IF(AD10=Цены!$H$4,Цены!$K$4,IF(AD10=Цены!$H$5,Цены!$K$5,IF(AD10=Цены!$H$6,Цены!$K$6,IF(AD10=Цены!$H$7,Цены!$K$7,IF(AD10=Цены!$H$8,Цены!$K$8,IF(AD10=Цены!$H$9,Цены!$K$9,IF(AD10=Цены!$H$10,Цены!$K$10,IF(AD10=Цены!$H$11,Цены!$K$11,IF(AD10=Цены!$H$12,Цены!$K$12,IF(AD10=Цены!$H$13,Цены!$K$13,IF(AD10=Цены!$H$14,Цены!$K$14,IF(AD10=Цены!$H$14,Цены!$K$14,IF(AD10=Цены!$H$15,Цены!$K$15,IF(AD10=Цены!$H$16,Цены!$K$16,IF(AD10=Цены!$H$17,Цены!$K$17,IF(AD10=Цены!$H$18,Цены!$K$18,IF(AD10=Цены!$H$19,Цены!$K$19,IF(AD10=Цены!$H$20,Цены!$K$20,IF(AD10=Цены!$H$21,Цены!$K$21,IF(AD10=Цены!$H$22,Цены!$K$22,IF(AD10=Цены!$H$23,Цены!$K$23,IF(AD10=Цены!$H$24,Цены!$K$24,IF(AD10=Цены!$H$25,Цены!$K$25,IF(AD10=Цены!$H$26,Цены!$K$26,IF(AD10=Цены!$H$27,Цены!$K$27,IF(AD10=Цены!$H$28,Цены!$K$28,IF(AD10=Цены!$H$29,Цены!$K$29,IF(AD10=Цены!$H$30,Цены!$K$30,IF(AD10=Цены!$H$31,Цены!$K$31,IF(AD10=Цены!$H$32,Цены!$K$32,IF(AD10=Цены!$H$33,Цены!$K$33,IF(AD10=Цены!$H$34,Цены!$K$34,IF(AD10=Цены!$H$35,Цены!$K$35,IF(AD10=Цены!$H$36,Цены!$K$36,IF(AD10=Цены!$H$37,Цены!$K$37,IF(AD10=Цены!$H$38,Цены!$K$38,IF(AD10=Цены!$H$39,Цены!$K$39,IF(AD10=Цены!$H$40,Цены!$K$40,IF(AD10=Цены!$H$41,Цены!$K$41,IF(AD10=Цены!$H$42,Цены!$K$42,IF(AD10=Цены!$H$43,Цены!$K$43,IF(AD10=Цены!$H$44,Цены!$K$44,IF(AD10=Цены!$H$45,Цены!$K$45,IF(AD10=Цены!$H$46,Цены!$K$46,IF(AD10=Цены!$H$47,Цены!$K$47,IF(AD10=Цены!$H$48,Цены!$K$48,IF(AD10=Цены!$H$49,Цены!$K$49,IF(AD10=Цены!$H$50,Цены!$K$50,IF(AD10=Цены!$H$51,Цены!$K$51,IF(AD10=Цены!$H$52,Цены!$K$52,IF(AD10=Цены!$H$53,Цены!$K$53,IF(AD10=Цены!$H$54,Цены!$K$54,IF(AD10=Цены!$H$55,Цены!$K$55))))))))))))))))))))))))))))))))))))))))))))))))))))))</f>
        <v>388</v>
      </c>
      <c r="AI10" s="265"/>
      <c r="AJ10" s="265"/>
      <c r="AK10" s="312"/>
      <c r="AL10" s="314"/>
      <c r="AM10" s="314"/>
      <c r="AN10" s="265"/>
      <c r="AO10" s="312"/>
      <c r="AP10" s="315"/>
      <c r="AQ10" s="78"/>
      <c r="AR10" s="79"/>
      <c r="AS10" s="80" t="b">
        <f>IF(AQ10=Цены!$H$3,Цены!$L$3,IF(AQ10=Цены!$H$4,Цены!$L$4,IF(AQ10=Цены!$H$5,Цены!$L$5,IF(AQ10=Цены!$H$6,Цены!$L$6,IF(AQ10=Цены!$H$7,Цены!$L$7,IF(AQ10=Цены!$H$8,Цены!$L$8,IF(AQ10=Цены!$H$9,Цены!$L$9,IF(AQ10=Цены!$H$10,Цены!$L$10,IF(AQ10=Цены!$H$11,Цены!$L$11,IF(AQ10=Цены!$H$12,Цены!$L$12,IF(AQ10=Цены!$H$13,Цены!$L$13,IF(AQ10=Цены!$H$14,Цены!$L$14,IF(AQ10=Цены!$H$14,Цены!$L$14,IF(AQ10=Цены!$H$15,Цены!$L$15,IF(AQ10=Цены!$H$16,Цены!$L$16,IF(AQ10=Цены!$H$17,Цены!$L$17,IF(AQ10=Цены!$H$18,Цены!$L$18,IF(AQ10=Цены!$H$19,Цены!$L$19,IF(AQ10=Цены!$H$20,Цены!$L$20,IF(AQ10=Цены!$H$21,Цены!$L$21,IF(AQ10=Цены!$H$22,Цены!$L$22,IF(AQ10=Цены!$H$23,Цены!$L$23,IF(AQ10=Цены!$H$24,Цены!$L$24,IF(AQ10=Цены!$H$25,Цены!$L$25,IF(AQ10=Цены!$H$26,Цены!$L$26,IF(AQ10=Цены!$H$27,Цены!$L$27,IF(AQ10=Цены!$H$28,Цены!$L$28,IF(AQ10=Цены!$H$29,Цены!$L$29,IF(AQ10=Цены!$H$30,Цены!$L$30,IF(AQ10=Цены!$H$31,Цены!$L$31,IF(AQ10=Цены!$H$32,Цены!$L$32,IF(AQ10=Цены!$H$33,Цены!$L$33,IF(AQ10=Цены!$H$34,Цены!$L$34,IF(AQ10=Цены!$H$35,Цены!$L$35,IF(AQ10=Цены!$H$36,Цены!$L$36,IF(AQ10=Цены!$H$37,Цены!$L$37,IF(AQ10=Цены!$H$38,Цены!$L$38,IF(AQ10=Цены!$H$39,Цены!$L$39,IF(AQ10=Цены!$H$40,Цены!$L$40,IF(AQ10=Цены!$H$41,Цены!$L$41,IF(AQ10=Цены!$H$42,Цены!$L$42,IF(AQ10=Цены!$H$43,Цены!$L$43,IF(AQ10=Цены!$H$44,Цены!$L$44,IF(AQ10=Цены!$H$45,Цены!$L$45,IF(AQ10=Цены!$H$46,Цены!$L$46,IF(AQ10=Цены!$H$47,Цены!$L$47,IF(AQ10=Цены!$H$48,Цены!$L$48,IF(AQ10=Цены!$H$49,Цены!$L$49,IF(AQ10=Цены!$H$50,Цены!$L$50,IF(AQ10=Цены!$H$51,Цены!$L$51,IF(AQ10=Цены!$H$52,Цены!$L$52,IF(AQ10=Цены!$H$53,Цены!$L$53,IF(AQ10=Цены!$H$54,Цены!$L$54,IF(AQ10=Цены!$H$55,Цены!$L$55))))))))))))))))))))))))))))))))))))))))))))))))))))))</f>
        <v>0</v>
      </c>
      <c r="AT10" s="271"/>
      <c r="AU10" s="81" t="b">
        <f>IF(AQ10=Цены!$H$3,Цены!$K$3,IF(AQ10=Цены!$H$4,Цены!$K$4,IF(AQ10=Цены!$H$5,Цены!$K$5,IF(AQ10=Цены!$H$6,Цены!$K$6,IF(AQ10=Цены!$H$7,Цены!$K$7,IF(AQ10=Цены!$H$8,Цены!$K$8,IF(AQ10=Цены!$H$9,Цены!$K$9,IF(AQ10=Цены!$H$10,Цены!$K$10,IF(AQ10=Цены!$H$11,Цены!$K$11,IF(AQ10=Цены!$H$12,Цены!$K$12,IF(AQ10=Цены!$H$13,Цены!$K$13,IF(AQ10=Цены!$H$14,Цены!$K$14,IF(AQ10=Цены!$H$14,Цены!$K$14,IF(AQ10=Цены!$H$15,Цены!$K$15,IF(AQ10=Цены!$H$16,Цены!$K$16,IF(AQ10=Цены!$H$17,Цены!$K$17,IF(AQ10=Цены!$H$18,Цены!$K$18,IF(AQ10=Цены!$H$19,Цены!$K$19,IF(AQ10=Цены!$H$20,Цены!$K$20,IF(AQ10=Цены!$H$21,Цены!$K$21,IF(AQ10=Цены!$H$22,Цены!$K$22,IF(AQ10=Цены!$H$23,Цены!$K$23,IF(AQ10=Цены!$H$24,Цены!$K$24,IF(AQ10=Цены!$H$25,Цены!$K$25,IF(AQ10=Цены!$H$26,Цены!$K$26,IF(AQ10=Цены!$H$27,Цены!$K$27,IF(AQ10=Цены!$H$28,Цены!$K$28,IF(AQ10=Цены!$H$29,Цены!$K$29,IF(AQ10=Цены!$H$30,Цены!$K$30,IF(AQ10=Цены!$H$31,Цены!$K$31,IF(AQ10=Цены!$H$32,Цены!$K$32,IF(AQ10=Цены!$H$33,Цены!$K$33,IF(AQ10=Цены!$H$34,Цены!$K$34,IF(AQ10=Цены!$H$35,Цены!$K$35,IF(AQ10=Цены!$H$36,Цены!$K$36,IF(AQ10=Цены!$H$37,Цены!$K$37,IF(AQ10=Цены!$H$38,Цены!$K$38,IF(AQ10=Цены!$H$39,Цены!$K$39,IF(AQ10=Цены!$H$40,Цены!$K$40,IF(AQ10=Цены!$H$41,Цены!$K$41,IF(AQ10=Цены!$H$42,Цены!$K$42,IF(AQ10=Цены!$H$43,Цены!$K$43,IF(AQ10=Цены!$H$44,Цены!$K$44,IF(AQ10=Цены!$H$45,Цены!$K$45,IF(AQ10=Цены!$H$46,Цены!$K$46,IF(AQ10=Цены!$H$47,Цены!$K$47,IF(AQ10=Цены!$H$48,Цены!$K$48,IF(AQ10=Цены!$H$49,Цены!$K$49,IF(AQ10=Цены!$H$50,Цены!$K$50,IF(AQ10=Цены!$H$51,Цены!$K$51,IF(AQ10=Цены!$H$52,Цены!$K$52,IF(AQ10=Цены!$H$53,Цены!$K$53,IF(AQ10=Цены!$H$54,Цены!$K$54,IF(AQ10=Цены!$H$55,Цены!$K$55))))))))))))))))))))))))))))))))))))))))))))))))))))))</f>
        <v>0</v>
      </c>
      <c r="AV10" s="265"/>
      <c r="AW10" s="265"/>
      <c r="AX10" s="274"/>
      <c r="AY10" s="304"/>
      <c r="AZ10" s="304"/>
      <c r="BA10" s="265"/>
      <c r="BB10" s="274"/>
      <c r="BC10" s="305"/>
      <c r="BD10" s="244"/>
      <c r="BE10" s="101"/>
      <c r="BF10" s="102"/>
      <c r="BG10" s="103" t="b">
        <f>IF(BE10=Цены!$H$3,Цены!$L$3,IF(BE10=Цены!$H$4,Цены!$L$4,IF(BE10=Цены!$H$5,Цены!$L$5,IF(BE10=Цены!$H$6,Цены!$L$6,IF(BE10=Цены!$H$7,Цены!$L$7,IF(BE10=Цены!$H$8,Цены!$L$8,IF(BE10=Цены!$H$9,Цены!$L$9,IF(BE10=Цены!$H$10,Цены!$L$10,IF(BE10=Цены!$H$11,Цены!$L$11,IF(BE10=Цены!$H$12,Цены!$L$12,IF(BE10=Цены!$H$13,Цены!$L$13,IF(BE10=Цены!$H$14,Цены!$L$14,IF(BE10=Цены!$H$14,Цены!$L$14,IF(BE10=Цены!$H$15,Цены!$L$15,IF(BE10=Цены!$H$16,Цены!$L$16,IF(BE10=Цены!$H$17,Цены!$L$17,IF(BE10=Цены!$H$18,Цены!$L$18,IF(BE10=Цены!$H$19,Цены!$L$19,IF(BE10=Цены!$H$20,Цены!$L$20,IF(BE10=Цены!$H$21,Цены!$L$21,IF(BE10=Цены!$H$22,Цены!$L$22,IF(BE10=Цены!$H$23,Цены!$L$23,IF(BE10=Цены!$H$24,Цены!$L$24,IF(BE10=Цены!$H$25,Цены!$L$25,IF(BE10=Цены!$H$26,Цены!$L$26,IF(BE10=Цены!$H$27,Цены!$L$27,IF(BE10=Цены!$H$28,Цены!$L$28,IF(BE10=Цены!$H$29,Цены!$L$29,IF(BE10=Цены!$H$30,Цены!$L$30,IF(BE10=Цены!$H$31,Цены!$L$31,IF(BE10=Цены!$H$32,Цены!$L$32,IF(BE10=Цены!$H$33,Цены!$L$33,IF(BE10=Цены!$H$34,Цены!$L$34,IF(BE10=Цены!$H$35,Цены!$L$35,IF(BE10=Цены!$H$36,Цены!$L$36,IF(BE10=Цены!$H$37,Цены!$L$37,IF(BE10=Цены!$H$38,Цены!$L$38,IF(BE10=Цены!$H$39,Цены!$L$39,IF(BE10=Цены!$H$40,Цены!$L$40,IF(BE10=Цены!$H$41,Цены!$L$41,IF(BE10=Цены!$H$42,Цены!$L$42,IF(BE10=Цены!$H$43,Цены!$L$43,IF(BE10=Цены!$H$44,Цены!$L$44,IF(BE10=Цены!$H$45,Цены!$L$45,IF(BE10=Цены!$H$46,Цены!$L$46,IF(BE10=Цены!$H$47,Цены!$L$47,IF(BE10=Цены!$H$48,Цены!$L$48,IF(BE10=Цены!$H$49,Цены!$L$49,IF(BE10=Цены!$H$50,Цены!$L$50,IF(BE10=Цены!$H$51,Цены!$L$51,IF(BE10=Цены!$H$52,Цены!$L$52,IF(BE10=Цены!$H$53,Цены!$L$53,IF(BE10=Цены!$H$54,Цены!$L$54,IF(BE10=Цены!$H$55,Цены!$L$55))))))))))))))))))))))))))))))))))))))))))))))))))))))</f>
        <v>0</v>
      </c>
      <c r="BH10" s="280"/>
      <c r="BI10" s="104" t="b">
        <f>IF(BE10=Цены!$H$3,Цены!$K$3,IF(BE10=Цены!$H$4,Цены!$K$4,IF(BE10=Цены!$H$5,Цены!$K$5,IF(BE10=Цены!$H$6,Цены!$K$6,IF(BE10=Цены!$H$7,Цены!$K$7,IF(BE10=Цены!$H$8,Цены!$K$8,IF(BE10=Цены!$H$9,Цены!$K$9,IF(BE10=Цены!$H$10,Цены!$K$10,IF(BE10=Цены!$H$11,Цены!$K$11,IF(BE10=Цены!$H$12,Цены!$K$12,IF(BE10=Цены!$H$13,Цены!$K$13,IF(BE10=Цены!$H$14,Цены!$K$14,IF(BE10=Цены!$H$14,Цены!$K$14,IF(BE10=Цены!$H$15,Цены!$K$15,IF(BE10=Цены!$H$16,Цены!$K$16,IF(BE10=Цены!$H$17,Цены!$K$17,IF(BE10=Цены!$H$18,Цены!$K$18,IF(BE10=Цены!$H$19,Цены!$K$19,IF(BE10=Цены!$H$20,Цены!$K$20,IF(BE10=Цены!$H$21,Цены!$K$21,IF(BE10=Цены!$H$22,Цены!$K$22,IF(BE10=Цены!$H$23,Цены!$K$23,IF(BE10=Цены!$H$24,Цены!$K$24,IF(BE10=Цены!$H$25,Цены!$K$25,IF(BE10=Цены!$H$26,Цены!$K$26,IF(BE10=Цены!$H$27,Цены!$K$27,IF(BE10=Цены!$H$28,Цены!$K$28,IF(BE10=Цены!$H$29,Цены!$K$29,IF(BE10=Цены!$H$30,Цены!$K$30,IF(BE10=Цены!$H$31,Цены!$K$31,IF(BE10=Цены!$H$32,Цены!$K$32,IF(BE10=Цены!$H$33,Цены!$K$33,IF(BE10=Цены!$H$34,Цены!$K$34,IF(BE10=Цены!$H$35,Цены!$K$35,IF(BE10=Цены!$H$36,Цены!$K$36,IF(BE10=Цены!$H$37,Цены!$K$37,IF(BE10=Цены!$H$38,Цены!$K$38,IF(BE10=Цены!$H$39,Цены!$K$39,IF(BE10=Цены!$H$40,Цены!$K$40,IF(BE10=Цены!$H$41,Цены!$K$41,IF(BE10=Цены!$H$42,Цены!$K$42,IF(BE10=Цены!$H$43,Цены!$K$43,IF(BE10=Цены!$H$44,Цены!$K$44,IF(BE10=Цены!$H$45,Цены!$K$45,IF(BE10=Цены!$H$46,Цены!$K$46,IF(BE10=Цены!$H$47,Цены!$K$47,IF(BE10=Цены!$H$48,Цены!$K$48,IF(BE10=Цены!$H$49,Цены!$K$49,IF(BE10=Цены!$H$50,Цены!$K$50,IF(BE10=Цены!$H$51,Цены!$K$51,IF(BE10=Цены!$H$52,Цены!$K$52,IF(BE10=Цены!$H$53,Цены!$K$53,IF(BE10=Цены!$H$54,Цены!$K$54,IF(BE10=Цены!$H$55,Цены!$K$55))))))))))))))))))))))))))))))))))))))))))))))))))))))</f>
        <v>0</v>
      </c>
      <c r="BJ10" s="265"/>
      <c r="BK10" s="265"/>
      <c r="BL10" s="281"/>
      <c r="BM10" s="292"/>
      <c r="BN10" s="292"/>
      <c r="BO10" s="265"/>
      <c r="BP10" s="281"/>
      <c r="BQ10" s="293"/>
      <c r="BR10" s="107"/>
      <c r="BS10" s="108"/>
      <c r="BT10" s="109" t="b">
        <f>IF(BR10=Цены!$H$3,Цены!$L$3,IF(BR10=Цены!$H$4,Цены!$L$4,IF(BR10=Цены!$H$5,Цены!$L$5,IF(BR10=Цены!$H$6,Цены!$L$6,IF(BR10=Цены!$H$7,Цены!$L$7,IF(BR10=Цены!$H$8,Цены!$L$8,IF(BR10=Цены!$H$9,Цены!$L$9,IF(BR10=Цены!$H$10,Цены!$L$10,IF(BR10=Цены!$H$11,Цены!$L$11,IF(BR10=Цены!$H$12,Цены!$L$12,IF(BR10=Цены!$H$13,Цены!$L$13,IF(BR10=Цены!$H$14,Цены!$L$14,IF(BR10=Цены!$H$14,Цены!$L$14,IF(BR10=Цены!$H$15,Цены!$L$15,IF(BR10=Цены!$H$16,Цены!$L$16,IF(BR10=Цены!$H$17,Цены!$L$17,IF(BR10=Цены!$H$18,Цены!$L$18,IF(BR10=Цены!$H$19,Цены!$L$19,IF(BR10=Цены!$H$20,Цены!$L$20,IF(BR10=Цены!$H$21,Цены!$L$21,IF(BR10=Цены!$H$22,Цены!$L$22,IF(BR10=Цены!$H$23,Цены!$L$23,IF(BR10=Цены!$H$24,Цены!$L$24,IF(BR10=Цены!$H$25,Цены!$L$25,IF(BR10=Цены!$H$26,Цены!$L$26,IF(BR10=Цены!$H$27,Цены!$L$27,IF(BR10=Цены!$H$28,Цены!$L$28,IF(BR10=Цены!$H$29,Цены!$L$29,IF(BR10=Цены!$H$30,Цены!$L$30,IF(BR10=Цены!$H$31,Цены!$L$31,IF(BR10=Цены!$H$32,Цены!$L$32,IF(BR10=Цены!$H$33,Цены!$L$33,IF(BR10=Цены!$H$34,Цены!$L$34,IF(BR10=Цены!$H$35,Цены!$L$35,IF(BR10=Цены!$H$36,Цены!$L$36,IF(BR10=Цены!$H$37,Цены!$L$37,IF(BR10=Цены!$H$38,Цены!$L$38,IF(BR10=Цены!$H$39,Цены!$L$39,IF(BR10=Цены!$H$40,Цены!$L$40,IF(BR10=Цены!$H$41,Цены!$L$41,IF(BR10=Цены!$H$42,Цены!$L$42,IF(BR10=Цены!$H$43,Цены!$L$43,IF(BR10=Цены!$H$44,Цены!$L$44,IF(BR10=Цены!$H$45,Цены!$L$45,IF(BR10=Цены!$H$46,Цены!$L$46,IF(BR10=Цены!$H$47,Цены!$L$47,IF(BR10=Цены!$H$48,Цены!$L$48,IF(BR10=Цены!$H$49,Цены!$L$49,IF(BR10=Цены!$H$50,Цены!$L$50,IF(BR10=Цены!$H$51,Цены!$L$51,IF(BR10=Цены!$H$52,Цены!$L$52,IF(BR10=Цены!$H$53,Цены!$L$53,IF(BR10=Цены!$H$54,Цены!$L$54,IF(BR10=Цены!$H$55,Цены!$L$55))))))))))))))))))))))))))))))))))))))))))))))))))))))</f>
        <v>0</v>
      </c>
      <c r="BU10" s="284"/>
      <c r="BV10" s="110" t="b">
        <f>IF(BR10=Цены!$H$3,Цены!$K$3,IF(BR10=Цены!$H$4,Цены!$K$4,IF(BR10=Цены!$H$5,Цены!$K$5,IF(BR10=Цены!$H$6,Цены!$K$6,IF(BR10=Цены!$H$7,Цены!$K$7,IF(BR10=Цены!$H$8,Цены!$K$8,IF(BR10=Цены!$H$9,Цены!$K$9,IF(BR10=Цены!$H$10,Цены!$K$10,IF(BR10=Цены!$H$11,Цены!$K$11,IF(BR10=Цены!$H$12,Цены!$K$12,IF(BR10=Цены!$H$13,Цены!$K$13,IF(BR10=Цены!$H$14,Цены!$K$14,IF(BR10=Цены!$H$14,Цены!$K$14,IF(BR10=Цены!$H$15,Цены!$K$15,IF(BR10=Цены!$H$16,Цены!$K$16,IF(BR10=Цены!$H$17,Цены!$K$17,IF(BR10=Цены!$H$18,Цены!$K$18,IF(BR10=Цены!$H$19,Цены!$K$19,IF(BR10=Цены!$H$20,Цены!$K$20,IF(BR10=Цены!$H$21,Цены!$K$21,IF(BR10=Цены!$H$22,Цены!$K$22,IF(BR10=Цены!$H$23,Цены!$K$23,IF(BR10=Цены!$H$24,Цены!$K$24,IF(BR10=Цены!$H$25,Цены!$K$25,IF(BR10=Цены!$H$26,Цены!$K$26,IF(BR10=Цены!$H$27,Цены!$K$27,IF(BR10=Цены!$H$28,Цены!$K$28,IF(BR10=Цены!$H$29,Цены!$K$29,IF(BR10=Цены!$H$30,Цены!$K$30,IF(BR10=Цены!$H$31,Цены!$K$31,IF(BR10=Цены!$H$32,Цены!$K$32,IF(BR10=Цены!$H$33,Цены!$K$33,IF(BR10=Цены!$H$34,Цены!$K$34,IF(BR10=Цены!$H$35,Цены!$K$35,IF(BR10=Цены!$H$36,Цены!$K$36,IF(BR10=Цены!$H$37,Цены!$K$37,IF(BR10=Цены!$H$38,Цены!$K$38,IF(BR10=Цены!$H$39,Цены!$K$39,IF(BR10=Цены!$H$40,Цены!$K$40,IF(BR10=Цены!$H$41,Цены!$K$41,IF(BR10=Цены!$H$42,Цены!$K$42,IF(BR10=Цены!$H$43,Цены!$K$43,IF(BR10=Цены!$H$44,Цены!$K$44,IF(BR10=Цены!$H$45,Цены!$K$45,IF(BR10=Цены!$H$46,Цены!$K$46,IF(BR10=Цены!$H$47,Цены!$K$47,IF(BR10=Цены!$H$48,Цены!$K$48,IF(BR10=Цены!$H$49,Цены!$K$49,IF(BR10=Цены!$H$50,Цены!$K$50,IF(BR10=Цены!$H$51,Цены!$K$51,IF(BR10=Цены!$H$52,Цены!$K$52,IF(BR10=Цены!$H$53,Цены!$K$53,IF(BR10=Цены!$H$54,Цены!$K$54,IF(BR10=Цены!$H$55,Цены!$K$55))))))))))))))))))))))))))))))))))))))))))))))))))))))</f>
        <v>0</v>
      </c>
      <c r="BW10" s="265"/>
      <c r="BX10" s="265"/>
      <c r="BY10" s="285"/>
      <c r="BZ10" s="290"/>
      <c r="CA10" s="290"/>
      <c r="CB10" s="265"/>
      <c r="CC10" s="285"/>
      <c r="CD10" s="291"/>
      <c r="CE10" s="119"/>
      <c r="CF10" s="112"/>
      <c r="CG10" s="113" t="b">
        <f>IF(CE10=Цены!$H$3,Цены!$L$3,IF(CE10=Цены!$H$4,Цены!$L$4,IF(CE10=Цены!$H$5,Цены!$L$5,IF(CE10=Цены!$H$6,Цены!$L$6,IF(CE10=Цены!$H$7,Цены!$L$7,IF(CE10=Цены!$H$8,Цены!$L$8,IF(CE10=Цены!$H$9,Цены!$L$9,IF(CE10=Цены!$H$10,Цены!$L$10,IF(CE10=Цены!$H$11,Цены!$L$11,IF(CE10=Цены!$H$12,Цены!$L$12,IF(CE10=Цены!$H$13,Цены!$L$13,IF(CE10=Цены!$H$14,Цены!$L$14,IF(CE10=Цены!$H$14,Цены!$L$14,IF(CE10=Цены!$H$15,Цены!$L$15,IF(CE10=Цены!$H$16,Цены!$L$16,IF(CE10=Цены!$H$17,Цены!$L$17,IF(CE10=Цены!$H$18,Цены!$L$18,IF(CE10=Цены!$H$19,Цены!$L$19,IF(CE10=Цены!$H$20,Цены!$L$20,IF(CE10=Цены!$H$21,Цены!$L$21,IF(CE10=Цены!$H$22,Цены!$L$22,IF(CE10=Цены!$H$23,Цены!$L$23,IF(CE10=Цены!$H$24,Цены!$L$24,IF(CE10=Цены!$H$25,Цены!$L$25,IF(CE10=Цены!$H$26,Цены!$L$26,IF(CE10=Цены!$H$27,Цены!$L$27,IF(CE10=Цены!$H$28,Цены!$L$28,IF(CE10=Цены!$H$29,Цены!$L$29,IF(CE10=Цены!$H$30,Цены!$L$30,IF(CE10=Цены!$H$31,Цены!$L$31,IF(CE10=Цены!$H$32,Цены!$L$32,IF(CE10=Цены!$H$33,Цены!$L$33,IF(CE10=Цены!$H$34,Цены!$L$34,IF(CE10=Цены!$H$35,Цены!$L$35,IF(CE10=Цены!$H$36,Цены!$L$36,IF(CE10=Цены!$H$37,Цены!$L$37,IF(CE10=Цены!$H$38,Цены!$L$38,IF(CE10=Цены!$H$39,Цены!$L$39,IF(CE10=Цены!$H$40,Цены!$L$40,IF(CE10=Цены!$H$41,Цены!$L$41,IF(CE10=Цены!$H$42,Цены!$L$42,IF(CE10=Цены!$H$43,Цены!$L$43,IF(CE10=Цены!$H$44,Цены!$L$44,IF(CE10=Цены!$H$45,Цены!$L$45,IF(CE10=Цены!$H$46,Цены!$L$46,IF(CE10=Цены!$H$47,Цены!$L$47,IF(CE10=Цены!$H$48,Цены!$L$48,IF(CE10=Цены!$H$49,Цены!$L$49,IF(CE10=Цены!$H$50,Цены!$L$50,IF(CE10=Цены!$H$51,Цены!$L$51,IF(CE10=Цены!$H$52,Цены!$L$52,IF(CE10=Цены!$H$53,Цены!$L$53,IF(CE10=Цены!$H$54,Цены!$L$54,IF(CE10=Цены!$H$55,Цены!$L$55))))))))))))))))))))))))))))))))))))))))))))))))))))))</f>
        <v>0</v>
      </c>
      <c r="CH10" s="282"/>
      <c r="CI10" s="114" t="b">
        <f>IF(CE10=Цены!$H$3,Цены!$K$3,IF(CE10=Цены!$H$4,Цены!$K$4,IF(CE10=Цены!$H$5,Цены!$K$5,IF(CE10=Цены!$H$6,Цены!$K$6,IF(CE10=Цены!$H$7,Цены!$K$7,IF(CE10=Цены!$H$8,Цены!$K$8,IF(CE10=Цены!$H$9,Цены!$K$9,IF(CE10=Цены!$H$10,Цены!$K$10,IF(CE10=Цены!$H$11,Цены!$K$11,IF(CE10=Цены!$H$12,Цены!$K$12,IF(CE10=Цены!$H$13,Цены!$K$13,IF(CE10=Цены!$H$14,Цены!$K$14,IF(CE10=Цены!$H$14,Цены!$K$14,IF(CE10=Цены!$H$15,Цены!$K$15,IF(CE10=Цены!$H$16,Цены!$K$16,IF(CE10=Цены!$H$17,Цены!$K$17,IF(CE10=Цены!$H$18,Цены!$K$18,IF(CE10=Цены!$H$19,Цены!$K$19,IF(CE10=Цены!$H$20,Цены!$K$20,IF(CE10=Цены!$H$21,Цены!$K$21,IF(CE10=Цены!$H$22,Цены!$K$22,IF(CE10=Цены!$H$23,Цены!$K$23,IF(CE10=Цены!$H$24,Цены!$K$24,IF(CE10=Цены!$H$25,Цены!$K$25,IF(CE10=Цены!$H$26,Цены!$K$26,IF(CE10=Цены!$H$27,Цены!$K$27,IF(CE10=Цены!$H$28,Цены!$K$28,IF(CE10=Цены!$H$29,Цены!$K$29,IF(CE10=Цены!$H$30,Цены!$K$30,IF(CE10=Цены!$H$31,Цены!$K$31,IF(CE10=Цены!$H$32,Цены!$K$32,IF(CE10=Цены!$H$33,Цены!$K$33,IF(CE10=Цены!$H$34,Цены!$K$34,IF(CE10=Цены!$H$35,Цены!$K$35,IF(CE10=Цены!$H$36,Цены!$K$36,IF(CE10=Цены!$H$37,Цены!$K$37,IF(CE10=Цены!$H$38,Цены!$K$38,IF(CE10=Цены!$H$39,Цены!$K$39,IF(CE10=Цены!$H$40,Цены!$K$40,IF(CE10=Цены!$H$41,Цены!$K$41,IF(CE10=Цены!$H$42,Цены!$K$42,IF(CE10=Цены!$H$43,Цены!$K$43,IF(CE10=Цены!$H$44,Цены!$K$44,IF(CE10=Цены!$H$45,Цены!$K$45,IF(CE10=Цены!$H$46,Цены!$K$46,IF(CE10=Цены!$H$47,Цены!$K$47,IF(CE10=Цены!$H$48,Цены!$K$48,IF(CE10=Цены!$H$49,Цены!$K$49,IF(CE10=Цены!$H$50,Цены!$K$50,IF(CE10=Цены!$H$51,Цены!$K$51,IF(CE10=Цены!$H$52,Цены!$K$52,IF(CE10=Цены!$H$53,Цены!$K$53,IF(CE10=Цены!$H$54,Цены!$K$54,IF(CE10=Цены!$H$55,Цены!$K$55))))))))))))))))))))))))))))))))))))))))))))))))))))))</f>
        <v>0</v>
      </c>
      <c r="CJ10" s="265"/>
      <c r="CK10" s="265"/>
      <c r="CL10" s="283"/>
      <c r="CM10" s="288"/>
      <c r="CN10" s="288"/>
      <c r="CO10" s="265"/>
      <c r="CP10" s="283"/>
      <c r="CQ10" s="289"/>
    </row>
    <row r="11" spans="1:95" ht="15" hidden="1" customHeight="1" x14ac:dyDescent="0.25">
      <c r="A11" s="340" t="s">
        <v>108</v>
      </c>
      <c r="B11" s="265" t="s">
        <v>112</v>
      </c>
      <c r="C11" s="265" t="s">
        <v>113</v>
      </c>
      <c r="D11" s="26" t="s">
        <v>62</v>
      </c>
      <c r="E11" s="25">
        <v>6</v>
      </c>
      <c r="F11" s="27" t="b">
        <f>IF(D11=Цены!$H$3,Цены!$L$3,IF(D11=Цены!$H$4,Цены!$L$4,IF(D11=Цены!$H$5,Цены!$L$5,IF(D11=Цены!$H$6,Цены!$L$6,IF(D11=Цены!$H$7,Цены!$L$7,IF(D11=Цены!$H$8,Цены!$L$8,IF(D11=Цены!$H$9,Цены!$L$9,IF(D11=Цены!$H$10,Цены!$L$10,IF(D11=Цены!$H$11,Цены!$L$11,IF(D11=Цены!$H$12,Цены!$L$12,IF(D11=Цены!$H$13,Цены!$L$13,IF(D11=Цены!$H$14,Цены!$L$14,IF(D11=Цены!$H$14,Цены!$L$14,IF(D11=Цены!$H$15,Цены!$L$15,IF(D11=Цены!$H$16,Цены!$L$16,IF(D11=Цены!$H$17,Цены!$L$17,IF(D11=Цены!$H$18,Цены!$L$18,IF(D11=Цены!$H$19,Цены!$L$19,IF(D11=Цены!$H$20,Цены!$L$20,IF(D11=Цены!$H$21,Цены!$L$21,IF(D11=Цены!$H$22,Цены!$L$22,IF(D11=Цены!$H$23,Цены!$L$23,IF(D11=Цены!$H$24,Цены!$L$24,IF(D11=Цены!$H$25,Цены!$L$25,IF(D11=Цены!$H$26,Цены!$L$26,IF(D11=Цены!$H$27,Цены!$L$27,IF(D11=Цены!$H$28,Цены!$L$28,IF(D11=Цены!$H$29,Цены!$L$29,IF(D11=Цены!$H$30,Цены!$L$30,IF(D11=Цены!$H$31,Цены!$L$31,IF(D11=Цены!$H$32,Цены!$L$32,IF(D11=Цены!$H$33,Цены!$L$33,IF(D11=Цены!$H$34,Цены!$L$34,IF(D11=Цены!$H$35,Цены!$L$35,IF(D11=Цены!$H$36,Цены!$L$36,IF(D11=Цены!$H$37,Цены!$L$37,IF(D11=Цены!$H$38,Цены!$L$38,IF(D11=Цены!$H$39,Цены!$L$39,IF(D11=Цены!$H$40,Цены!$L$40,IF(D11=Цены!$H$41,Цены!$L$41,IF(D11=Цены!$H$42,Цены!$L$42,IF(D11=Цены!$H$43,Цены!$L$43,IF(D11=Цены!$H$44,Цены!$L$44,IF(D11=Цены!$H$45,Цены!$L$45,IF(D11=Цены!$H$46,Цены!$L$46,IF(D11=Цены!$H$47,Цены!$L$47,IF(D11=Цены!$H$48,Цены!$L$48,IF(D11=Цены!$H$49,Цены!$L$49,IF(D11=Цены!$H$50,Цены!$L$50,IF(D11=Цены!$H$51,Цены!$L$51,IF(D11=Цены!$H$52,Цены!$L$52,IF(D11=Цены!$H$53,Цены!$L$53,IF(D11=Цены!$H$54,Цены!$L$54,IF(D11=Цены!$H$55,Цены!$L$55))))))))))))))))))))))))))))))))))))))))))))))))))))))</f>
        <v>0</v>
      </c>
      <c r="G11" s="309">
        <f>E11*F11+E12*F12+E13*F13+E14*F14</f>
        <v>4.5864000000000003</v>
      </c>
      <c r="H11" s="28" t="b">
        <f>IF(D11=Цены!$H$3,Цены!$K$3,IF(D11=Цены!$H$4,Цены!$K$4,IF(D11=Цены!$H$5,Цены!$K$5,IF(D11=Цены!$H$6,Цены!$K$6,IF(D11=Цены!$H$7,Цены!$K$7,IF(D11=Цены!$H$8,Цены!$K$8,IF(D11=Цены!$H$9,Цены!$K$9,IF(D11=Цены!$H$10,Цены!$K$10,IF(D11=Цены!$H$11,Цены!$K$11,IF(D11=Цены!$H$12,Цены!$K$12,IF(D11=Цены!$H$13,Цены!$K$13,IF(D11=Цены!$H$14,Цены!$K$14,IF(D11=Цены!$H$14,Цены!$K$14,IF(D11=Цены!$H$15,Цены!$K$15,IF(D11=Цены!$H$16,Цены!$K$16,IF(D11=Цены!$H$17,Цены!$K$17,IF(D11=Цены!$H$18,Цены!$K$18,IF(D11=Цены!$H$19,Цены!$K$19,IF(D11=Цены!$H$20,Цены!$K$20,IF(D11=Цены!$H$21,Цены!$K$21,IF(D11=Цены!$H$22,Цены!$K$22,IF(D11=Цены!$H$23,Цены!$K$23,IF(D11=Цены!$H$24,Цены!$K$24,IF(D11=Цены!$H$25,Цены!$K$25,IF(D11=Цены!$H$26,Цены!$K$26,IF(D11=Цены!$H$27,Цены!$K$27,IF(D11=Цены!$H$28,Цены!$K$28,IF(D11=Цены!$H$29,Цены!$K$29,IF(D11=Цены!$H$30,Цены!$K$30,IF(D11=Цены!$H$31,Цены!$K$31,IF(D11=Цены!$H$32,Цены!$K$32,IF(D11=Цены!$H$33,Цены!$K$33,IF(D11=Цены!$H$34,Цены!$K$34,IF(D11=Цены!$H$35,Цены!$K$35,IF(D11=Цены!$H$36,Цены!$K$36,IF(D11=Цены!$H$37,Цены!$K$37,IF(D11=Цены!$H$38,Цены!$K$38,IF(D11=Цены!$H$39,Цены!$K$39,IF(D11=Цены!$H$40,Цены!$K$40,IF(D11=Цены!$H$41,Цены!$K$41,IF(D11=Цены!$H$42,Цены!$K$42,IF(D11=Цены!$H$43,Цены!$K$43,IF(D11=Цены!$H$44,Цены!$K$44,IF(D11=Цены!$H$45,Цены!$K$45,IF(D11=Цены!$H$46,Цены!$K$46,IF(D11=Цены!$H$47,Цены!$K$47,IF(D11=Цены!$H$48,Цены!$K$48,IF(D11=Цены!$H$49,Цены!$K$49,IF(D11=Цены!$H$50,Цены!$K$50,IF(D11=Цены!$H$51,Цены!$K$51,IF(D11=Цены!$H$52,Цены!$K$52,IF(D11=Цены!$H$53,Цены!$K$53,IF(D11=Цены!$H$54,Цены!$K$54,IF(D11=Цены!$H$55,Цены!$K$55))))))))))))))))))))))))))))))))))))))))))))))))))))))</f>
        <v>0</v>
      </c>
      <c r="I11" s="265">
        <v>4</v>
      </c>
      <c r="J11" s="265">
        <v>800</v>
      </c>
      <c r="K11" s="310">
        <f t="shared" ref="K11" si="11">E11*H11+E12*H12+E13*H13+E14*H14</f>
        <v>3434</v>
      </c>
      <c r="L11" s="265">
        <f>$I$11*$J$11</f>
        <v>3200</v>
      </c>
      <c r="M11" s="310">
        <f t="shared" ref="M11" si="12">K11+L11</f>
        <v>6634</v>
      </c>
      <c r="N11" s="265">
        <f>I11*J11*1.1</f>
        <v>3520.0000000000005</v>
      </c>
      <c r="O11" s="310">
        <f>N11/M11*100</f>
        <v>53.059993970455231</v>
      </c>
      <c r="P11" s="313">
        <f>MROUND(M11+N11,500)</f>
        <v>10000</v>
      </c>
      <c r="Q11" s="123" t="s">
        <v>142</v>
      </c>
      <c r="R11" s="30">
        <v>5</v>
      </c>
      <c r="S11" s="27" t="b">
        <f>IF(Q11=Цены!$H$3,Цены!$L$3,IF(Q11=Цены!$H$4,Цены!$L$4,IF(Q11=Цены!$H$5,Цены!$L$5,IF(Q11=Цены!$H$6,Цены!$L$6,IF(Q11=Цены!$H$7,Цены!$L$7,IF(Q11=Цены!$H$8,Цены!$L$8,IF(Q11=Цены!$H$9,Цены!$L$9,IF(Q11=Цены!$H$10,Цены!$L$10,IF(Q11=Цены!$H$11,Цены!$L$11,IF(Q11=Цены!$H$12,Цены!$L$12,IF(Q11=Цены!$H$13,Цены!$L$13,IF(Q11=Цены!$H$14,Цены!$L$14,IF(Q11=Цены!$H$14,Цены!$L$14,IF(Q11=Цены!$H$15,Цены!$L$15,IF(Q11=Цены!$H$16,Цены!$L$16,IF(Q11=Цены!$H$17,Цены!$L$17,IF(Q11=Цены!$H$18,Цены!$L$18,IF(Q11=Цены!$H$19,Цены!$L$19,IF(Q11=Цены!$H$20,Цены!$L$20,IF(Q11=Цены!$H$21,Цены!$L$21,IF(Q11=Цены!$H$22,Цены!$L$22,IF(Q11=Цены!$H$23,Цены!$L$23,IF(Q11=Цены!$H$24,Цены!$L$24,IF(Q11=Цены!$H$25,Цены!$L$25,IF(Q11=Цены!$H$26,Цены!$L$26,IF(Q11=Цены!$H$27,Цены!$L$27,IF(Q11=Цены!$H$28,Цены!$L$28,IF(Q11=Цены!$H$29,Цены!$L$29,IF(Q11=Цены!$H$30,Цены!$L$30,IF(Q11=Цены!$H$31,Цены!$L$31,IF(Q11=Цены!$H$32,Цены!$L$32,IF(Q11=Цены!$H$33,Цены!$L$33,IF(Q11=Цены!$H$34,Цены!$L$34,IF(Q11=Цены!$H$35,Цены!$L$35,IF(Q11=Цены!$H$36,Цены!$L$36,IF(Q11=Цены!$H$37,Цены!$L$37,IF(Q11=Цены!$H$38,Цены!$L$38,IF(Q11=Цены!$H$39,Цены!$L$39,IF(Q11=Цены!$H$40,Цены!$L$40,IF(Q11=Цены!$H$41,Цены!$L$41,IF(Q11=Цены!$H$42,Цены!$L$42,IF(Q11=Цены!$H$43,Цены!$L$43,IF(Q11=Цены!$H$44,Цены!$L$44,IF(Q11=Цены!$H$45,Цены!$L$45,IF(Q11=Цены!$H$46,Цены!$L$46,IF(Q11=Цены!$H$47,Цены!$L$47,IF(Q11=Цены!$H$48,Цены!$L$48,IF(Q11=Цены!$H$49,Цены!$L$49,IF(Q11=Цены!$H$50,Цены!$L$50,IF(Q11=Цены!$H$51,Цены!$L$51,IF(Q11=Цены!$H$52,Цены!$L$52,IF(Q11=Цены!$H$53,Цены!$L$53,IF(Q11=Цены!$H$54,Цены!$L$54,IF(Q11=Цены!$H$55,Цены!$L$55))))))))))))))))))))))))))))))))))))))))))))))))))))))</f>
        <v>0</v>
      </c>
      <c r="T11" s="309">
        <f>R11*S11+R12*S12+R13*S13+R14*S14</f>
        <v>1.92</v>
      </c>
      <c r="U11" s="162" t="b">
        <f>IF(Q11=Цены!$H$3,Цены!$K$3,IF(Q11=Цены!$H$4,Цены!$K$4,IF(Q11=Цены!$H$5,Цены!$K$5,IF(Q11=Цены!$H$6,Цены!$K$6,IF(Q11=Цены!$H$7,Цены!$K$7,IF(Q11=Цены!$H$8,Цены!$K$8,IF(Q11=Цены!$H$9,Цены!$K$9,IF(Q11=Цены!$H$10,Цены!$K$10,IF(Q11=Цены!$H$11,Цены!$K$11,IF(Q11=Цены!$H$12,Цены!$K$12,IF(Q11=Цены!$H$13,Цены!$K$13,IF(Q11=Цены!$H$14,Цены!$K$14,IF(Q11=Цены!$H$14,Цены!$K$14,IF(Q11=Цены!$H$15,Цены!$K$15,IF(Q11=Цены!$H$16,Цены!$K$16,IF(Q11=Цены!$H$17,Цены!$K$17,IF(Q11=Цены!$H$18,Цены!$K$18,IF(Q11=Цены!$H$19,Цены!$K$19,IF(Q11=Цены!$H$20,Цены!$K$20,IF(Q11=Цены!$H$21,Цены!$K$21,IF(Q11=Цены!$H$22,Цены!$K$22,IF(Q11=Цены!$H$23,Цены!$K$23,IF(Q11=Цены!$H$24,Цены!$K$24,IF(Q11=Цены!$H$25,Цены!$K$25,IF(Q11=Цены!$H$26,Цены!$K$26,IF(Q11=Цены!$H$27,Цены!$K$27,IF(Q11=Цены!$H$28,Цены!$K$28,IF(Q11=Цены!$H$29,Цены!$K$29,IF(Q11=Цены!$H$30,Цены!$K$30,IF(Q11=Цены!$H$31,Цены!$K$31,IF(Q11=Цены!$H$32,Цены!$K$32,IF(Q11=Цены!$H$33,Цены!$K$33,IF(Q11=Цены!$H$34,Цены!$K$34,IF(Q11=Цены!$H$35,Цены!$K$35,IF(Q11=Цены!$H$36,Цены!$K$36,IF(Q11=Цены!$H$37,Цены!$K$37,IF(Q11=Цены!$H$38,Цены!$K$38,IF(Q11=Цены!$H$39,Цены!$K$39,IF(Q11=Цены!$H$40,Цены!$K$40,IF(Q11=Цены!$H$41,Цены!$K$41,IF(Q11=Цены!$H$42,Цены!$K$42,IF(Q11=Цены!$H$43,Цены!$K$43,IF(Q11=Цены!$H$44,Цены!$K$44,IF(Q11=Цены!$H$45,Цены!$K$45,IF(Q11=Цены!$H$46,Цены!$K$46,IF(Q11=Цены!$H$47,Цены!$K$47,IF(Q11=Цены!$H$48,Цены!$K$48,IF(Q11=Цены!$H$49,Цены!$K$49,IF(Q11=Цены!$H$50,Цены!$K$50,IF(Q11=Цены!$H$51,Цены!$K$51,IF(Q11=Цены!$H$52,Цены!$K$52,IF(Q11=Цены!$H$53,Цены!$K$53,IF(Q11=Цены!$H$54,Цены!$K$54,IF(Q11=Цены!$H$55,Цены!$K$55))))))))))))))))))))))))))))))))))))))))))))))))))))))</f>
        <v>0</v>
      </c>
      <c r="V11" s="265">
        <v>4</v>
      </c>
      <c r="W11" s="265">
        <v>800</v>
      </c>
      <c r="X11" s="310">
        <f>R11*U11+R12*U12+R13*U13+R14*U14</f>
        <v>936</v>
      </c>
      <c r="Y11" s="265">
        <f>V11*W11</f>
        <v>3200</v>
      </c>
      <c r="Z11" s="310">
        <f>X11+Y11</f>
        <v>4136</v>
      </c>
      <c r="AA11" s="265">
        <f>V11*W11*1.1</f>
        <v>3520.0000000000005</v>
      </c>
      <c r="AB11" s="310">
        <f>AA11/Z11*100</f>
        <v>85.106382978723417</v>
      </c>
      <c r="AC11" s="313">
        <f>MROUND(Z11+AA11,500)</f>
        <v>7500</v>
      </c>
      <c r="AD11" s="134" t="s">
        <v>63</v>
      </c>
      <c r="AE11" s="30">
        <v>5</v>
      </c>
      <c r="AF11" s="27" t="b">
        <f>IF(AD11=Цены!$H$3,Цены!$L$3,IF(AD11=Цены!$H$4,Цены!$L$4,IF(AD11=Цены!$H$5,Цены!$L$5,IF(AD11=Цены!$H$6,Цены!$L$6,IF(AD11=Цены!$H$7,Цены!$L$7,IF(AD11=Цены!$H$8,Цены!$L$8,IF(AD11=Цены!$H$9,Цены!$L$9,IF(AD11=Цены!$H$10,Цены!$L$10,IF(AD11=Цены!$H$11,Цены!$L$11,IF(AD11=Цены!$H$12,Цены!$L$12,IF(AD11=Цены!$H$13,Цены!$L$13,IF(AD11=Цены!$H$14,Цены!$L$14,IF(AD11=Цены!$H$14,Цены!$L$14,IF(AD11=Цены!$H$15,Цены!$L$15,IF(AD11=Цены!$H$16,Цены!$L$16,IF(AD11=Цены!$H$17,Цены!$L$17,IF(AD11=Цены!$H$18,Цены!$L$18,IF(AD11=Цены!$H$19,Цены!$L$19,IF(AD11=Цены!$H$20,Цены!$L$20,IF(AD11=Цены!$H$21,Цены!$L$21,IF(AD11=Цены!$H$22,Цены!$L$22,IF(AD11=Цены!$H$23,Цены!$L$23,IF(AD11=Цены!$H$24,Цены!$L$24,IF(AD11=Цены!$H$25,Цены!$L$25,IF(AD11=Цены!$H$26,Цены!$L$26,IF(AD11=Цены!$H$27,Цены!$L$27,IF(AD11=Цены!$H$28,Цены!$L$28,IF(AD11=Цены!$H$29,Цены!$L$29,IF(AD11=Цены!$H$30,Цены!$L$30,IF(AD11=Цены!$H$31,Цены!$L$31,IF(AD11=Цены!$H$32,Цены!$L$32,IF(AD11=Цены!$H$33,Цены!$L$33,IF(AD11=Цены!$H$34,Цены!$L$34,IF(AD11=Цены!$H$35,Цены!$L$35,IF(AD11=Цены!$H$36,Цены!$L$36,IF(AD11=Цены!$H$37,Цены!$L$37,IF(AD11=Цены!$H$38,Цены!$L$38,IF(AD11=Цены!$H$39,Цены!$L$39,IF(AD11=Цены!$H$40,Цены!$L$40,IF(AD11=Цены!$H$41,Цены!$L$41,IF(AD11=Цены!$H$42,Цены!$L$42,IF(AD11=Цены!$H$43,Цены!$L$43,IF(AD11=Цены!$H$44,Цены!$L$44,IF(AD11=Цены!$H$45,Цены!$L$45,IF(AD11=Цены!$H$46,Цены!$L$46,IF(AD11=Цены!$H$47,Цены!$L$47,IF(AD11=Цены!$H$48,Цены!$L$48,IF(AD11=Цены!$H$49,Цены!$L$49,IF(AD11=Цены!$H$50,Цены!$L$50,IF(AD11=Цены!$H$51,Цены!$L$51,IF(AD11=Цены!$H$52,Цены!$L$52,IF(AD11=Цены!$H$53,Цены!$L$53,IF(AD11=Цены!$H$54,Цены!$L$54,IF(AD11=Цены!$H$55,Цены!$L$55))))))))))))))))))))))))))))))))))))))))))))))))))))))</f>
        <v>0</v>
      </c>
      <c r="AG11" s="309">
        <f>AE11*AF11+AE12*AF12+AE13*AF13+AE14*AF14</f>
        <v>15.29</v>
      </c>
      <c r="AH11" s="28" t="b">
        <f>IF(AD11=Цены!$H$3,Цены!$K$3,IF(AD11=Цены!$H$4,Цены!$K$4,IF(AD11=Цены!$H$5,Цены!$K$5,IF(AD11=Цены!$H$6,Цены!$K$6,IF(AD11=Цены!$H$7,Цены!$K$7,IF(AD11=Цены!$H$8,Цены!$K$8,IF(AD11=Цены!$H$9,Цены!$K$9,IF(AD11=Цены!$H$10,Цены!$K$10,IF(AD11=Цены!$H$11,Цены!$K$11,IF(AD11=Цены!$H$12,Цены!$K$12,IF(AD11=Цены!$H$13,Цены!$K$13,IF(AD11=Цены!$H$14,Цены!$K$14,IF(AD11=Цены!$H$14,Цены!$K$14,IF(AD11=Цены!$H$15,Цены!$K$15,IF(AD11=Цены!$H$16,Цены!$K$16,IF(AD11=Цены!$H$17,Цены!$K$17,IF(AD11=Цены!$H$18,Цены!$K$18,IF(AD11=Цены!$H$19,Цены!$K$19,IF(AD11=Цены!$H$20,Цены!$K$20,IF(AD11=Цены!$H$21,Цены!$K$21,IF(AD11=Цены!$H$22,Цены!$K$22,IF(AD11=Цены!$H$23,Цены!$K$23,IF(AD11=Цены!$H$24,Цены!$K$24,IF(AD11=Цены!$H$25,Цены!$K$25,IF(AD11=Цены!$H$26,Цены!$K$26,IF(AD11=Цены!$H$27,Цены!$K$27,IF(AD11=Цены!$H$28,Цены!$K$28,IF(AD11=Цены!$H$29,Цены!$K$29,IF(AD11=Цены!$H$30,Цены!$K$30,IF(AD11=Цены!$H$31,Цены!$K$31,IF(AD11=Цены!$H$32,Цены!$K$32,IF(AD11=Цены!$H$33,Цены!$K$33,IF(AD11=Цены!$H$34,Цены!$K$34,IF(AD11=Цены!$H$35,Цены!$K$35,IF(AD11=Цены!$H$36,Цены!$K$36,IF(AD11=Цены!$H$37,Цены!$K$37,IF(AD11=Цены!$H$38,Цены!$K$38,IF(AD11=Цены!$H$39,Цены!$K$39,IF(AD11=Цены!$H$40,Цены!$K$40,IF(AD11=Цены!$H$41,Цены!$K$41,IF(AD11=Цены!$H$42,Цены!$K$42,IF(AD11=Цены!$H$43,Цены!$K$43,IF(AD11=Цены!$H$44,Цены!$K$44,IF(AD11=Цены!$H$45,Цены!$K$45,IF(AD11=Цены!$H$46,Цены!$K$46,IF(AD11=Цены!$H$47,Цены!$K$47,IF(AD11=Цены!$H$48,Цены!$K$48,IF(AD11=Цены!$H$49,Цены!$K$49,IF(AD11=Цены!$H$50,Цены!$K$50,IF(AD11=Цены!$H$51,Цены!$K$51,IF(AD11=Цены!$H$52,Цены!$K$52,IF(AD11=Цены!$H$53,Цены!$K$53,IF(AD11=Цены!$H$54,Цены!$K$54,IF(AD11=Цены!$H$55,Цены!$K$55))))))))))))))))))))))))))))))))))))))))))))))))))))))</f>
        <v>0</v>
      </c>
      <c r="AI11" s="265">
        <v>5</v>
      </c>
      <c r="AJ11" s="265">
        <v>800</v>
      </c>
      <c r="AK11" s="310">
        <f>AE11*AH11+AE12*AH12+AE13*AH13+AE14*AH14</f>
        <v>6218</v>
      </c>
      <c r="AL11" s="265">
        <f>AI11*AJ11</f>
        <v>4000</v>
      </c>
      <c r="AM11" s="310">
        <f>AK11+AL11</f>
        <v>10218</v>
      </c>
      <c r="AN11" s="265">
        <f>AI11*AJ11*1.1</f>
        <v>4400</v>
      </c>
      <c r="AO11" s="310">
        <f>AN11/AM11*100</f>
        <v>43.061264435310235</v>
      </c>
      <c r="AP11" s="313">
        <f>MROUND(AM11+AN11,500)</f>
        <v>14500</v>
      </c>
      <c r="AQ11" s="123" t="s">
        <v>142</v>
      </c>
      <c r="AR11" s="129">
        <v>3</v>
      </c>
      <c r="AS11" s="33" t="b">
        <f>IF(AQ11=Цены!$H$3,Цены!$L$3,IF(AQ11=Цены!$H$4,Цены!$L$4,IF(AQ11=Цены!$H$5,Цены!$L$5,IF(AQ11=Цены!$H$6,Цены!$L$6,IF(AQ11=Цены!$H$7,Цены!$L$7,IF(AQ11=Цены!$H$8,Цены!$L$8,IF(AQ11=Цены!$H$9,Цены!$L$9,IF(AQ11=Цены!$H$10,Цены!$L$10,IF(AQ11=Цены!$H$11,Цены!$L$11,IF(AQ11=Цены!$H$12,Цены!$L$12,IF(AQ11=Цены!$H$13,Цены!$L$13,IF(AQ11=Цены!$H$14,Цены!$L$14,IF(AQ11=Цены!$H$14,Цены!$L$14,IF(AQ11=Цены!$H$15,Цены!$L$15,IF(AQ11=Цены!$H$16,Цены!$L$16,IF(AQ11=Цены!$H$17,Цены!$L$17,IF(AQ11=Цены!$H$18,Цены!$L$18,IF(AQ11=Цены!$H$19,Цены!$L$19,IF(AQ11=Цены!$H$20,Цены!$L$20,IF(AQ11=Цены!$H$21,Цены!$L$21,IF(AQ11=Цены!$H$22,Цены!$L$22,IF(AQ11=Цены!$H$23,Цены!$L$23,IF(AQ11=Цены!$H$24,Цены!$L$24,IF(AQ11=Цены!$H$25,Цены!$L$25,IF(AQ11=Цены!$H$26,Цены!$L$26,IF(AQ11=Цены!$H$27,Цены!$L$27,IF(AQ11=Цены!$H$28,Цены!$L$28,IF(AQ11=Цены!$H$29,Цены!$L$29,IF(AQ11=Цены!$H$30,Цены!$L$30,IF(AQ11=Цены!$H$31,Цены!$L$31,IF(AQ11=Цены!$H$32,Цены!$L$32,IF(AQ11=Цены!$H$33,Цены!$L$33,IF(AQ11=Цены!$H$34,Цены!$L$34,IF(AQ11=Цены!$H$35,Цены!$L$35,IF(AQ11=Цены!$H$36,Цены!$L$36,IF(AQ11=Цены!$H$37,Цены!$L$37,IF(AQ11=Цены!$H$38,Цены!$L$38,IF(AQ11=Цены!$H$39,Цены!$L$39,IF(AQ11=Цены!$H$40,Цены!$L$40,IF(AQ11=Цены!$H$41,Цены!$L$41,IF(AQ11=Цены!$H$42,Цены!$L$42,IF(AQ11=Цены!$H$43,Цены!$L$43,IF(AQ11=Цены!$H$44,Цены!$L$44,IF(AQ11=Цены!$H$45,Цены!$L$45,IF(AQ11=Цены!$H$46,Цены!$L$46,IF(AQ11=Цены!$H$47,Цены!$L$47,IF(AQ11=Цены!$H$48,Цены!$L$48,IF(AQ11=Цены!$H$49,Цены!$L$49,IF(AQ11=Цены!$H$50,Цены!$L$50,IF(AQ11=Цены!$H$51,Цены!$L$51,IF(AQ11=Цены!$H$52,Цены!$L$52,IF(AQ11=Цены!$H$53,Цены!$L$53,IF(AQ11=Цены!$H$54,Цены!$L$54,IF(AQ11=Цены!$H$55,Цены!$L$55))))))))))))))))))))))))))))))))))))))))))))))))))))))</f>
        <v>0</v>
      </c>
      <c r="AT11" s="276">
        <f>AR11*AS11+AR12*AS12+AR13*AS13+AR14*AS14</f>
        <v>0.38</v>
      </c>
      <c r="AU11" s="34" t="b">
        <f>IF(AQ11=Цены!$H$3,Цены!$K$3,IF(AQ11=Цены!$H$4,Цены!$K$4,IF(AQ11=Цены!$H$5,Цены!$K$5,IF(AQ11=Цены!$H$6,Цены!$K$6,IF(AQ11=Цены!$H$7,Цены!$K$7,IF(AQ11=Цены!$H$8,Цены!$K$8,IF(AQ11=Цены!$H$9,Цены!$K$9,IF(AQ11=Цены!$H$10,Цены!$K$10,IF(AQ11=Цены!$H$11,Цены!$K$11,IF(AQ11=Цены!$H$12,Цены!$K$12,IF(AQ11=Цены!$H$13,Цены!$K$13,IF(AQ11=Цены!$H$14,Цены!$K$14,IF(AQ11=Цены!$H$14,Цены!$K$14,IF(AQ11=Цены!$H$15,Цены!$K$15,IF(AQ11=Цены!$H$16,Цены!$K$16,IF(AQ11=Цены!$H$17,Цены!$K$17,IF(AQ11=Цены!$H$18,Цены!$K$18,IF(AQ11=Цены!$H$19,Цены!$K$19,IF(AQ11=Цены!$H$20,Цены!$K$20,IF(AQ11=Цены!$H$21,Цены!$K$21,IF(AQ11=Цены!$H$22,Цены!$K$22,IF(AQ11=Цены!$H$23,Цены!$K$23,IF(AQ11=Цены!$H$24,Цены!$K$24,IF(AQ11=Цены!$H$25,Цены!$K$25,IF(AQ11=Цены!$H$26,Цены!$K$26,IF(AQ11=Цены!$H$27,Цены!$K$27,IF(AQ11=Цены!$H$28,Цены!$K$28,IF(AQ11=Цены!$H$29,Цены!$K$29,IF(AQ11=Цены!$H$30,Цены!$K$30,IF(AQ11=Цены!$H$31,Цены!$K$31,IF(AQ11=Цены!$H$32,Цены!$K$32,IF(AQ11=Цены!$H$33,Цены!$K$33,IF(AQ11=Цены!$H$34,Цены!$K$34,IF(AQ11=Цены!$H$35,Цены!$K$35,IF(AQ11=Цены!$H$36,Цены!$K$36,IF(AQ11=Цены!$H$37,Цены!$K$37,IF(AQ11=Цены!$H$38,Цены!$K$38,IF(AQ11=Цены!$H$39,Цены!$K$39,IF(AQ11=Цены!$H$40,Цены!$K$40,IF(AQ11=Цены!$H$41,Цены!$K$41,IF(AQ11=Цены!$H$42,Цены!$K$42,IF(AQ11=Цены!$H$43,Цены!$K$43,IF(AQ11=Цены!$H$44,Цены!$K$44,IF(AQ11=Цены!$H$45,Цены!$K$45,IF(AQ11=Цены!$H$46,Цены!$K$46,IF(AQ11=Цены!$H$47,Цены!$K$47,IF(AQ11=Цены!$H$48,Цены!$K$48,IF(AQ11=Цены!$H$49,Цены!$K$49,IF(AQ11=Цены!$H$50,Цены!$K$50,IF(AQ11=Цены!$H$51,Цены!$K$51,IF(AQ11=Цены!$H$52,Цены!$K$52,IF(AQ11=Цены!$H$53,Цены!$K$53,IF(AQ11=Цены!$H$54,Цены!$K$54,IF(AQ11=Цены!$H$55,Цены!$K$55))))))))))))))))))))))))))))))))))))))))))))))))))))))</f>
        <v>0</v>
      </c>
      <c r="AV11" s="265">
        <v>5</v>
      </c>
      <c r="AW11" s="265">
        <v>800</v>
      </c>
      <c r="AX11" s="269">
        <f>AR11*AU11+AR12*AU12+AR13*AU13+AR14*AU14</f>
        <v>896</v>
      </c>
      <c r="AY11" s="286">
        <f>AV11*AW11</f>
        <v>4000</v>
      </c>
      <c r="AZ11" s="269">
        <f>AX11+AY11</f>
        <v>4896</v>
      </c>
      <c r="BA11" s="265">
        <f>AV11*AW11*1.1</f>
        <v>4400</v>
      </c>
      <c r="BB11" s="269">
        <f>BA11/AZ11*100</f>
        <v>89.869281045751634</v>
      </c>
      <c r="BC11" s="287">
        <f>MROUND(AZ11+BA11,500)</f>
        <v>9500</v>
      </c>
      <c r="BD11" s="243"/>
      <c r="BE11" s="123" t="s">
        <v>139</v>
      </c>
      <c r="BF11" s="71">
        <v>3</v>
      </c>
      <c r="BG11" s="33" t="b">
        <f>IF(BE11=Цены!$H$3,Цены!$L$3,IF(BE11=Цены!$H$4,Цены!$L$4,IF(BE11=Цены!$H$5,Цены!$L$5,IF(BE11=Цены!$H$6,Цены!$L$6,IF(BE11=Цены!$H$7,Цены!$L$7,IF(BE11=Цены!$H$8,Цены!$L$8,IF(BE11=Цены!$H$9,Цены!$L$9,IF(BE11=Цены!$H$10,Цены!$L$10,IF(BE11=Цены!$H$11,Цены!$L$11,IF(BE11=Цены!$H$12,Цены!$L$12,IF(BE11=Цены!$H$13,Цены!$L$13,IF(BE11=Цены!$H$14,Цены!$L$14,IF(BE11=Цены!$H$14,Цены!$L$14,IF(BE11=Цены!$H$15,Цены!$L$15,IF(BE11=Цены!$H$16,Цены!$L$16,IF(BE11=Цены!$H$17,Цены!$L$17,IF(BE11=Цены!$H$18,Цены!$L$18,IF(BE11=Цены!$H$19,Цены!$L$19,IF(BE11=Цены!$H$20,Цены!$L$20,IF(BE11=Цены!$H$21,Цены!$L$21,IF(BE11=Цены!$H$22,Цены!$L$22,IF(BE11=Цены!$H$23,Цены!$L$23,IF(BE11=Цены!$H$24,Цены!$L$24,IF(BE11=Цены!$H$25,Цены!$L$25,IF(BE11=Цены!$H$26,Цены!$L$26,IF(BE11=Цены!$H$27,Цены!$L$27,IF(BE11=Цены!$H$28,Цены!$L$28,IF(BE11=Цены!$H$29,Цены!$L$29,IF(BE11=Цены!$H$30,Цены!$L$30,IF(BE11=Цены!$H$31,Цены!$L$31,IF(BE11=Цены!$H$32,Цены!$L$32,IF(BE11=Цены!$H$33,Цены!$L$33,IF(BE11=Цены!$H$34,Цены!$L$34,IF(BE11=Цены!$H$35,Цены!$L$35,IF(BE11=Цены!$H$36,Цены!$L$36,IF(BE11=Цены!$H$37,Цены!$L$37,IF(BE11=Цены!$H$38,Цены!$L$38,IF(BE11=Цены!$H$39,Цены!$L$39,IF(BE11=Цены!$H$40,Цены!$L$40,IF(BE11=Цены!$H$41,Цены!$L$41,IF(BE11=Цены!$H$42,Цены!$L$42,IF(BE11=Цены!$H$43,Цены!$L$43,IF(BE11=Цены!$H$44,Цены!$L$44,IF(BE11=Цены!$H$45,Цены!$L$45,IF(BE11=Цены!$H$46,Цены!$L$46,IF(BE11=Цены!$H$47,Цены!$L$47,IF(BE11=Цены!$H$48,Цены!$L$48,IF(BE11=Цены!$H$49,Цены!$L$49,IF(BE11=Цены!$H$50,Цены!$L$50,IF(BE11=Цены!$H$51,Цены!$L$51,IF(BE11=Цены!$H$52,Цены!$L$52,IF(BE11=Цены!$H$53,Цены!$L$53,IF(BE11=Цены!$H$54,Цены!$L$54,IF(BE11=Цены!$H$55,Цены!$L$55))))))))))))))))))))))))))))))))))))))))))))))))))))))</f>
        <v>0</v>
      </c>
      <c r="BH11" s="276">
        <f>BF11*BG11+BF12*BG12+BF13*BG13+BF14*BG14</f>
        <v>0.38</v>
      </c>
      <c r="BI11" s="34" t="b">
        <f>IF(BE11=Цены!$H$3,Цены!$K$3,IF(BE11=Цены!$H$4,Цены!$K$4,IF(BE11=Цены!$H$5,Цены!$K$5,IF(BE11=Цены!$H$6,Цены!$K$6,IF(BE11=Цены!$H$7,Цены!$K$7,IF(BE11=Цены!$H$8,Цены!$K$8,IF(BE11=Цены!$H$9,Цены!$K$9,IF(BE11=Цены!$H$10,Цены!$K$10,IF(BE11=Цены!$H$11,Цены!$K$11,IF(BE11=Цены!$H$12,Цены!$K$12,IF(BE11=Цены!$H$13,Цены!$K$13,IF(BE11=Цены!$H$14,Цены!$K$14,IF(BE11=Цены!$H$14,Цены!$K$14,IF(BE11=Цены!$H$15,Цены!$K$15,IF(BE11=Цены!$H$16,Цены!$K$16,IF(BE11=Цены!$H$17,Цены!$K$17,IF(BE11=Цены!$H$18,Цены!$K$18,IF(BE11=Цены!$H$19,Цены!$K$19,IF(BE11=Цены!$H$20,Цены!$K$20,IF(BE11=Цены!$H$21,Цены!$K$21,IF(BE11=Цены!$H$22,Цены!$K$22,IF(BE11=Цены!$H$23,Цены!$K$23,IF(BE11=Цены!$H$24,Цены!$K$24,IF(BE11=Цены!$H$25,Цены!$K$25,IF(BE11=Цены!$H$26,Цены!$K$26,IF(BE11=Цены!$H$27,Цены!$K$27,IF(BE11=Цены!$H$28,Цены!$K$28,IF(BE11=Цены!$H$29,Цены!$K$29,IF(BE11=Цены!$H$30,Цены!$K$30,IF(BE11=Цены!$H$31,Цены!$K$31,IF(BE11=Цены!$H$32,Цены!$K$32,IF(BE11=Цены!$H$33,Цены!$K$33,IF(BE11=Цены!$H$34,Цены!$K$34,IF(BE11=Цены!$H$35,Цены!$K$35,IF(BE11=Цены!$H$36,Цены!$K$36,IF(BE11=Цены!$H$37,Цены!$K$37,IF(BE11=Цены!$H$38,Цены!$K$38,IF(BE11=Цены!$H$39,Цены!$K$39,IF(BE11=Цены!$H$40,Цены!$K$40,IF(BE11=Цены!$H$41,Цены!$K$41,IF(BE11=Цены!$H$42,Цены!$K$42,IF(BE11=Цены!$H$43,Цены!$K$43,IF(BE11=Цены!$H$44,Цены!$K$44,IF(BE11=Цены!$H$45,Цены!$K$45,IF(BE11=Цены!$H$46,Цены!$K$46,IF(BE11=Цены!$H$47,Цены!$K$47,IF(BE11=Цены!$H$48,Цены!$K$48,IF(BE11=Цены!$H$49,Цены!$K$49,IF(BE11=Цены!$H$50,Цены!$K$50,IF(BE11=Цены!$H$51,Цены!$K$51,IF(BE11=Цены!$H$52,Цены!$K$52,IF(BE11=Цены!$H$53,Цены!$K$53,IF(BE11=Цены!$H$54,Цены!$K$54,IF(BE11=Цены!$H$55,Цены!$K$55))))))))))))))))))))))))))))))))))))))))))))))))))))))</f>
        <v>0</v>
      </c>
      <c r="BJ11" s="265">
        <v>4</v>
      </c>
      <c r="BK11" s="265">
        <v>800</v>
      </c>
      <c r="BL11" s="269">
        <f>BF11*BI11+BF12*BI12+BF13*BI13+BF14*BI14</f>
        <v>896</v>
      </c>
      <c r="BM11" s="286">
        <f>BJ11*BK11</f>
        <v>3200</v>
      </c>
      <c r="BN11" s="269">
        <f>BL11+BM11</f>
        <v>4096</v>
      </c>
      <c r="BO11" s="265">
        <f>BJ11*BK11*1.1</f>
        <v>3520.0000000000005</v>
      </c>
      <c r="BP11" s="269">
        <f>BO11/BN11*100</f>
        <v>85.937500000000014</v>
      </c>
      <c r="BQ11" s="287">
        <f>MROUND(BN11+BO11,500)</f>
        <v>7500</v>
      </c>
      <c r="BR11" s="134" t="s">
        <v>62</v>
      </c>
      <c r="BS11" s="43">
        <v>2</v>
      </c>
      <c r="BT11" s="33" t="b">
        <f>IF(BR11=Цены!$H$3,Цены!$L$3,IF(BR11=Цены!$H$4,Цены!$L$4,IF(BR11=Цены!$H$5,Цены!$L$5,IF(BR11=Цены!$H$6,Цены!$L$6,IF(BR11=Цены!$H$7,Цены!$L$7,IF(BR11=Цены!$H$8,Цены!$L$8,IF(BR11=Цены!$H$9,Цены!$L$9,IF(BR11=Цены!$H$10,Цены!$L$10,IF(BR11=Цены!$H$11,Цены!$L$11,IF(BR11=Цены!$H$12,Цены!$L$12,IF(BR11=Цены!$H$13,Цены!$L$13,IF(BR11=Цены!$H$14,Цены!$L$14,IF(BR11=Цены!$H$14,Цены!$L$14,IF(BR11=Цены!$H$15,Цены!$L$15,IF(BR11=Цены!$H$16,Цены!$L$16,IF(BR11=Цены!$H$17,Цены!$L$17,IF(BR11=Цены!$H$18,Цены!$L$18,IF(BR11=Цены!$H$19,Цены!$L$19,IF(BR11=Цены!$H$20,Цены!$L$20,IF(BR11=Цены!$H$21,Цены!$L$21,IF(BR11=Цены!$H$22,Цены!$L$22,IF(BR11=Цены!$H$23,Цены!$L$23,IF(BR11=Цены!$H$24,Цены!$L$24,IF(BR11=Цены!$H$25,Цены!$L$25,IF(BR11=Цены!$H$26,Цены!$L$26,IF(BR11=Цены!$H$27,Цены!$L$27,IF(BR11=Цены!$H$28,Цены!$L$28,IF(BR11=Цены!$H$29,Цены!$L$29,IF(BR11=Цены!$H$30,Цены!$L$30,IF(BR11=Цены!$H$31,Цены!$L$31,IF(BR11=Цены!$H$32,Цены!$L$32,IF(BR11=Цены!$H$33,Цены!$L$33,IF(BR11=Цены!$H$34,Цены!$L$34,IF(BR11=Цены!$H$35,Цены!$L$35,IF(BR11=Цены!$H$36,Цены!$L$36,IF(BR11=Цены!$H$37,Цены!$L$37,IF(BR11=Цены!$H$38,Цены!$L$38,IF(BR11=Цены!$H$39,Цены!$L$39,IF(BR11=Цены!$H$40,Цены!$L$40,IF(BR11=Цены!$H$41,Цены!$L$41,IF(BR11=Цены!$H$42,Цены!$L$42,IF(BR11=Цены!$H$43,Цены!$L$43,IF(BR11=Цены!$H$44,Цены!$L$44,IF(BR11=Цены!$H$45,Цены!$L$45,IF(BR11=Цены!$H$46,Цены!$L$46,IF(BR11=Цены!$H$47,Цены!$L$47,IF(BR11=Цены!$H$48,Цены!$L$48,IF(BR11=Цены!$H$49,Цены!$L$49,IF(BR11=Цены!$H$50,Цены!$L$50,IF(BR11=Цены!$H$51,Цены!$L$51,IF(BR11=Цены!$H$52,Цены!$L$52,IF(BR11=Цены!$H$53,Цены!$L$53,IF(BR11=Цены!$H$54,Цены!$L$54,IF(BR11=Цены!$H$55,Цены!$L$55))))))))))))))))))))))))))))))))))))))))))))))))))))))</f>
        <v>0</v>
      </c>
      <c r="BU11" s="276">
        <f>BS11*BT11+BS12*BT12+BS13*BT13+BS14*BT14</f>
        <v>1.2</v>
      </c>
      <c r="BV11" s="34" t="b">
        <f>IF(BR11=Цены!$H$3,Цены!$K$3,IF(BR11=Цены!$H$4,Цены!$K$4,IF(BR11=Цены!$H$5,Цены!$K$5,IF(BR11=Цены!$H$6,Цены!$K$6,IF(BR11=Цены!$H$7,Цены!$K$7,IF(BR11=Цены!$H$8,Цены!$K$8,IF(BR11=Цены!$H$9,Цены!$K$9,IF(BR11=Цены!$H$10,Цены!$K$10,IF(BR11=Цены!$H$11,Цены!$K$11,IF(BR11=Цены!$H$12,Цены!$K$12,IF(BR11=Цены!$H$13,Цены!$K$13,IF(BR11=Цены!$H$14,Цены!$K$14,IF(BR11=Цены!$H$14,Цены!$K$14,IF(BR11=Цены!$H$15,Цены!$K$15,IF(BR11=Цены!$H$16,Цены!$K$16,IF(BR11=Цены!$H$17,Цены!$K$17,IF(BR11=Цены!$H$18,Цены!$K$18,IF(BR11=Цены!$H$19,Цены!$K$19,IF(BR11=Цены!$H$20,Цены!$K$20,IF(BR11=Цены!$H$21,Цены!$K$21,IF(BR11=Цены!$H$22,Цены!$K$22,IF(BR11=Цены!$H$23,Цены!$K$23,IF(BR11=Цены!$H$24,Цены!$K$24,IF(BR11=Цены!$H$25,Цены!$K$25,IF(BR11=Цены!$H$26,Цены!$K$26,IF(BR11=Цены!$H$27,Цены!$K$27,IF(BR11=Цены!$H$28,Цены!$K$28,IF(BR11=Цены!$H$29,Цены!$K$29,IF(BR11=Цены!$H$30,Цены!$K$30,IF(BR11=Цены!$H$31,Цены!$K$31,IF(BR11=Цены!$H$32,Цены!$K$32,IF(BR11=Цены!$H$33,Цены!$K$33,IF(BR11=Цены!$H$34,Цены!$K$34,IF(BR11=Цены!$H$35,Цены!$K$35,IF(BR11=Цены!$H$36,Цены!$K$36,IF(BR11=Цены!$H$37,Цены!$K$37,IF(BR11=Цены!$H$38,Цены!$K$38,IF(BR11=Цены!$H$39,Цены!$K$39,IF(BR11=Цены!$H$40,Цены!$K$40,IF(BR11=Цены!$H$41,Цены!$K$41,IF(BR11=Цены!$H$42,Цены!$K$42,IF(BR11=Цены!$H$43,Цены!$K$43,IF(BR11=Цены!$H$44,Цены!$K$44,IF(BR11=Цены!$H$45,Цены!$K$45,IF(BR11=Цены!$H$46,Цены!$K$46,IF(BR11=Цены!$H$47,Цены!$K$47,IF(BR11=Цены!$H$48,Цены!$K$48,IF(BR11=Цены!$H$49,Цены!$K$49,IF(BR11=Цены!$H$50,Цены!$K$50,IF(BR11=Цены!$H$51,Цены!$K$51,IF(BR11=Цены!$H$52,Цены!$K$52,IF(BR11=Цены!$H$53,Цены!$K$53,IF(BR11=Цены!$H$54,Цены!$K$54,IF(BR11=Цены!$H$55,Цены!$K$55))))))))))))))))))))))))))))))))))))))))))))))))))))))</f>
        <v>0</v>
      </c>
      <c r="BW11" s="294">
        <v>1</v>
      </c>
      <c r="BX11" s="265">
        <v>800</v>
      </c>
      <c r="BY11" s="269">
        <f>BS11*BV11+BS12*BV12+BS13*BV13+BS14*BV14</f>
        <v>332</v>
      </c>
      <c r="BZ11" s="286">
        <f>BW11*BX11</f>
        <v>800</v>
      </c>
      <c r="CA11" s="269">
        <f>BY11+BZ11</f>
        <v>1132</v>
      </c>
      <c r="CB11" s="265">
        <f>BW11*BX11*1.1</f>
        <v>880.00000000000011</v>
      </c>
      <c r="CC11" s="269">
        <f>CB11/CA11*100</f>
        <v>77.738515901060083</v>
      </c>
      <c r="CD11" s="287">
        <f>MROUND(CA11+CB11,500)</f>
        <v>2000</v>
      </c>
      <c r="CE11" s="117" t="s">
        <v>62</v>
      </c>
      <c r="CF11" s="43">
        <v>2</v>
      </c>
      <c r="CG11" s="33" t="b">
        <f>IF(CE11=Цены!$H$3,Цены!$L$3,IF(CE11=Цены!$H$4,Цены!$L$4,IF(CE11=Цены!$H$5,Цены!$L$5,IF(CE11=Цены!$H$6,Цены!$L$6,IF(CE11=Цены!$H$7,Цены!$L$7,IF(CE11=Цены!$H$8,Цены!$L$8,IF(CE11=Цены!$H$9,Цены!$L$9,IF(CE11=Цены!$H$10,Цены!$L$10,IF(CE11=Цены!$H$11,Цены!$L$11,IF(CE11=Цены!$H$12,Цены!$L$12,IF(CE11=Цены!$H$13,Цены!$L$13,IF(CE11=Цены!$H$14,Цены!$L$14,IF(CE11=Цены!$H$14,Цены!$L$14,IF(CE11=Цены!$H$15,Цены!$L$15,IF(CE11=Цены!$H$16,Цены!$L$16,IF(CE11=Цены!$H$17,Цены!$L$17,IF(CE11=Цены!$H$18,Цены!$L$18,IF(CE11=Цены!$H$19,Цены!$L$19,IF(CE11=Цены!$H$20,Цены!$L$20,IF(CE11=Цены!$H$21,Цены!$L$21,IF(CE11=Цены!$H$22,Цены!$L$22,IF(CE11=Цены!$H$23,Цены!$L$23,IF(CE11=Цены!$H$24,Цены!$L$24,IF(CE11=Цены!$H$25,Цены!$L$25,IF(CE11=Цены!$H$26,Цены!$L$26,IF(CE11=Цены!$H$27,Цены!$L$27,IF(CE11=Цены!$H$28,Цены!$L$28,IF(CE11=Цены!$H$29,Цены!$L$29,IF(CE11=Цены!$H$30,Цены!$L$30,IF(CE11=Цены!$H$31,Цены!$L$31,IF(CE11=Цены!$H$32,Цены!$L$32,IF(CE11=Цены!$H$33,Цены!$L$33,IF(CE11=Цены!$H$34,Цены!$L$34,IF(CE11=Цены!$H$35,Цены!$L$35,IF(CE11=Цены!$H$36,Цены!$L$36,IF(CE11=Цены!$H$37,Цены!$L$37,IF(CE11=Цены!$H$38,Цены!$L$38,IF(CE11=Цены!$H$39,Цены!$L$39,IF(CE11=Цены!$H$40,Цены!$L$40,IF(CE11=Цены!$H$41,Цены!$L$41,IF(CE11=Цены!$H$42,Цены!$L$42,IF(CE11=Цены!$H$43,Цены!$L$43,IF(CE11=Цены!$H$44,Цены!$L$44,IF(CE11=Цены!$H$45,Цены!$L$45,IF(CE11=Цены!$H$46,Цены!$L$46,IF(CE11=Цены!$H$47,Цены!$L$47,IF(CE11=Цены!$H$48,Цены!$L$48,IF(CE11=Цены!$H$49,Цены!$L$49,IF(CE11=Цены!$H$50,Цены!$L$50,IF(CE11=Цены!$H$51,Цены!$L$51,IF(CE11=Цены!$H$52,Цены!$L$52,IF(CE11=Цены!$H$53,Цены!$L$53,IF(CE11=Цены!$H$54,Цены!$L$54,IF(CE11=Цены!$H$55,Цены!$L$55))))))))))))))))))))))))))))))))))))))))))))))))))))))</f>
        <v>0</v>
      </c>
      <c r="CH11" s="276">
        <f>CF11*CG11+CF12*CG12+CF13*CG13+CF14*CG14</f>
        <v>1.2132000000000001</v>
      </c>
      <c r="CI11" s="34" t="b">
        <f>IF(CE11=Цены!$H$3,Цены!$K$3,IF(CE11=Цены!$H$4,Цены!$K$4,IF(CE11=Цены!$H$5,Цены!$K$5,IF(CE11=Цены!$H$6,Цены!$K$6,IF(CE11=Цены!$H$7,Цены!$K$7,IF(CE11=Цены!$H$8,Цены!$K$8,IF(CE11=Цены!$H$9,Цены!$K$9,IF(CE11=Цены!$H$10,Цены!$K$10,IF(CE11=Цены!$H$11,Цены!$K$11,IF(CE11=Цены!$H$12,Цены!$K$12,IF(CE11=Цены!$H$13,Цены!$K$13,IF(CE11=Цены!$H$14,Цены!$K$14,IF(CE11=Цены!$H$14,Цены!$K$14,IF(CE11=Цены!$H$15,Цены!$K$15,IF(CE11=Цены!$H$16,Цены!$K$16,IF(CE11=Цены!$H$17,Цены!$K$17,IF(CE11=Цены!$H$18,Цены!$K$18,IF(CE11=Цены!$H$19,Цены!$K$19,IF(CE11=Цены!$H$20,Цены!$K$20,IF(CE11=Цены!$H$21,Цены!$K$21,IF(CE11=Цены!$H$22,Цены!$K$22,IF(CE11=Цены!$H$23,Цены!$K$23,IF(CE11=Цены!$H$24,Цены!$K$24,IF(CE11=Цены!$H$25,Цены!$K$25,IF(CE11=Цены!$H$26,Цены!$K$26,IF(CE11=Цены!$H$27,Цены!$K$27,IF(CE11=Цены!$H$28,Цены!$K$28,IF(CE11=Цены!$H$29,Цены!$K$29,IF(CE11=Цены!$H$30,Цены!$K$30,IF(CE11=Цены!$H$31,Цены!$K$31,IF(CE11=Цены!$H$32,Цены!$K$32,IF(CE11=Цены!$H$33,Цены!$K$33,IF(CE11=Цены!$H$34,Цены!$K$34,IF(CE11=Цены!$H$35,Цены!$K$35,IF(CE11=Цены!$H$36,Цены!$K$36,IF(CE11=Цены!$H$37,Цены!$K$37,IF(CE11=Цены!$H$38,Цены!$K$38,IF(CE11=Цены!$H$39,Цены!$K$39,IF(CE11=Цены!$H$40,Цены!$K$40,IF(CE11=Цены!$H$41,Цены!$K$41,IF(CE11=Цены!$H$42,Цены!$K$42,IF(CE11=Цены!$H$43,Цены!$K$43,IF(CE11=Цены!$H$44,Цены!$K$44,IF(CE11=Цены!$H$45,Цены!$K$45,IF(CE11=Цены!$H$46,Цены!$K$46,IF(CE11=Цены!$H$47,Цены!$K$47,IF(CE11=Цены!$H$48,Цены!$K$48,IF(CE11=Цены!$H$49,Цены!$K$49,IF(CE11=Цены!$H$50,Цены!$K$50,IF(CE11=Цены!$H$51,Цены!$K$51,IF(CE11=Цены!$H$52,Цены!$K$52,IF(CE11=Цены!$H$53,Цены!$K$53,IF(CE11=Цены!$H$54,Цены!$K$54,IF(CE11=Цены!$H$55,Цены!$K$55))))))))))))))))))))))))))))))))))))))))))))))))))))))</f>
        <v>0</v>
      </c>
      <c r="CJ11" s="265">
        <v>1.5</v>
      </c>
      <c r="CK11" s="265">
        <v>800</v>
      </c>
      <c r="CL11" s="269">
        <f>CF11*CI11+CF12*CI12+CF13*CI13+CF14*CI14</f>
        <v>386</v>
      </c>
      <c r="CM11" s="286">
        <f>CJ11*CK11</f>
        <v>1200</v>
      </c>
      <c r="CN11" s="269">
        <f>CL11+CM11</f>
        <v>1586</v>
      </c>
      <c r="CO11" s="265">
        <f>CJ11*CK11*1.1</f>
        <v>1320</v>
      </c>
      <c r="CP11" s="269">
        <f>CO11/CN11*100</f>
        <v>83.228247162673398</v>
      </c>
      <c r="CQ11" s="287">
        <f>MROUND(CN11+CO11,500)</f>
        <v>3000</v>
      </c>
    </row>
    <row r="12" spans="1:95" ht="15" hidden="1" customHeight="1" x14ac:dyDescent="0.25">
      <c r="A12" s="341"/>
      <c r="B12" s="265"/>
      <c r="C12" s="265"/>
      <c r="D12" s="26" t="s">
        <v>122</v>
      </c>
      <c r="E12" s="25">
        <v>5</v>
      </c>
      <c r="F12" s="27">
        <f>IF(D12=Цены!$H$3,Цены!$L$3,IF(D12=Цены!$H$4,Цены!$L$4,IF(D12=Цены!$H$5,Цены!$L$5,IF(D12=Цены!$H$6,Цены!$L$6,IF(D12=Цены!$H$7,Цены!$L$7,IF(D12=Цены!$H$8,Цены!$L$8,IF(D12=Цены!$H$9,Цены!$L$9,IF(D12=Цены!$H$10,Цены!$L$10,IF(D12=Цены!$H$11,Цены!$L$11,IF(D12=Цены!$H$12,Цены!$L$12,IF(D12=Цены!$H$13,Цены!$L$13,IF(D12=Цены!$H$14,Цены!$L$14,IF(D12=Цены!$H$14,Цены!$L$14,IF(D12=Цены!$H$15,Цены!$L$15,IF(D12=Цены!$H$16,Цены!$L$16,IF(D12=Цены!$H$17,Цены!$L$17,IF(D12=Цены!$H$18,Цены!$L$18,IF(D12=Цены!$H$19,Цены!$L$19,IF(D12=Цены!$H$20,Цены!$L$20,IF(D12=Цены!$H$21,Цены!$L$21,IF(D12=Цены!$H$22,Цены!$L$22,IF(D12=Цены!$H$23,Цены!$L$23,IF(D12=Цены!$H$24,Цены!$L$24,IF(D12=Цены!$H$25,Цены!$L$25,IF(D12=Цены!$H$26,Цены!$L$26,IF(D12=Цены!$H$27,Цены!$L$27,IF(D12=Цены!$H$28,Цены!$L$28,IF(D12=Цены!$H$29,Цены!$L$29,IF(D12=Цены!$H$30,Цены!$L$30,IF(D12=Цены!$H$31,Цены!$L$31,IF(D12=Цены!$H$32,Цены!$L$32,IF(D12=Цены!$H$33,Цены!$L$33,IF(D12=Цены!$H$34,Цены!$L$34,IF(D12=Цены!$H$35,Цены!$L$35,IF(D12=Цены!$H$36,Цены!$L$36,IF(D12=Цены!$H$37,Цены!$L$37,IF(D12=Цены!$H$38,Цены!$L$38,IF(D12=Цены!$H$39,Цены!$L$39,IF(D12=Цены!$H$40,Цены!$L$40,IF(D12=Цены!$H$41,Цены!$L$41,IF(D12=Цены!$H$42,Цены!$L$42,IF(D12=Цены!$H$43,Цены!$L$43,IF(D12=Цены!$H$44,Цены!$L$44,IF(D12=Цены!$H$45,Цены!$L$45,IF(D12=Цены!$H$46,Цены!$L$46,IF(D12=Цены!$H$47,Цены!$L$47,IF(D12=Цены!$H$48,Цены!$L$48,IF(D12=Цены!$H$49,Цены!$L$49,IF(D12=Цены!$H$50,Цены!$L$50,IF(D12=Цены!$H$51,Цены!$L$51,IF(D12=Цены!$H$52,Цены!$L$52,IF(D12=Цены!$H$53,Цены!$L$53,IF(D12=Цены!$H$54,Цены!$L$54,IF(D12=Цены!$H$55,Цены!$L$55))))))))))))))))))))))))))))))))))))))))))))))))))))))</f>
        <v>0.6</v>
      </c>
      <c r="G12" s="309"/>
      <c r="H12" s="28">
        <f>IF(D12=Цены!$H$3,Цены!$K$3,IF(D12=Цены!$H$4,Цены!$K$4,IF(D12=Цены!$H$5,Цены!$K$5,IF(D12=Цены!$H$6,Цены!$K$6,IF(D12=Цены!$H$7,Цены!$K$7,IF(D12=Цены!$H$8,Цены!$K$8,IF(D12=Цены!$H$9,Цены!$K$9,IF(D12=Цены!$H$10,Цены!$K$10,IF(D12=Цены!$H$11,Цены!$K$11,IF(D12=Цены!$H$12,Цены!$K$12,IF(D12=Цены!$H$13,Цены!$K$13,IF(D12=Цены!$H$14,Цены!$K$14,IF(D12=Цены!$H$14,Цены!$K$14,IF(D12=Цены!$H$15,Цены!$K$15,IF(D12=Цены!$H$16,Цены!$K$16,IF(D12=Цены!$H$17,Цены!$K$17,IF(D12=Цены!$H$18,Цены!$K$18,IF(D12=Цены!$H$19,Цены!$K$19,IF(D12=Цены!$H$20,Цены!$K$20,IF(D12=Цены!$H$21,Цены!$K$21,IF(D12=Цены!$H$22,Цены!$K$22,IF(D12=Цены!$H$23,Цены!$K$23,IF(D12=Цены!$H$24,Цены!$K$24,IF(D12=Цены!$H$25,Цены!$K$25,IF(D12=Цены!$H$26,Цены!$K$26,IF(D12=Цены!$H$27,Цены!$K$27,IF(D12=Цены!$H$28,Цены!$K$28,IF(D12=Цены!$H$29,Цены!$K$29,IF(D12=Цены!$H$30,Цены!$K$30,IF(D12=Цены!$H$31,Цены!$K$31,IF(D12=Цены!$H$32,Цены!$K$32,IF(D12=Цены!$H$33,Цены!$K$33,IF(D12=Цены!$H$34,Цены!$K$34,IF(D12=Цены!$H$35,Цены!$K$35,IF(D12=Цены!$H$36,Цены!$K$36,IF(D12=Цены!$H$37,Цены!$K$37,IF(D12=Цены!$H$38,Цены!$K$38,IF(D12=Цены!$H$39,Цены!$K$39,IF(D12=Цены!$H$40,Цены!$K$40,IF(D12=Цены!$H$41,Цены!$K$41,IF(D12=Цены!$H$42,Цены!$K$42,IF(D12=Цены!$H$43,Цены!$K$43,IF(D12=Цены!$H$44,Цены!$K$44,IF(D12=Цены!$H$45,Цены!$K$45,IF(D12=Цены!$H$46,Цены!$K$46,IF(D12=Цены!$H$47,Цены!$K$47,IF(D12=Цены!$H$48,Цены!$K$48,IF(D12=Цены!$H$49,Цены!$K$49,IF(D12=Цены!$H$50,Цены!$K$50,IF(D12=Цены!$H$51,Цены!$K$51,IF(D12=Цены!$H$52,Цены!$K$52,IF(D12=Цены!$H$53,Цены!$K$53,IF(D12=Цены!$H$54,Цены!$K$54,IF(D12=Цены!$H$55,Цены!$K$55))))))))))))))))))))))))))))))))))))))))))))))))))))))</f>
        <v>166</v>
      </c>
      <c r="I12" s="265"/>
      <c r="J12" s="265"/>
      <c r="K12" s="310"/>
      <c r="L12" s="265"/>
      <c r="M12" s="265"/>
      <c r="N12" s="265"/>
      <c r="O12" s="310"/>
      <c r="P12" s="313"/>
      <c r="Q12" s="123" t="s">
        <v>80</v>
      </c>
      <c r="R12" s="30">
        <v>3</v>
      </c>
      <c r="S12" s="27">
        <f>IF(Q12=Цены!$H$3,Цены!$L$3,IF(Q12=Цены!$H$4,Цены!$L$4,IF(Q12=Цены!$H$5,Цены!$L$5,IF(Q12=Цены!$H$6,Цены!$L$6,IF(Q12=Цены!$H$7,Цены!$L$7,IF(Q12=Цены!$H$8,Цены!$L$8,IF(Q12=Цены!$H$9,Цены!$L$9,IF(Q12=Цены!$H$10,Цены!$L$10,IF(Q12=Цены!$H$11,Цены!$L$11,IF(Q12=Цены!$H$12,Цены!$L$12,IF(Q12=Цены!$H$13,Цены!$L$13,IF(Q12=Цены!$H$14,Цены!$L$14,IF(Q12=Цены!$H$14,Цены!$L$14,IF(Q12=Цены!$H$15,Цены!$L$15,IF(Q12=Цены!$H$16,Цены!$L$16,IF(Q12=Цены!$H$17,Цены!$L$17,IF(Q12=Цены!$H$18,Цены!$L$18,IF(Q12=Цены!$H$19,Цены!$L$19,IF(Q12=Цены!$H$20,Цены!$L$20,IF(Q12=Цены!$H$21,Цены!$L$21,IF(Q12=Цены!$H$22,Цены!$L$22,IF(Q12=Цены!$H$23,Цены!$L$23,IF(Q12=Цены!$H$24,Цены!$L$24,IF(Q12=Цены!$H$25,Цены!$L$25,IF(Q12=Цены!$H$26,Цены!$L$26,IF(Q12=Цены!$H$27,Цены!$L$27,IF(Q12=Цены!$H$28,Цены!$L$28,IF(Q12=Цены!$H$29,Цены!$L$29,IF(Q12=Цены!$H$30,Цены!$L$30,IF(Q12=Цены!$H$31,Цены!$L$31,IF(Q12=Цены!$H$32,Цены!$L$32,IF(Q12=Цены!$H$33,Цены!$L$33,IF(Q12=Цены!$H$34,Цены!$L$34,IF(Q12=Цены!$H$35,Цены!$L$35,IF(Q12=Цены!$H$36,Цены!$L$36,IF(Q12=Цены!$H$37,Цены!$L$37,IF(Q12=Цены!$H$38,Цены!$L$38,IF(Q12=Цены!$H$39,Цены!$L$39,IF(Q12=Цены!$H$40,Цены!$L$40,IF(Q12=Цены!$H$41,Цены!$L$41,IF(Q12=Цены!$H$42,Цены!$L$42,IF(Q12=Цены!$H$43,Цены!$L$43,IF(Q12=Цены!$H$44,Цены!$L$44,IF(Q12=Цены!$H$45,Цены!$L$45,IF(Q12=Цены!$H$46,Цены!$L$46,IF(Q12=Цены!$H$47,Цены!$L$47,IF(Q12=Цены!$H$48,Цены!$L$48,IF(Q12=Цены!$H$49,Цены!$L$49,IF(Q12=Цены!$H$50,Цены!$L$50,IF(Q12=Цены!$H$51,Цены!$L$51,IF(Q12=Цены!$H$52,Цены!$L$52,IF(Q12=Цены!$H$53,Цены!$L$53,IF(Q12=Цены!$H$54,Цены!$L$54,IF(Q12=Цены!$H$55,Цены!$L$55))))))))))))))))))))))))))))))))))))))))))))))))))))))</f>
        <v>0.64</v>
      </c>
      <c r="T12" s="309"/>
      <c r="U12" s="162">
        <f>IF(Q12=Цены!$H$3,Цены!$K$3,IF(Q12=Цены!$H$4,Цены!$K$4,IF(Q12=Цены!$H$5,Цены!$K$5,IF(Q12=Цены!$H$6,Цены!$K$6,IF(Q12=Цены!$H$7,Цены!$K$7,IF(Q12=Цены!$H$8,Цены!$K$8,IF(Q12=Цены!$H$9,Цены!$K$9,IF(Q12=Цены!$H$10,Цены!$K$10,IF(Q12=Цены!$H$11,Цены!$K$11,IF(Q12=Цены!$H$12,Цены!$K$12,IF(Q12=Цены!$H$13,Цены!$K$13,IF(Q12=Цены!$H$14,Цены!$K$14,IF(Q12=Цены!$H$14,Цены!$K$14,IF(Q12=Цены!$H$15,Цены!$K$15,IF(Q12=Цены!$H$16,Цены!$K$16,IF(Q12=Цены!$H$17,Цены!$K$17,IF(Q12=Цены!$H$18,Цены!$K$18,IF(Q12=Цены!$H$19,Цены!$K$19,IF(Q12=Цены!$H$20,Цены!$K$20,IF(Q12=Цены!$H$21,Цены!$K$21,IF(Q12=Цены!$H$22,Цены!$K$22,IF(Q12=Цены!$H$23,Цены!$K$23,IF(Q12=Цены!$H$24,Цены!$K$24,IF(Q12=Цены!$H$25,Цены!$K$25,IF(Q12=Цены!$H$26,Цены!$K$26,IF(Q12=Цены!$H$27,Цены!$K$27,IF(Q12=Цены!$H$28,Цены!$K$28,IF(Q12=Цены!$H$29,Цены!$K$29,IF(Q12=Цены!$H$30,Цены!$K$30,IF(Q12=Цены!$H$31,Цены!$K$31,IF(Q12=Цены!$H$32,Цены!$K$32,IF(Q12=Цены!$H$33,Цены!$K$33,IF(Q12=Цены!$H$34,Цены!$K$34,IF(Q12=Цены!$H$35,Цены!$K$35,IF(Q12=Цены!$H$36,Цены!$K$36,IF(Q12=Цены!$H$37,Цены!$K$37,IF(Q12=Цены!$H$38,Цены!$K$38,IF(Q12=Цены!$H$39,Цены!$K$39,IF(Q12=Цены!$H$40,Цены!$K$40,IF(Q12=Цены!$H$41,Цены!$K$41,IF(Q12=Цены!$H$42,Цены!$K$42,IF(Q12=Цены!$H$43,Цены!$K$43,IF(Q12=Цены!$H$44,Цены!$K$44,IF(Q12=Цены!$H$45,Цены!$K$45,IF(Q12=Цены!$H$46,Цены!$K$46,IF(Q12=Цены!$H$47,Цены!$K$47,IF(Q12=Цены!$H$48,Цены!$K$48,IF(Q12=Цены!$H$49,Цены!$K$49,IF(Q12=Цены!$H$50,Цены!$K$50,IF(Q12=Цены!$H$51,Цены!$K$51,IF(Q12=Цены!$H$52,Цены!$K$52,IF(Q12=Цены!$H$53,Цены!$K$53,IF(Q12=Цены!$H$54,Цены!$K$54,IF(Q12=Цены!$H$55,Цены!$K$55))))))))))))))))))))))))))))))))))))))))))))))))))))))</f>
        <v>312</v>
      </c>
      <c r="V12" s="265"/>
      <c r="W12" s="265"/>
      <c r="X12" s="310"/>
      <c r="Y12" s="265"/>
      <c r="Z12" s="265"/>
      <c r="AA12" s="265"/>
      <c r="AB12" s="310"/>
      <c r="AC12" s="313"/>
      <c r="AD12" s="35" t="s">
        <v>64</v>
      </c>
      <c r="AE12" s="30">
        <v>4</v>
      </c>
      <c r="AF12" s="27">
        <f>IF(AD12=Цены!$H$3,Цены!$L$3,IF(AD12=Цены!$H$4,Цены!$L$4,IF(AD12=Цены!$H$5,Цены!$L$5,IF(AD12=Цены!$H$6,Цены!$L$6,IF(AD12=Цены!$H$7,Цены!$L$7,IF(AD12=Цены!$H$8,Цены!$L$8,IF(AD12=Цены!$H$9,Цены!$L$9,IF(AD12=Цены!$H$10,Цены!$L$10,IF(AD12=Цены!$H$11,Цены!$L$11,IF(AD12=Цены!$H$12,Цены!$L$12,IF(AD12=Цены!$H$13,Цены!$L$13,IF(AD12=Цены!$H$14,Цены!$L$14,IF(AD12=Цены!$H$14,Цены!$L$14,IF(AD12=Цены!$H$15,Цены!$L$15,IF(AD12=Цены!$H$16,Цены!$L$16,IF(AD12=Цены!$H$17,Цены!$L$17,IF(AD12=Цены!$H$18,Цены!$L$18,IF(AD12=Цены!$H$19,Цены!$L$19,IF(AD12=Цены!$H$20,Цены!$L$20,IF(AD12=Цены!$H$21,Цены!$L$21,IF(AD12=Цены!$H$22,Цены!$L$22,IF(AD12=Цены!$H$23,Цены!$L$23,IF(AD12=Цены!$H$24,Цены!$L$24,IF(AD12=Цены!$H$25,Цены!$L$25,IF(AD12=Цены!$H$26,Цены!$L$26,IF(AD12=Цены!$H$27,Цены!$L$27,IF(AD12=Цены!$H$28,Цены!$L$28,IF(AD12=Цены!$H$29,Цены!$L$29,IF(AD12=Цены!$H$30,Цены!$L$30,IF(AD12=Цены!$H$31,Цены!$L$31,IF(AD12=Цены!$H$32,Цены!$L$32,IF(AD12=Цены!$H$33,Цены!$L$33,IF(AD12=Цены!$H$34,Цены!$L$34,IF(AD12=Цены!$H$35,Цены!$L$35,IF(AD12=Цены!$H$36,Цены!$L$36,IF(AD12=Цены!$H$37,Цены!$L$37,IF(AD12=Цены!$H$38,Цены!$L$38,IF(AD12=Цены!$H$39,Цены!$L$39,IF(AD12=Цены!$H$40,Цены!$L$40,IF(AD12=Цены!$H$41,Цены!$L$41,IF(AD12=Цены!$H$42,Цены!$L$42,IF(AD12=Цены!$H$43,Цены!$L$43,IF(AD12=Цены!$H$44,Цены!$L$44,IF(AD12=Цены!$H$45,Цены!$L$45,IF(AD12=Цены!$H$46,Цены!$L$46,IF(AD12=Цены!$H$47,Цены!$L$47,IF(AD12=Цены!$H$48,Цены!$L$48,IF(AD12=Цены!$H$49,Цены!$L$49,IF(AD12=Цены!$H$50,Цены!$L$50,IF(AD12=Цены!$H$51,Цены!$L$51,IF(AD12=Цены!$H$52,Цены!$L$52,IF(AD12=Цены!$H$53,Цены!$L$53,IF(AD12=Цены!$H$54,Цены!$L$54,IF(AD12=Цены!$H$55,Цены!$L$55))))))))))))))))))))))))))))))))))))))))))))))))))))))</f>
        <v>2.34</v>
      </c>
      <c r="AG12" s="309"/>
      <c r="AH12" s="28">
        <f>IF(AD12=Цены!$H$3,Цены!$K$3,IF(AD12=Цены!$H$4,Цены!$K$4,IF(AD12=Цены!$H$5,Цены!$K$5,IF(AD12=Цены!$H$6,Цены!$K$6,IF(AD12=Цены!$H$7,Цены!$K$7,IF(AD12=Цены!$H$8,Цены!$K$8,IF(AD12=Цены!$H$9,Цены!$K$9,IF(AD12=Цены!$H$10,Цены!$K$10,IF(AD12=Цены!$H$11,Цены!$K$11,IF(AD12=Цены!$H$12,Цены!$K$12,IF(AD12=Цены!$H$13,Цены!$K$13,IF(AD12=Цены!$H$14,Цены!$K$14,IF(AD12=Цены!$H$14,Цены!$K$14,IF(AD12=Цены!$H$15,Цены!$K$15,IF(AD12=Цены!$H$16,Цены!$K$16,IF(AD12=Цены!$H$17,Цены!$K$17,IF(AD12=Цены!$H$18,Цены!$K$18,IF(AD12=Цены!$H$19,Цены!$K$19,IF(AD12=Цены!$H$20,Цены!$K$20,IF(AD12=Цены!$H$21,Цены!$K$21,IF(AD12=Цены!$H$22,Цены!$K$22,IF(AD12=Цены!$H$23,Цены!$K$23,IF(AD12=Цены!$H$24,Цены!$K$24,IF(AD12=Цены!$H$25,Цены!$K$25,IF(AD12=Цены!$H$26,Цены!$K$26,IF(AD12=Цены!$H$27,Цены!$K$27,IF(AD12=Цены!$H$28,Цены!$K$28,IF(AD12=Цены!$H$29,Цены!$K$29,IF(AD12=Цены!$H$30,Цены!$K$30,IF(AD12=Цены!$H$31,Цены!$K$31,IF(AD12=Цены!$H$32,Цены!$K$32,IF(AD12=Цены!$H$33,Цены!$K$33,IF(AD12=Цены!$H$34,Цены!$K$34,IF(AD12=Цены!$H$35,Цены!$K$35,IF(AD12=Цены!$H$36,Цены!$K$36,IF(AD12=Цены!$H$37,Цены!$K$37,IF(AD12=Цены!$H$38,Цены!$K$38,IF(AD12=Цены!$H$39,Цены!$K$39,IF(AD12=Цены!$H$40,Цены!$K$40,IF(AD12=Цены!$H$41,Цены!$K$41,IF(AD12=Цены!$H$42,Цены!$K$42,IF(AD12=Цены!$H$43,Цены!$K$43,IF(AD12=Цены!$H$44,Цены!$K$44,IF(AD12=Цены!$H$45,Цены!$K$45,IF(AD12=Цены!$H$46,Цены!$K$46,IF(AD12=Цены!$H$47,Цены!$K$47,IF(AD12=Цены!$H$48,Цены!$K$48,IF(AD12=Цены!$H$49,Цены!$K$49,IF(AD12=Цены!$H$50,Цены!$K$50,IF(AD12=Цены!$H$51,Цены!$K$51,IF(AD12=Цены!$H$52,Цены!$K$52,IF(AD12=Цены!$H$53,Цены!$K$53,IF(AD12=Цены!$H$54,Цены!$K$54,IF(AD12=Цены!$H$55,Цены!$K$55))))))))))))))))))))))))))))))))))))))))))))))))))))))</f>
        <v>370.5</v>
      </c>
      <c r="AI12" s="265"/>
      <c r="AJ12" s="265"/>
      <c r="AK12" s="310"/>
      <c r="AL12" s="265"/>
      <c r="AM12" s="265"/>
      <c r="AN12" s="265"/>
      <c r="AO12" s="310"/>
      <c r="AP12" s="313"/>
      <c r="AQ12" s="123" t="s">
        <v>144</v>
      </c>
      <c r="AR12" s="129">
        <v>2</v>
      </c>
      <c r="AS12" s="33">
        <f>IF(AQ12=Цены!$H$3,Цены!$L$3,IF(AQ12=Цены!$H$4,Цены!$L$4,IF(AQ12=Цены!$H$5,Цены!$L$5,IF(AQ12=Цены!$H$6,Цены!$L$6,IF(AQ12=Цены!$H$7,Цены!$L$7,IF(AQ12=Цены!$H$8,Цены!$L$8,IF(AQ12=Цены!$H$9,Цены!$L$9,IF(AQ12=Цены!$H$10,Цены!$L$10,IF(AQ12=Цены!$H$11,Цены!$L$11,IF(AQ12=Цены!$H$12,Цены!$L$12,IF(AQ12=Цены!$H$13,Цены!$L$13,IF(AQ12=Цены!$H$14,Цены!$L$14,IF(AQ12=Цены!$H$14,Цены!$L$14,IF(AQ12=Цены!$H$15,Цены!$L$15,IF(AQ12=Цены!$H$16,Цены!$L$16,IF(AQ12=Цены!$H$17,Цены!$L$17,IF(AQ12=Цены!$H$18,Цены!$L$18,IF(AQ12=Цены!$H$19,Цены!$L$19,IF(AQ12=Цены!$H$20,Цены!$L$20,IF(AQ12=Цены!$H$21,Цены!$L$21,IF(AQ12=Цены!$H$22,Цены!$L$22,IF(AQ12=Цены!$H$23,Цены!$L$23,IF(AQ12=Цены!$H$24,Цены!$L$24,IF(AQ12=Цены!$H$25,Цены!$L$25,IF(AQ12=Цены!$H$26,Цены!$L$26,IF(AQ12=Цены!$H$27,Цены!$L$27,IF(AQ12=Цены!$H$28,Цены!$L$28,IF(AQ12=Цены!$H$29,Цены!$L$29,IF(AQ12=Цены!$H$30,Цены!$L$30,IF(AQ12=Цены!$H$31,Цены!$L$31,IF(AQ12=Цены!$H$32,Цены!$L$32,IF(AQ12=Цены!$H$33,Цены!$L$33,IF(AQ12=Цены!$H$34,Цены!$L$34,IF(AQ12=Цены!$H$35,Цены!$L$35,IF(AQ12=Цены!$H$36,Цены!$L$36,IF(AQ12=Цены!$H$37,Цены!$L$37,IF(AQ12=Цены!$H$38,Цены!$L$38,IF(AQ12=Цены!$H$39,Цены!$L$39,IF(AQ12=Цены!$H$40,Цены!$L$40,IF(AQ12=Цены!$H$41,Цены!$L$41,IF(AQ12=Цены!$H$42,Цены!$L$42,IF(AQ12=Цены!$H$43,Цены!$L$43,IF(AQ12=Цены!$H$44,Цены!$L$44,IF(AQ12=Цены!$H$45,Цены!$L$45,IF(AQ12=Цены!$H$46,Цены!$L$46,IF(AQ12=Цены!$H$47,Цены!$L$47,IF(AQ12=Цены!$H$48,Цены!$L$48,IF(AQ12=Цены!$H$49,Цены!$L$49,IF(AQ12=Цены!$H$50,Цены!$L$50,IF(AQ12=Цены!$H$51,Цены!$L$51,IF(AQ12=Цены!$H$52,Цены!$L$52,IF(AQ12=Цены!$H$53,Цены!$L$53,IF(AQ12=Цены!$H$54,Цены!$L$54,IF(AQ12=Цены!$H$55,Цены!$L$55))))))))))))))))))))))))))))))))))))))))))))))))))))))</f>
        <v>0.19</v>
      </c>
      <c r="AT12" s="276"/>
      <c r="AU12" s="34">
        <f>IF(AQ12=Цены!$H$3,Цены!$K$3,IF(AQ12=Цены!$H$4,Цены!$K$4,IF(AQ12=Цены!$H$5,Цены!$K$5,IF(AQ12=Цены!$H$6,Цены!$K$6,IF(AQ12=Цены!$H$7,Цены!$K$7,IF(AQ12=Цены!$H$8,Цены!$K$8,IF(AQ12=Цены!$H$9,Цены!$K$9,IF(AQ12=Цены!$H$10,Цены!$K$10,IF(AQ12=Цены!$H$11,Цены!$K$11,IF(AQ12=Цены!$H$12,Цены!$K$12,IF(AQ12=Цены!$H$13,Цены!$K$13,IF(AQ12=Цены!$H$14,Цены!$K$14,IF(AQ12=Цены!$H$14,Цены!$K$14,IF(AQ12=Цены!$H$15,Цены!$K$15,IF(AQ12=Цены!$H$16,Цены!$K$16,IF(AQ12=Цены!$H$17,Цены!$K$17,IF(AQ12=Цены!$H$18,Цены!$K$18,IF(AQ12=Цены!$H$19,Цены!$K$19,IF(AQ12=Цены!$H$20,Цены!$K$20,IF(AQ12=Цены!$H$21,Цены!$K$21,IF(AQ12=Цены!$H$22,Цены!$K$22,IF(AQ12=Цены!$H$23,Цены!$K$23,IF(AQ12=Цены!$H$24,Цены!$K$24,IF(AQ12=Цены!$H$25,Цены!$K$25,IF(AQ12=Цены!$H$26,Цены!$K$26,IF(AQ12=Цены!$H$27,Цены!$K$27,IF(AQ12=Цены!$H$28,Цены!$K$28,IF(AQ12=Цены!$H$29,Цены!$K$29,IF(AQ12=Цены!$H$30,Цены!$K$30,IF(AQ12=Цены!$H$31,Цены!$K$31,IF(AQ12=Цены!$H$32,Цены!$K$32,IF(AQ12=Цены!$H$33,Цены!$K$33,IF(AQ12=Цены!$H$34,Цены!$K$34,IF(AQ12=Цены!$H$35,Цены!$K$35,IF(AQ12=Цены!$H$36,Цены!$K$36,IF(AQ12=Цены!$H$37,Цены!$K$37,IF(AQ12=Цены!$H$38,Цены!$K$38,IF(AQ12=Цены!$H$39,Цены!$K$39,IF(AQ12=Цены!$H$40,Цены!$K$40,IF(AQ12=Цены!$H$41,Цены!$K$41,IF(AQ12=Цены!$H$42,Цены!$K$42,IF(AQ12=Цены!$H$43,Цены!$K$43,IF(AQ12=Цены!$H$44,Цены!$K$44,IF(AQ12=Цены!$H$45,Цены!$K$45,IF(AQ12=Цены!$H$46,Цены!$K$46,IF(AQ12=Цены!$H$47,Цены!$K$47,IF(AQ12=Цены!$H$48,Цены!$K$48,IF(AQ12=Цены!$H$49,Цены!$K$49,IF(AQ12=Цены!$H$50,Цены!$K$50,IF(AQ12=Цены!$H$51,Цены!$K$51,IF(AQ12=Цены!$H$52,Цены!$K$52,IF(AQ12=Цены!$H$53,Цены!$K$53,IF(AQ12=Цены!$H$54,Цены!$K$54,IF(AQ12=Цены!$H$55,Цены!$K$55))))))))))))))))))))))))))))))))))))))))))))))))))))))</f>
        <v>448</v>
      </c>
      <c r="AV12" s="265"/>
      <c r="AW12" s="265"/>
      <c r="AX12" s="269"/>
      <c r="AY12" s="286"/>
      <c r="AZ12" s="286"/>
      <c r="BA12" s="265"/>
      <c r="BB12" s="269"/>
      <c r="BC12" s="287"/>
      <c r="BD12" s="243"/>
      <c r="BE12" s="123" t="s">
        <v>144</v>
      </c>
      <c r="BF12" s="71">
        <v>2</v>
      </c>
      <c r="BG12" s="33">
        <f>IF(BE12=Цены!$H$3,Цены!$L$3,IF(BE12=Цены!$H$4,Цены!$L$4,IF(BE12=Цены!$H$5,Цены!$L$5,IF(BE12=Цены!$H$6,Цены!$L$6,IF(BE12=Цены!$H$7,Цены!$L$7,IF(BE12=Цены!$H$8,Цены!$L$8,IF(BE12=Цены!$H$9,Цены!$L$9,IF(BE12=Цены!$H$10,Цены!$L$10,IF(BE12=Цены!$H$11,Цены!$L$11,IF(BE12=Цены!$H$12,Цены!$L$12,IF(BE12=Цены!$H$13,Цены!$L$13,IF(BE12=Цены!$H$14,Цены!$L$14,IF(BE12=Цены!$H$14,Цены!$L$14,IF(BE12=Цены!$H$15,Цены!$L$15,IF(BE12=Цены!$H$16,Цены!$L$16,IF(BE12=Цены!$H$17,Цены!$L$17,IF(BE12=Цены!$H$18,Цены!$L$18,IF(BE12=Цены!$H$19,Цены!$L$19,IF(BE12=Цены!$H$20,Цены!$L$20,IF(BE12=Цены!$H$21,Цены!$L$21,IF(BE12=Цены!$H$22,Цены!$L$22,IF(BE12=Цены!$H$23,Цены!$L$23,IF(BE12=Цены!$H$24,Цены!$L$24,IF(BE12=Цены!$H$25,Цены!$L$25,IF(BE12=Цены!$H$26,Цены!$L$26,IF(BE12=Цены!$H$27,Цены!$L$27,IF(BE12=Цены!$H$28,Цены!$L$28,IF(BE12=Цены!$H$29,Цены!$L$29,IF(BE12=Цены!$H$30,Цены!$L$30,IF(BE12=Цены!$H$31,Цены!$L$31,IF(BE12=Цены!$H$32,Цены!$L$32,IF(BE12=Цены!$H$33,Цены!$L$33,IF(BE12=Цены!$H$34,Цены!$L$34,IF(BE12=Цены!$H$35,Цены!$L$35,IF(BE12=Цены!$H$36,Цены!$L$36,IF(BE12=Цены!$H$37,Цены!$L$37,IF(BE12=Цены!$H$38,Цены!$L$38,IF(BE12=Цены!$H$39,Цены!$L$39,IF(BE12=Цены!$H$40,Цены!$L$40,IF(BE12=Цены!$H$41,Цены!$L$41,IF(BE12=Цены!$H$42,Цены!$L$42,IF(BE12=Цены!$H$43,Цены!$L$43,IF(BE12=Цены!$H$44,Цены!$L$44,IF(BE12=Цены!$H$45,Цены!$L$45,IF(BE12=Цены!$H$46,Цены!$L$46,IF(BE12=Цены!$H$47,Цены!$L$47,IF(BE12=Цены!$H$48,Цены!$L$48,IF(BE12=Цены!$H$49,Цены!$L$49,IF(BE12=Цены!$H$50,Цены!$L$50,IF(BE12=Цены!$H$51,Цены!$L$51,IF(BE12=Цены!$H$52,Цены!$L$52,IF(BE12=Цены!$H$53,Цены!$L$53,IF(BE12=Цены!$H$54,Цены!$L$54,IF(BE12=Цены!$H$55,Цены!$L$55))))))))))))))))))))))))))))))))))))))))))))))))))))))</f>
        <v>0.19</v>
      </c>
      <c r="BH12" s="276"/>
      <c r="BI12" s="34">
        <f>IF(BE12=Цены!$H$3,Цены!$K$3,IF(BE12=Цены!$H$4,Цены!$K$4,IF(BE12=Цены!$H$5,Цены!$K$5,IF(BE12=Цены!$H$6,Цены!$K$6,IF(BE12=Цены!$H$7,Цены!$K$7,IF(BE12=Цены!$H$8,Цены!$K$8,IF(BE12=Цены!$H$9,Цены!$K$9,IF(BE12=Цены!$H$10,Цены!$K$10,IF(BE12=Цены!$H$11,Цены!$K$11,IF(BE12=Цены!$H$12,Цены!$K$12,IF(BE12=Цены!$H$13,Цены!$K$13,IF(BE12=Цены!$H$14,Цены!$K$14,IF(BE12=Цены!$H$14,Цены!$K$14,IF(BE12=Цены!$H$15,Цены!$K$15,IF(BE12=Цены!$H$16,Цены!$K$16,IF(BE12=Цены!$H$17,Цены!$K$17,IF(BE12=Цены!$H$18,Цены!$K$18,IF(BE12=Цены!$H$19,Цены!$K$19,IF(BE12=Цены!$H$20,Цены!$K$20,IF(BE12=Цены!$H$21,Цены!$K$21,IF(BE12=Цены!$H$22,Цены!$K$22,IF(BE12=Цены!$H$23,Цены!$K$23,IF(BE12=Цены!$H$24,Цены!$K$24,IF(BE12=Цены!$H$25,Цены!$K$25,IF(BE12=Цены!$H$26,Цены!$K$26,IF(BE12=Цены!$H$27,Цены!$K$27,IF(BE12=Цены!$H$28,Цены!$K$28,IF(BE12=Цены!$H$29,Цены!$K$29,IF(BE12=Цены!$H$30,Цены!$K$30,IF(BE12=Цены!$H$31,Цены!$K$31,IF(BE12=Цены!$H$32,Цены!$K$32,IF(BE12=Цены!$H$33,Цены!$K$33,IF(BE12=Цены!$H$34,Цены!$K$34,IF(BE12=Цены!$H$35,Цены!$K$35,IF(BE12=Цены!$H$36,Цены!$K$36,IF(BE12=Цены!$H$37,Цены!$K$37,IF(BE12=Цены!$H$38,Цены!$K$38,IF(BE12=Цены!$H$39,Цены!$K$39,IF(BE12=Цены!$H$40,Цены!$K$40,IF(BE12=Цены!$H$41,Цены!$K$41,IF(BE12=Цены!$H$42,Цены!$K$42,IF(BE12=Цены!$H$43,Цены!$K$43,IF(BE12=Цены!$H$44,Цены!$K$44,IF(BE12=Цены!$H$45,Цены!$K$45,IF(BE12=Цены!$H$46,Цены!$K$46,IF(BE12=Цены!$H$47,Цены!$K$47,IF(BE12=Цены!$H$48,Цены!$K$48,IF(BE12=Цены!$H$49,Цены!$K$49,IF(BE12=Цены!$H$50,Цены!$K$50,IF(BE12=Цены!$H$51,Цены!$K$51,IF(BE12=Цены!$H$52,Цены!$K$52,IF(BE12=Цены!$H$53,Цены!$K$53,IF(BE12=Цены!$H$54,Цены!$K$54,IF(BE12=Цены!$H$55,Цены!$K$55))))))))))))))))))))))))))))))))))))))))))))))))))))))</f>
        <v>448</v>
      </c>
      <c r="BJ12" s="265"/>
      <c r="BK12" s="265"/>
      <c r="BL12" s="269"/>
      <c r="BM12" s="286"/>
      <c r="BN12" s="286"/>
      <c r="BO12" s="265"/>
      <c r="BP12" s="269"/>
      <c r="BQ12" s="287"/>
      <c r="BR12" s="117" t="s">
        <v>122</v>
      </c>
      <c r="BS12" s="43">
        <v>2</v>
      </c>
      <c r="BT12" s="33">
        <f>IF(BR12=Цены!$H$3,Цены!$L$3,IF(BR12=Цены!$H$4,Цены!$L$4,IF(BR12=Цены!$H$5,Цены!$L$5,IF(BR12=Цены!$H$6,Цены!$L$6,IF(BR12=Цены!$H$7,Цены!$L$7,IF(BR12=Цены!$H$8,Цены!$L$8,IF(BR12=Цены!$H$9,Цены!$L$9,IF(BR12=Цены!$H$10,Цены!$L$10,IF(BR12=Цены!$H$11,Цены!$L$11,IF(BR12=Цены!$H$12,Цены!$L$12,IF(BR12=Цены!$H$13,Цены!$L$13,IF(BR12=Цены!$H$14,Цены!$L$14,IF(BR12=Цены!$H$14,Цены!$L$14,IF(BR12=Цены!$H$15,Цены!$L$15,IF(BR12=Цены!$H$16,Цены!$L$16,IF(BR12=Цены!$H$17,Цены!$L$17,IF(BR12=Цены!$H$18,Цены!$L$18,IF(BR12=Цены!$H$19,Цены!$L$19,IF(BR12=Цены!$H$20,Цены!$L$20,IF(BR12=Цены!$H$21,Цены!$L$21,IF(BR12=Цены!$H$22,Цены!$L$22,IF(BR12=Цены!$H$23,Цены!$L$23,IF(BR12=Цены!$H$24,Цены!$L$24,IF(BR12=Цены!$H$25,Цены!$L$25,IF(BR12=Цены!$H$26,Цены!$L$26,IF(BR12=Цены!$H$27,Цены!$L$27,IF(BR12=Цены!$H$28,Цены!$L$28,IF(BR12=Цены!$H$29,Цены!$L$29,IF(BR12=Цены!$H$30,Цены!$L$30,IF(BR12=Цены!$H$31,Цены!$L$31,IF(BR12=Цены!$H$32,Цены!$L$32,IF(BR12=Цены!$H$33,Цены!$L$33,IF(BR12=Цены!$H$34,Цены!$L$34,IF(BR12=Цены!$H$35,Цены!$L$35,IF(BR12=Цены!$H$36,Цены!$L$36,IF(BR12=Цены!$H$37,Цены!$L$37,IF(BR12=Цены!$H$38,Цены!$L$38,IF(BR12=Цены!$H$39,Цены!$L$39,IF(BR12=Цены!$H$40,Цены!$L$40,IF(BR12=Цены!$H$41,Цены!$L$41,IF(BR12=Цены!$H$42,Цены!$L$42,IF(BR12=Цены!$H$43,Цены!$L$43,IF(BR12=Цены!$H$44,Цены!$L$44,IF(BR12=Цены!$H$45,Цены!$L$45,IF(BR12=Цены!$H$46,Цены!$L$46,IF(BR12=Цены!$H$47,Цены!$L$47,IF(BR12=Цены!$H$48,Цены!$L$48,IF(BR12=Цены!$H$49,Цены!$L$49,IF(BR12=Цены!$H$50,Цены!$L$50,IF(BR12=Цены!$H$51,Цены!$L$51,IF(BR12=Цены!$H$52,Цены!$L$52,IF(BR12=Цены!$H$53,Цены!$L$53,IF(BR12=Цены!$H$54,Цены!$L$54,IF(BR12=Цены!$H$55,Цены!$L$55))))))))))))))))))))))))))))))))))))))))))))))))))))))</f>
        <v>0.6</v>
      </c>
      <c r="BU12" s="276"/>
      <c r="BV12" s="34">
        <f>IF(BR12=Цены!$H$3,Цены!$K$3,IF(BR12=Цены!$H$4,Цены!$K$4,IF(BR12=Цены!$H$5,Цены!$K$5,IF(BR12=Цены!$H$6,Цены!$K$6,IF(BR12=Цены!$H$7,Цены!$K$7,IF(BR12=Цены!$H$8,Цены!$K$8,IF(BR12=Цены!$H$9,Цены!$K$9,IF(BR12=Цены!$H$10,Цены!$K$10,IF(BR12=Цены!$H$11,Цены!$K$11,IF(BR12=Цены!$H$12,Цены!$K$12,IF(BR12=Цены!$H$13,Цены!$K$13,IF(BR12=Цены!$H$14,Цены!$K$14,IF(BR12=Цены!$H$14,Цены!$K$14,IF(BR12=Цены!$H$15,Цены!$K$15,IF(BR12=Цены!$H$16,Цены!$K$16,IF(BR12=Цены!$H$17,Цены!$K$17,IF(BR12=Цены!$H$18,Цены!$K$18,IF(BR12=Цены!$H$19,Цены!$K$19,IF(BR12=Цены!$H$20,Цены!$K$20,IF(BR12=Цены!$H$21,Цены!$K$21,IF(BR12=Цены!$H$22,Цены!$K$22,IF(BR12=Цены!$H$23,Цены!$K$23,IF(BR12=Цены!$H$24,Цены!$K$24,IF(BR12=Цены!$H$25,Цены!$K$25,IF(BR12=Цены!$H$26,Цены!$K$26,IF(BR12=Цены!$H$27,Цены!$K$27,IF(BR12=Цены!$H$28,Цены!$K$28,IF(BR12=Цены!$H$29,Цены!$K$29,IF(BR12=Цены!$H$30,Цены!$K$30,IF(BR12=Цены!$H$31,Цены!$K$31,IF(BR12=Цены!$H$32,Цены!$K$32,IF(BR12=Цены!$H$33,Цены!$K$33,IF(BR12=Цены!$H$34,Цены!$K$34,IF(BR12=Цены!$H$35,Цены!$K$35,IF(BR12=Цены!$H$36,Цены!$K$36,IF(BR12=Цены!$H$37,Цены!$K$37,IF(BR12=Цены!$H$38,Цены!$K$38,IF(BR12=Цены!$H$39,Цены!$K$39,IF(BR12=Цены!$H$40,Цены!$K$40,IF(BR12=Цены!$H$41,Цены!$K$41,IF(BR12=Цены!$H$42,Цены!$K$42,IF(BR12=Цены!$H$43,Цены!$K$43,IF(BR12=Цены!$H$44,Цены!$K$44,IF(BR12=Цены!$H$45,Цены!$K$45,IF(BR12=Цены!$H$46,Цены!$K$46,IF(BR12=Цены!$H$47,Цены!$K$47,IF(BR12=Цены!$H$48,Цены!$K$48,IF(BR12=Цены!$H$49,Цены!$K$49,IF(BR12=Цены!$H$50,Цены!$K$50,IF(BR12=Цены!$H$51,Цены!$K$51,IF(BR12=Цены!$H$52,Цены!$K$52,IF(BR12=Цены!$H$53,Цены!$K$53,IF(BR12=Цены!$H$54,Цены!$K$54,IF(BR12=Цены!$H$55,Цены!$K$55))))))))))))))))))))))))))))))))))))))))))))))))))))))</f>
        <v>166</v>
      </c>
      <c r="BW12" s="265"/>
      <c r="BX12" s="265"/>
      <c r="BY12" s="269"/>
      <c r="BZ12" s="286"/>
      <c r="CA12" s="286"/>
      <c r="CB12" s="265"/>
      <c r="CC12" s="269"/>
      <c r="CD12" s="287"/>
      <c r="CE12" s="117" t="s">
        <v>122</v>
      </c>
      <c r="CF12" s="43">
        <v>2</v>
      </c>
      <c r="CG12" s="33">
        <f>IF(CE12=Цены!$H$3,Цены!$L$3,IF(CE12=Цены!$H$4,Цены!$L$4,IF(CE12=Цены!$H$5,Цены!$L$5,IF(CE12=Цены!$H$6,Цены!$L$6,IF(CE12=Цены!$H$7,Цены!$L$7,IF(CE12=Цены!$H$8,Цены!$L$8,IF(CE12=Цены!$H$9,Цены!$L$9,IF(CE12=Цены!$H$10,Цены!$L$10,IF(CE12=Цены!$H$11,Цены!$L$11,IF(CE12=Цены!$H$12,Цены!$L$12,IF(CE12=Цены!$H$13,Цены!$L$13,IF(CE12=Цены!$H$14,Цены!$L$14,IF(CE12=Цены!$H$14,Цены!$L$14,IF(CE12=Цены!$H$15,Цены!$L$15,IF(CE12=Цены!$H$16,Цены!$L$16,IF(CE12=Цены!$H$17,Цены!$L$17,IF(CE12=Цены!$H$18,Цены!$L$18,IF(CE12=Цены!$H$19,Цены!$L$19,IF(CE12=Цены!$H$20,Цены!$L$20,IF(CE12=Цены!$H$21,Цены!$L$21,IF(CE12=Цены!$H$22,Цены!$L$22,IF(CE12=Цены!$H$23,Цены!$L$23,IF(CE12=Цены!$H$24,Цены!$L$24,IF(CE12=Цены!$H$25,Цены!$L$25,IF(CE12=Цены!$H$26,Цены!$L$26,IF(CE12=Цены!$H$27,Цены!$L$27,IF(CE12=Цены!$H$28,Цены!$L$28,IF(CE12=Цены!$H$29,Цены!$L$29,IF(CE12=Цены!$H$30,Цены!$L$30,IF(CE12=Цены!$H$31,Цены!$L$31,IF(CE12=Цены!$H$32,Цены!$L$32,IF(CE12=Цены!$H$33,Цены!$L$33,IF(CE12=Цены!$H$34,Цены!$L$34,IF(CE12=Цены!$H$35,Цены!$L$35,IF(CE12=Цены!$H$36,Цены!$L$36,IF(CE12=Цены!$H$37,Цены!$L$37,IF(CE12=Цены!$H$38,Цены!$L$38,IF(CE12=Цены!$H$39,Цены!$L$39,IF(CE12=Цены!$H$40,Цены!$L$40,IF(CE12=Цены!$H$41,Цены!$L$41,IF(CE12=Цены!$H$42,Цены!$L$42,IF(CE12=Цены!$H$43,Цены!$L$43,IF(CE12=Цены!$H$44,Цены!$L$44,IF(CE12=Цены!$H$45,Цены!$L$45,IF(CE12=Цены!$H$46,Цены!$L$46,IF(CE12=Цены!$H$47,Цены!$L$47,IF(CE12=Цены!$H$48,Цены!$L$48,IF(CE12=Цены!$H$49,Цены!$L$49,IF(CE12=Цены!$H$50,Цены!$L$50,IF(CE12=Цены!$H$51,Цены!$L$51,IF(CE12=Цены!$H$52,Цены!$L$52,IF(CE12=Цены!$H$53,Цены!$L$53,IF(CE12=Цены!$H$54,Цены!$L$54,IF(CE12=Цены!$H$55,Цены!$L$55))))))))))))))))))))))))))))))))))))))))))))))))))))))</f>
        <v>0.6</v>
      </c>
      <c r="CH12" s="276"/>
      <c r="CI12" s="34">
        <f>IF(CE12=Цены!$H$3,Цены!$K$3,IF(CE12=Цены!$H$4,Цены!$K$4,IF(CE12=Цены!$H$5,Цены!$K$5,IF(CE12=Цены!$H$6,Цены!$K$6,IF(CE12=Цены!$H$7,Цены!$K$7,IF(CE12=Цены!$H$8,Цены!$K$8,IF(CE12=Цены!$H$9,Цены!$K$9,IF(CE12=Цены!$H$10,Цены!$K$10,IF(CE12=Цены!$H$11,Цены!$K$11,IF(CE12=Цены!$H$12,Цены!$K$12,IF(CE12=Цены!$H$13,Цены!$K$13,IF(CE12=Цены!$H$14,Цены!$K$14,IF(CE12=Цены!$H$14,Цены!$K$14,IF(CE12=Цены!$H$15,Цены!$K$15,IF(CE12=Цены!$H$16,Цены!$K$16,IF(CE12=Цены!$H$17,Цены!$K$17,IF(CE12=Цены!$H$18,Цены!$K$18,IF(CE12=Цены!$H$19,Цены!$K$19,IF(CE12=Цены!$H$20,Цены!$K$20,IF(CE12=Цены!$H$21,Цены!$K$21,IF(CE12=Цены!$H$22,Цены!$K$22,IF(CE12=Цены!$H$23,Цены!$K$23,IF(CE12=Цены!$H$24,Цены!$K$24,IF(CE12=Цены!$H$25,Цены!$K$25,IF(CE12=Цены!$H$26,Цены!$K$26,IF(CE12=Цены!$H$27,Цены!$K$27,IF(CE12=Цены!$H$28,Цены!$K$28,IF(CE12=Цены!$H$29,Цены!$K$29,IF(CE12=Цены!$H$30,Цены!$K$30,IF(CE12=Цены!$H$31,Цены!$K$31,IF(CE12=Цены!$H$32,Цены!$K$32,IF(CE12=Цены!$H$33,Цены!$K$33,IF(CE12=Цены!$H$34,Цены!$K$34,IF(CE12=Цены!$H$35,Цены!$K$35,IF(CE12=Цены!$H$36,Цены!$K$36,IF(CE12=Цены!$H$37,Цены!$K$37,IF(CE12=Цены!$H$38,Цены!$K$38,IF(CE12=Цены!$H$39,Цены!$K$39,IF(CE12=Цены!$H$40,Цены!$K$40,IF(CE12=Цены!$H$41,Цены!$K$41,IF(CE12=Цены!$H$42,Цены!$K$42,IF(CE12=Цены!$H$43,Цены!$K$43,IF(CE12=Цены!$H$44,Цены!$K$44,IF(CE12=Цены!$H$45,Цены!$K$45,IF(CE12=Цены!$H$46,Цены!$K$46,IF(CE12=Цены!$H$47,Цены!$K$47,IF(CE12=Цены!$H$48,Цены!$K$48,IF(CE12=Цены!$H$49,Цены!$K$49,IF(CE12=Цены!$H$50,Цены!$K$50,IF(CE12=Цены!$H$51,Цены!$K$51,IF(CE12=Цены!$H$52,Цены!$K$52,IF(CE12=Цены!$H$53,Цены!$K$53,IF(CE12=Цены!$H$54,Цены!$K$54,IF(CE12=Цены!$H$55,Цены!$K$55))))))))))))))))))))))))))))))))))))))))))))))))))))))</f>
        <v>166</v>
      </c>
      <c r="CJ12" s="265"/>
      <c r="CK12" s="265"/>
      <c r="CL12" s="269"/>
      <c r="CM12" s="286"/>
      <c r="CN12" s="286"/>
      <c r="CO12" s="265"/>
      <c r="CP12" s="269"/>
      <c r="CQ12" s="287"/>
    </row>
    <row r="13" spans="1:95" ht="15" hidden="1" customHeight="1" x14ac:dyDescent="0.25">
      <c r="A13" s="341"/>
      <c r="B13" s="265"/>
      <c r="C13" s="265"/>
      <c r="D13" s="26" t="s">
        <v>123</v>
      </c>
      <c r="E13" s="25">
        <v>4</v>
      </c>
      <c r="F13" s="27">
        <f>IF(D13=Цены!$H$3,Цены!$L$3,IF(D13=Цены!$H$4,Цены!$L$4,IF(D13=Цены!$H$5,Цены!$L$5,IF(D13=Цены!$H$6,Цены!$L$6,IF(D13=Цены!$H$7,Цены!$L$7,IF(D13=Цены!$H$8,Цены!$L$8,IF(D13=Цены!$H$9,Цены!$L$9,IF(D13=Цены!$H$10,Цены!$L$10,IF(D13=Цены!$H$11,Цены!$L$11,IF(D13=Цены!$H$12,Цены!$L$12,IF(D13=Цены!$H$13,Цены!$L$13,IF(D13=Цены!$H$14,Цены!$L$14,IF(D13=Цены!$H$14,Цены!$L$14,IF(D13=Цены!$H$15,Цены!$L$15,IF(D13=Цены!$H$16,Цены!$L$16,IF(D13=Цены!$H$17,Цены!$L$17,IF(D13=Цены!$H$18,Цены!$L$18,IF(D13=Цены!$H$19,Цены!$L$19,IF(D13=Цены!$H$20,Цены!$L$20,IF(D13=Цены!$H$21,Цены!$L$21,IF(D13=Цены!$H$22,Цены!$L$22,IF(D13=Цены!$H$23,Цены!$L$23,IF(D13=Цены!$H$24,Цены!$L$24,IF(D13=Цены!$H$25,Цены!$L$25,IF(D13=Цены!$H$26,Цены!$L$26,IF(D13=Цены!$H$27,Цены!$L$27,IF(D13=Цены!$H$28,Цены!$L$28,IF(D13=Цены!$H$29,Цены!$L$29,IF(D13=Цены!$H$30,Цены!$L$30,IF(D13=Цены!$H$31,Цены!$L$31,IF(D13=Цены!$H$32,Цены!$L$32,IF(D13=Цены!$H$33,Цены!$L$33,IF(D13=Цены!$H$34,Цены!$L$34,IF(D13=Цены!$H$35,Цены!$L$35,IF(D13=Цены!$H$36,Цены!$L$36,IF(D13=Цены!$H$37,Цены!$L$37,IF(D13=Цены!$H$38,Цены!$L$38,IF(D13=Цены!$H$39,Цены!$L$39,IF(D13=Цены!$H$40,Цены!$L$40,IF(D13=Цены!$H$41,Цены!$L$41,IF(D13=Цены!$H$42,Цены!$L$42,IF(D13=Цены!$H$43,Цены!$L$43,IF(D13=Цены!$H$44,Цены!$L$44,IF(D13=Цены!$H$45,Цены!$L$45,IF(D13=Цены!$H$46,Цены!$L$46,IF(D13=Цены!$H$47,Цены!$L$47,IF(D13=Цены!$H$48,Цены!$L$48,IF(D13=Цены!$H$49,Цены!$L$49,IF(D13=Цены!$H$50,Цены!$L$50,IF(D13=Цены!$H$51,Цены!$L$51,IF(D13=Цены!$H$52,Цены!$L$52,IF(D13=Цены!$H$53,Цены!$L$53,IF(D13=Цены!$H$54,Цены!$L$54,IF(D13=Цены!$H$55,Цены!$L$55))))))))))))))))))))))))))))))))))))))))))))))))))))))</f>
        <v>0.39</v>
      </c>
      <c r="G13" s="309"/>
      <c r="H13" s="28">
        <f>IF(D13=Цены!$H$3,Цены!$K$3,IF(D13=Цены!$H$4,Цены!$K$4,IF(D13=Цены!$H$5,Цены!$K$5,IF(D13=Цены!$H$6,Цены!$K$6,IF(D13=Цены!$H$7,Цены!$K$7,IF(D13=Цены!$H$8,Цены!$K$8,IF(D13=Цены!$H$9,Цены!$K$9,IF(D13=Цены!$H$10,Цены!$K$10,IF(D13=Цены!$H$11,Цены!$K$11,IF(D13=Цены!$H$12,Цены!$K$12,IF(D13=Цены!$H$13,Цены!$K$13,IF(D13=Цены!$H$14,Цены!$K$14,IF(D13=Цены!$H$14,Цены!$K$14,IF(D13=Цены!$H$15,Цены!$K$15,IF(D13=Цены!$H$16,Цены!$K$16,IF(D13=Цены!$H$17,Цены!$K$17,IF(D13=Цены!$H$18,Цены!$K$18,IF(D13=Цены!$H$19,Цены!$K$19,IF(D13=Цены!$H$20,Цены!$K$20,IF(D13=Цены!$H$21,Цены!$K$21,IF(D13=Цены!$H$22,Цены!$K$22,IF(D13=Цены!$H$23,Цены!$K$23,IF(D13=Цены!$H$24,Цены!$K$24,IF(D13=Цены!$H$25,Цены!$K$25,IF(D13=Цены!$H$26,Цены!$K$26,IF(D13=Цены!$H$27,Цены!$K$27,IF(D13=Цены!$H$28,Цены!$K$28,IF(D13=Цены!$H$29,Цены!$K$29,IF(D13=Цены!$H$30,Цены!$K$30,IF(D13=Цены!$H$31,Цены!$K$31,IF(D13=Цены!$H$32,Цены!$K$32,IF(D13=Цены!$H$33,Цены!$K$33,IF(D13=Цены!$H$34,Цены!$K$34,IF(D13=Цены!$H$35,Цены!$K$35,IF(D13=Цены!$H$36,Цены!$K$36,IF(D13=Цены!$H$37,Цены!$K$37,IF(D13=Цены!$H$38,Цены!$K$38,IF(D13=Цены!$H$39,Цены!$K$39,IF(D13=Цены!$H$40,Цены!$K$40,IF(D13=Цены!$H$41,Цены!$K$41,IF(D13=Цены!$H$42,Цены!$K$42,IF(D13=Цены!$H$43,Цены!$K$43,IF(D13=Цены!$H$44,Цены!$K$44,IF(D13=Цены!$H$45,Цены!$K$45,IF(D13=Цены!$H$46,Цены!$K$46,IF(D13=Цены!$H$47,Цены!$K$47,IF(D13=Цены!$H$48,Цены!$K$48,IF(D13=Цены!$H$49,Цены!$K$49,IF(D13=Цены!$H$50,Цены!$K$50,IF(D13=Цены!$H$51,Цены!$K$51,IF(D13=Цены!$H$52,Цены!$K$52,IF(D13=Цены!$H$53,Цены!$K$53,IF(D13=Цены!$H$54,Цены!$K$54,IF(D13=Цены!$H$55,Цены!$K$55))))))))))))))))))))))))))))))))))))))))))))))))))))))</f>
        <v>624</v>
      </c>
      <c r="I13" s="265"/>
      <c r="J13" s="265"/>
      <c r="K13" s="310"/>
      <c r="L13" s="265"/>
      <c r="M13" s="265"/>
      <c r="N13" s="265"/>
      <c r="O13" s="310"/>
      <c r="P13" s="313"/>
      <c r="Q13" s="35"/>
      <c r="R13" s="30"/>
      <c r="S13" s="27" t="b">
        <f>IF(Q13=Цены!$H$3,Цены!$L$3,IF(Q13=Цены!$H$4,Цены!$L$4,IF(Q13=Цены!$H$5,Цены!$L$5,IF(Q13=Цены!$H$6,Цены!$L$6,IF(Q13=Цены!$H$7,Цены!$L$7,IF(Q13=Цены!$H$8,Цены!$L$8,IF(Q13=Цены!$H$9,Цены!$L$9,IF(Q13=Цены!$H$10,Цены!$L$10,IF(Q13=Цены!$H$11,Цены!$L$11,IF(Q13=Цены!$H$12,Цены!$L$12,IF(Q13=Цены!$H$13,Цены!$L$13,IF(Q13=Цены!$H$14,Цены!$L$14,IF(Q13=Цены!$H$14,Цены!$L$14,IF(Q13=Цены!$H$15,Цены!$L$15,IF(Q13=Цены!$H$16,Цены!$L$16,IF(Q13=Цены!$H$17,Цены!$L$17,IF(Q13=Цены!$H$18,Цены!$L$18,IF(Q13=Цены!$H$19,Цены!$L$19,IF(Q13=Цены!$H$20,Цены!$L$20,IF(Q13=Цены!$H$21,Цены!$L$21,IF(Q13=Цены!$H$22,Цены!$L$22,IF(Q13=Цены!$H$23,Цены!$L$23,IF(Q13=Цены!$H$24,Цены!$L$24,IF(Q13=Цены!$H$25,Цены!$L$25,IF(Q13=Цены!$H$26,Цены!$L$26,IF(Q13=Цены!$H$27,Цены!$L$27,IF(Q13=Цены!$H$28,Цены!$L$28,IF(Q13=Цены!$H$29,Цены!$L$29,IF(Q13=Цены!$H$30,Цены!$L$30,IF(Q13=Цены!$H$31,Цены!$L$31,IF(Q13=Цены!$H$32,Цены!$L$32,IF(Q13=Цены!$H$33,Цены!$L$33,IF(Q13=Цены!$H$34,Цены!$L$34,IF(Q13=Цены!$H$35,Цены!$L$35,IF(Q13=Цены!$H$36,Цены!$L$36,IF(Q13=Цены!$H$37,Цены!$L$37,IF(Q13=Цены!$H$38,Цены!$L$38,IF(Q13=Цены!$H$39,Цены!$L$39,IF(Q13=Цены!$H$40,Цены!$L$40,IF(Q13=Цены!$H$41,Цены!$L$41,IF(Q13=Цены!$H$42,Цены!$L$42,IF(Q13=Цены!$H$43,Цены!$L$43,IF(Q13=Цены!$H$44,Цены!$L$44,IF(Q13=Цены!$H$45,Цены!$L$45,IF(Q13=Цены!$H$46,Цены!$L$46,IF(Q13=Цены!$H$47,Цены!$L$47,IF(Q13=Цены!$H$48,Цены!$L$48,IF(Q13=Цены!$H$49,Цены!$L$49,IF(Q13=Цены!$H$50,Цены!$L$50,IF(Q13=Цены!$H$51,Цены!$L$51,IF(Q13=Цены!$H$52,Цены!$L$52,IF(Q13=Цены!$H$53,Цены!$L$53,IF(Q13=Цены!$H$54,Цены!$L$54,IF(Q13=Цены!$H$55,Цены!$L$55))))))))))))))))))))))))))))))))))))))))))))))))))))))</f>
        <v>0</v>
      </c>
      <c r="T13" s="309"/>
      <c r="U13" s="162" t="b">
        <f>IF(Q13=Цены!$H$3,Цены!$K$3,IF(Q13=Цены!$H$4,Цены!$K$4,IF(Q13=Цены!$H$5,Цены!$K$5,IF(Q13=Цены!$H$6,Цены!$K$6,IF(Q13=Цены!$H$7,Цены!$K$7,IF(Q13=Цены!$H$8,Цены!$K$8,IF(Q13=Цены!$H$9,Цены!$K$9,IF(Q13=Цены!$H$10,Цены!$K$10,IF(Q13=Цены!$H$11,Цены!$K$11,IF(Q13=Цены!$H$12,Цены!$K$12,IF(Q13=Цены!$H$13,Цены!$K$13,IF(Q13=Цены!$H$14,Цены!$K$14,IF(Q13=Цены!$H$14,Цены!$K$14,IF(Q13=Цены!$H$15,Цены!$K$15,IF(Q13=Цены!$H$16,Цены!$K$16,IF(Q13=Цены!$H$17,Цены!$K$17,IF(Q13=Цены!$H$18,Цены!$K$18,IF(Q13=Цены!$H$19,Цены!$K$19,IF(Q13=Цены!$H$20,Цены!$K$20,IF(Q13=Цены!$H$21,Цены!$K$21,IF(Q13=Цены!$H$22,Цены!$K$22,IF(Q13=Цены!$H$23,Цены!$K$23,IF(Q13=Цены!$H$24,Цены!$K$24,IF(Q13=Цены!$H$25,Цены!$K$25,IF(Q13=Цены!$H$26,Цены!$K$26,IF(Q13=Цены!$H$27,Цены!$K$27,IF(Q13=Цены!$H$28,Цены!$K$28,IF(Q13=Цены!$H$29,Цены!$K$29,IF(Q13=Цены!$H$30,Цены!$K$30,IF(Q13=Цены!$H$31,Цены!$K$31,IF(Q13=Цены!$H$32,Цены!$K$32,IF(Q13=Цены!$H$33,Цены!$K$33,IF(Q13=Цены!$H$34,Цены!$K$34,IF(Q13=Цены!$H$35,Цены!$K$35,IF(Q13=Цены!$H$36,Цены!$K$36,IF(Q13=Цены!$H$37,Цены!$K$37,IF(Q13=Цены!$H$38,Цены!$K$38,IF(Q13=Цены!$H$39,Цены!$K$39,IF(Q13=Цены!$H$40,Цены!$K$40,IF(Q13=Цены!$H$41,Цены!$K$41,IF(Q13=Цены!$H$42,Цены!$K$42,IF(Q13=Цены!$H$43,Цены!$K$43,IF(Q13=Цены!$H$44,Цены!$K$44,IF(Q13=Цены!$H$45,Цены!$K$45,IF(Q13=Цены!$H$46,Цены!$K$46,IF(Q13=Цены!$H$47,Цены!$K$47,IF(Q13=Цены!$H$48,Цены!$K$48,IF(Q13=Цены!$H$49,Цены!$K$49,IF(Q13=Цены!$H$50,Цены!$K$50,IF(Q13=Цены!$H$51,Цены!$K$51,IF(Q13=Цены!$H$52,Цены!$K$52,IF(Q13=Цены!$H$53,Цены!$K$53,IF(Q13=Цены!$H$54,Цены!$K$54,IF(Q13=Цены!$H$55,Цены!$K$55))))))))))))))))))))))))))))))))))))))))))))))))))))))</f>
        <v>0</v>
      </c>
      <c r="V13" s="265"/>
      <c r="W13" s="265"/>
      <c r="X13" s="310"/>
      <c r="Y13" s="265"/>
      <c r="Z13" s="265"/>
      <c r="AA13" s="265"/>
      <c r="AB13" s="310"/>
      <c r="AC13" s="313"/>
      <c r="AD13" s="123" t="s">
        <v>89</v>
      </c>
      <c r="AE13" s="30">
        <v>4</v>
      </c>
      <c r="AF13" s="27">
        <f>IF(AD13=Цены!$H$3,Цены!$L$3,IF(AD13=Цены!$H$4,Цены!$L$4,IF(AD13=Цены!$H$5,Цены!$L$5,IF(AD13=Цены!$H$6,Цены!$L$6,IF(AD13=Цены!$H$7,Цены!$L$7,IF(AD13=Цены!$H$8,Цены!$L$8,IF(AD13=Цены!$H$9,Цены!$L$9,IF(AD13=Цены!$H$10,Цены!$L$10,IF(AD13=Цены!$H$11,Цены!$L$11,IF(AD13=Цены!$H$12,Цены!$L$12,IF(AD13=Цены!$H$13,Цены!$L$13,IF(AD13=Цены!$H$14,Цены!$L$14,IF(AD13=Цены!$H$14,Цены!$L$14,IF(AD13=Цены!$H$15,Цены!$L$15,IF(AD13=Цены!$H$16,Цены!$L$16,IF(AD13=Цены!$H$17,Цены!$L$17,IF(AD13=Цены!$H$18,Цены!$L$18,IF(AD13=Цены!$H$19,Цены!$L$19,IF(AD13=Цены!$H$20,Цены!$L$20,IF(AD13=Цены!$H$21,Цены!$L$21,IF(AD13=Цены!$H$22,Цены!$L$22,IF(AD13=Цены!$H$23,Цены!$L$23,IF(AD13=Цены!$H$24,Цены!$L$24,IF(AD13=Цены!$H$25,Цены!$L$25,IF(AD13=Цены!$H$26,Цены!$L$26,IF(AD13=Цены!$H$27,Цены!$L$27,IF(AD13=Цены!$H$28,Цены!$L$28,IF(AD13=Цены!$H$29,Цены!$L$29,IF(AD13=Цены!$H$30,Цены!$L$30,IF(AD13=Цены!$H$31,Цены!$L$31,IF(AD13=Цены!$H$32,Цены!$L$32,IF(AD13=Цены!$H$33,Цены!$L$33,IF(AD13=Цены!$H$34,Цены!$L$34,IF(AD13=Цены!$H$35,Цены!$L$35,IF(AD13=Цены!$H$36,Цены!$L$36,IF(AD13=Цены!$H$37,Цены!$L$37,IF(AD13=Цены!$H$38,Цены!$L$38,IF(AD13=Цены!$H$39,Цены!$L$39,IF(AD13=Цены!$H$40,Цены!$L$40,IF(AD13=Цены!$H$41,Цены!$L$41,IF(AD13=Цены!$H$42,Цены!$L$42,IF(AD13=Цены!$H$43,Цены!$L$43,IF(AD13=Цены!$H$44,Цены!$L$44,IF(AD13=Цены!$H$45,Цены!$L$45,IF(AD13=Цены!$H$46,Цены!$L$46,IF(AD13=Цены!$H$47,Цены!$L$47,IF(AD13=Цены!$H$48,Цены!$L$48,IF(AD13=Цены!$H$49,Цены!$L$49,IF(AD13=Цены!$H$50,Цены!$L$50,IF(AD13=Цены!$H$51,Цены!$L$51,IF(AD13=Цены!$H$52,Цены!$L$52,IF(AD13=Цены!$H$53,Цены!$L$53,IF(AD13=Цены!$H$54,Цены!$L$54,IF(AD13=Цены!$H$55,Цены!$L$55))))))))))))))))))))))))))))))))))))))))))))))))))))))</f>
        <v>1.1499999999999999</v>
      </c>
      <c r="AG13" s="309"/>
      <c r="AH13" s="28">
        <f>IF(AD13=Цены!$H$3,Цены!$K$3,IF(AD13=Цены!$H$4,Цены!$K$4,IF(AD13=Цены!$H$5,Цены!$K$5,IF(AD13=Цены!$H$6,Цены!$K$6,IF(AD13=Цены!$H$7,Цены!$K$7,IF(AD13=Цены!$H$8,Цены!$K$8,IF(AD13=Цены!$H$9,Цены!$K$9,IF(AD13=Цены!$H$10,Цены!$K$10,IF(AD13=Цены!$H$11,Цены!$K$11,IF(AD13=Цены!$H$12,Цены!$K$12,IF(AD13=Цены!$H$13,Цены!$K$13,IF(AD13=Цены!$H$14,Цены!$K$14,IF(AD13=Цены!$H$14,Цены!$K$14,IF(AD13=Цены!$H$15,Цены!$K$15,IF(AD13=Цены!$H$16,Цены!$K$16,IF(AD13=Цены!$H$17,Цены!$K$17,IF(AD13=Цены!$H$18,Цены!$K$18,IF(AD13=Цены!$H$19,Цены!$K$19,IF(AD13=Цены!$H$20,Цены!$K$20,IF(AD13=Цены!$H$21,Цены!$K$21,IF(AD13=Цены!$H$22,Цены!$K$22,IF(AD13=Цены!$H$23,Цены!$K$23,IF(AD13=Цены!$H$24,Цены!$K$24,IF(AD13=Цены!$H$25,Цены!$K$25,IF(AD13=Цены!$H$26,Цены!$K$26,IF(AD13=Цены!$H$27,Цены!$K$27,IF(AD13=Цены!$H$28,Цены!$K$28,IF(AD13=Цены!$H$29,Цены!$K$29,IF(AD13=Цены!$H$30,Цены!$K$30,IF(AD13=Цены!$H$31,Цены!$K$31,IF(AD13=Цены!$H$32,Цены!$K$32,IF(AD13=Цены!$H$33,Цены!$K$33,IF(AD13=Цены!$H$34,Цены!$K$34,IF(AD13=Цены!$H$35,Цены!$K$35,IF(AD13=Цены!$H$36,Цены!$K$36,IF(AD13=Цены!$H$37,Цены!$K$37,IF(AD13=Цены!$H$38,Цены!$K$38,IF(AD13=Цены!$H$39,Цены!$K$39,IF(AD13=Цены!$H$40,Цены!$K$40,IF(AD13=Цены!$H$41,Цены!$K$41,IF(AD13=Цены!$H$42,Цены!$K$42,IF(AD13=Цены!$H$43,Цены!$K$43,IF(AD13=Цены!$H$44,Цены!$K$44,IF(AD13=Цены!$H$45,Цены!$K$45,IF(AD13=Цены!$H$46,Цены!$K$46,IF(AD13=Цены!$H$47,Цены!$K$47,IF(AD13=Цены!$H$48,Цены!$K$48,IF(AD13=Цены!$H$49,Цены!$K$49,IF(AD13=Цены!$H$50,Цены!$K$50,IF(AD13=Цены!$H$51,Цены!$K$51,IF(AD13=Цены!$H$52,Цены!$K$52,IF(AD13=Цены!$H$53,Цены!$K$53,IF(AD13=Цены!$H$54,Цены!$K$54,IF(AD13=Цены!$H$55,Цены!$K$55))))))))))))))))))))))))))))))))))))))))))))))))))))))</f>
        <v>400</v>
      </c>
      <c r="AI13" s="265"/>
      <c r="AJ13" s="265"/>
      <c r="AK13" s="310"/>
      <c r="AL13" s="265"/>
      <c r="AM13" s="265"/>
      <c r="AN13" s="265"/>
      <c r="AO13" s="310"/>
      <c r="AP13" s="313"/>
      <c r="AQ13" s="123"/>
      <c r="AR13" s="129"/>
      <c r="AS13" s="33" t="b">
        <f>IF(AQ13=Цены!$H$3,Цены!$L$3,IF(AQ13=Цены!$H$4,Цены!$L$4,IF(AQ13=Цены!$H$5,Цены!$L$5,IF(AQ13=Цены!$H$6,Цены!$L$6,IF(AQ13=Цены!$H$7,Цены!$L$7,IF(AQ13=Цены!$H$8,Цены!$L$8,IF(AQ13=Цены!$H$9,Цены!$L$9,IF(AQ13=Цены!$H$10,Цены!$L$10,IF(AQ13=Цены!$H$11,Цены!$L$11,IF(AQ13=Цены!$H$12,Цены!$L$12,IF(AQ13=Цены!$H$13,Цены!$L$13,IF(AQ13=Цены!$H$14,Цены!$L$14,IF(AQ13=Цены!$H$14,Цены!$L$14,IF(AQ13=Цены!$H$15,Цены!$L$15,IF(AQ13=Цены!$H$16,Цены!$L$16,IF(AQ13=Цены!$H$17,Цены!$L$17,IF(AQ13=Цены!$H$18,Цены!$L$18,IF(AQ13=Цены!$H$19,Цены!$L$19,IF(AQ13=Цены!$H$20,Цены!$L$20,IF(AQ13=Цены!$H$21,Цены!$L$21,IF(AQ13=Цены!$H$22,Цены!$L$22,IF(AQ13=Цены!$H$23,Цены!$L$23,IF(AQ13=Цены!$H$24,Цены!$L$24,IF(AQ13=Цены!$H$25,Цены!$L$25,IF(AQ13=Цены!$H$26,Цены!$L$26,IF(AQ13=Цены!$H$27,Цены!$L$27,IF(AQ13=Цены!$H$28,Цены!$L$28,IF(AQ13=Цены!$H$29,Цены!$L$29,IF(AQ13=Цены!$H$30,Цены!$L$30,IF(AQ13=Цены!$H$31,Цены!$L$31,IF(AQ13=Цены!$H$32,Цены!$L$32,IF(AQ13=Цены!$H$33,Цены!$L$33,IF(AQ13=Цены!$H$34,Цены!$L$34,IF(AQ13=Цены!$H$35,Цены!$L$35,IF(AQ13=Цены!$H$36,Цены!$L$36,IF(AQ13=Цены!$H$37,Цены!$L$37,IF(AQ13=Цены!$H$38,Цены!$L$38,IF(AQ13=Цены!$H$39,Цены!$L$39,IF(AQ13=Цены!$H$40,Цены!$L$40,IF(AQ13=Цены!$H$41,Цены!$L$41,IF(AQ13=Цены!$H$42,Цены!$L$42,IF(AQ13=Цены!$H$43,Цены!$L$43,IF(AQ13=Цены!$H$44,Цены!$L$44,IF(AQ13=Цены!$H$45,Цены!$L$45,IF(AQ13=Цены!$H$46,Цены!$L$46,IF(AQ13=Цены!$H$47,Цены!$L$47,IF(AQ13=Цены!$H$48,Цены!$L$48,IF(AQ13=Цены!$H$49,Цены!$L$49,IF(AQ13=Цены!$H$50,Цены!$L$50,IF(AQ13=Цены!$H$51,Цены!$L$51,IF(AQ13=Цены!$H$52,Цены!$L$52,IF(AQ13=Цены!$H$53,Цены!$L$53,IF(AQ13=Цены!$H$54,Цены!$L$54,IF(AQ13=Цены!$H$55,Цены!$L$55))))))))))))))))))))))))))))))))))))))))))))))))))))))</f>
        <v>0</v>
      </c>
      <c r="AT13" s="276"/>
      <c r="AU13" s="34" t="b">
        <f>IF(AQ13=Цены!$H$3,Цены!$K$3,IF(AQ13=Цены!$H$4,Цены!$K$4,IF(AQ13=Цены!$H$5,Цены!$K$5,IF(AQ13=Цены!$H$6,Цены!$K$6,IF(AQ13=Цены!$H$7,Цены!$K$7,IF(AQ13=Цены!$H$8,Цены!$K$8,IF(AQ13=Цены!$H$9,Цены!$K$9,IF(AQ13=Цены!$H$10,Цены!$K$10,IF(AQ13=Цены!$H$11,Цены!$K$11,IF(AQ13=Цены!$H$12,Цены!$K$12,IF(AQ13=Цены!$H$13,Цены!$K$13,IF(AQ13=Цены!$H$14,Цены!$K$14,IF(AQ13=Цены!$H$14,Цены!$K$14,IF(AQ13=Цены!$H$15,Цены!$K$15,IF(AQ13=Цены!$H$16,Цены!$K$16,IF(AQ13=Цены!$H$17,Цены!$K$17,IF(AQ13=Цены!$H$18,Цены!$K$18,IF(AQ13=Цены!$H$19,Цены!$K$19,IF(AQ13=Цены!$H$20,Цены!$K$20,IF(AQ13=Цены!$H$21,Цены!$K$21,IF(AQ13=Цены!$H$22,Цены!$K$22,IF(AQ13=Цены!$H$23,Цены!$K$23,IF(AQ13=Цены!$H$24,Цены!$K$24,IF(AQ13=Цены!$H$25,Цены!$K$25,IF(AQ13=Цены!$H$26,Цены!$K$26,IF(AQ13=Цены!$H$27,Цены!$K$27,IF(AQ13=Цены!$H$28,Цены!$K$28,IF(AQ13=Цены!$H$29,Цены!$K$29,IF(AQ13=Цены!$H$30,Цены!$K$30,IF(AQ13=Цены!$H$31,Цены!$K$31,IF(AQ13=Цены!$H$32,Цены!$K$32,IF(AQ13=Цены!$H$33,Цены!$K$33,IF(AQ13=Цены!$H$34,Цены!$K$34,IF(AQ13=Цены!$H$35,Цены!$K$35,IF(AQ13=Цены!$H$36,Цены!$K$36,IF(AQ13=Цены!$H$37,Цены!$K$37,IF(AQ13=Цены!$H$38,Цены!$K$38,IF(AQ13=Цены!$H$39,Цены!$K$39,IF(AQ13=Цены!$H$40,Цены!$K$40,IF(AQ13=Цены!$H$41,Цены!$K$41,IF(AQ13=Цены!$H$42,Цены!$K$42,IF(AQ13=Цены!$H$43,Цены!$K$43,IF(AQ13=Цены!$H$44,Цены!$K$44,IF(AQ13=Цены!$H$45,Цены!$K$45,IF(AQ13=Цены!$H$46,Цены!$K$46,IF(AQ13=Цены!$H$47,Цены!$K$47,IF(AQ13=Цены!$H$48,Цены!$K$48,IF(AQ13=Цены!$H$49,Цены!$K$49,IF(AQ13=Цены!$H$50,Цены!$K$50,IF(AQ13=Цены!$H$51,Цены!$K$51,IF(AQ13=Цены!$H$52,Цены!$K$52,IF(AQ13=Цены!$H$53,Цены!$K$53,IF(AQ13=Цены!$H$54,Цены!$K$54,IF(AQ13=Цены!$H$55,Цены!$K$55))))))))))))))))))))))))))))))))))))))))))))))))))))))</f>
        <v>0</v>
      </c>
      <c r="AV13" s="265"/>
      <c r="AW13" s="265"/>
      <c r="AX13" s="269"/>
      <c r="AY13" s="286"/>
      <c r="AZ13" s="286"/>
      <c r="BA13" s="265"/>
      <c r="BB13" s="269"/>
      <c r="BC13" s="287"/>
      <c r="BD13" s="243"/>
      <c r="BE13" s="35"/>
      <c r="BF13" s="71"/>
      <c r="BG13" s="33" t="b">
        <f>IF(BE13=Цены!$H$3,Цены!$L$3,IF(BE13=Цены!$H$4,Цены!$L$4,IF(BE13=Цены!$H$5,Цены!$L$5,IF(BE13=Цены!$H$6,Цены!$L$6,IF(BE13=Цены!$H$7,Цены!$L$7,IF(BE13=Цены!$H$8,Цены!$L$8,IF(BE13=Цены!$H$9,Цены!$L$9,IF(BE13=Цены!$H$10,Цены!$L$10,IF(BE13=Цены!$H$11,Цены!$L$11,IF(BE13=Цены!$H$12,Цены!$L$12,IF(BE13=Цены!$H$13,Цены!$L$13,IF(BE13=Цены!$H$14,Цены!$L$14,IF(BE13=Цены!$H$14,Цены!$L$14,IF(BE13=Цены!$H$15,Цены!$L$15,IF(BE13=Цены!$H$16,Цены!$L$16,IF(BE13=Цены!$H$17,Цены!$L$17,IF(BE13=Цены!$H$18,Цены!$L$18,IF(BE13=Цены!$H$19,Цены!$L$19,IF(BE13=Цены!$H$20,Цены!$L$20,IF(BE13=Цены!$H$21,Цены!$L$21,IF(BE13=Цены!$H$22,Цены!$L$22,IF(BE13=Цены!$H$23,Цены!$L$23,IF(BE13=Цены!$H$24,Цены!$L$24,IF(BE13=Цены!$H$25,Цены!$L$25,IF(BE13=Цены!$H$26,Цены!$L$26,IF(BE13=Цены!$H$27,Цены!$L$27,IF(BE13=Цены!$H$28,Цены!$L$28,IF(BE13=Цены!$H$29,Цены!$L$29,IF(BE13=Цены!$H$30,Цены!$L$30,IF(BE13=Цены!$H$31,Цены!$L$31,IF(BE13=Цены!$H$32,Цены!$L$32,IF(BE13=Цены!$H$33,Цены!$L$33,IF(BE13=Цены!$H$34,Цены!$L$34,IF(BE13=Цены!$H$35,Цены!$L$35,IF(BE13=Цены!$H$36,Цены!$L$36,IF(BE13=Цены!$H$37,Цены!$L$37,IF(BE13=Цены!$H$38,Цены!$L$38,IF(BE13=Цены!$H$39,Цены!$L$39,IF(BE13=Цены!$H$40,Цены!$L$40,IF(BE13=Цены!$H$41,Цены!$L$41,IF(BE13=Цены!$H$42,Цены!$L$42,IF(BE13=Цены!$H$43,Цены!$L$43,IF(BE13=Цены!$H$44,Цены!$L$44,IF(BE13=Цены!$H$45,Цены!$L$45,IF(BE13=Цены!$H$46,Цены!$L$46,IF(BE13=Цены!$H$47,Цены!$L$47,IF(BE13=Цены!$H$48,Цены!$L$48,IF(BE13=Цены!$H$49,Цены!$L$49,IF(BE13=Цены!$H$50,Цены!$L$50,IF(BE13=Цены!$H$51,Цены!$L$51,IF(BE13=Цены!$H$52,Цены!$L$52,IF(BE13=Цены!$H$53,Цены!$L$53,IF(BE13=Цены!$H$54,Цены!$L$54,IF(BE13=Цены!$H$55,Цены!$L$55))))))))))))))))))))))))))))))))))))))))))))))))))))))</f>
        <v>0</v>
      </c>
      <c r="BH13" s="276"/>
      <c r="BI13" s="34" t="b">
        <f>IF(BE13=Цены!$H$3,Цены!$K$3,IF(BE13=Цены!$H$4,Цены!$K$4,IF(BE13=Цены!$H$5,Цены!$K$5,IF(BE13=Цены!$H$6,Цены!$K$6,IF(BE13=Цены!$H$7,Цены!$K$7,IF(BE13=Цены!$H$8,Цены!$K$8,IF(BE13=Цены!$H$9,Цены!$K$9,IF(BE13=Цены!$H$10,Цены!$K$10,IF(BE13=Цены!$H$11,Цены!$K$11,IF(BE13=Цены!$H$12,Цены!$K$12,IF(BE13=Цены!$H$13,Цены!$K$13,IF(BE13=Цены!$H$14,Цены!$K$14,IF(BE13=Цены!$H$14,Цены!$K$14,IF(BE13=Цены!$H$15,Цены!$K$15,IF(BE13=Цены!$H$16,Цены!$K$16,IF(BE13=Цены!$H$17,Цены!$K$17,IF(BE13=Цены!$H$18,Цены!$K$18,IF(BE13=Цены!$H$19,Цены!$K$19,IF(BE13=Цены!$H$20,Цены!$K$20,IF(BE13=Цены!$H$21,Цены!$K$21,IF(BE13=Цены!$H$22,Цены!$K$22,IF(BE13=Цены!$H$23,Цены!$K$23,IF(BE13=Цены!$H$24,Цены!$K$24,IF(BE13=Цены!$H$25,Цены!$K$25,IF(BE13=Цены!$H$26,Цены!$K$26,IF(BE13=Цены!$H$27,Цены!$K$27,IF(BE13=Цены!$H$28,Цены!$K$28,IF(BE13=Цены!$H$29,Цены!$K$29,IF(BE13=Цены!$H$30,Цены!$K$30,IF(BE13=Цены!$H$31,Цены!$K$31,IF(BE13=Цены!$H$32,Цены!$K$32,IF(BE13=Цены!$H$33,Цены!$K$33,IF(BE13=Цены!$H$34,Цены!$K$34,IF(BE13=Цены!$H$35,Цены!$K$35,IF(BE13=Цены!$H$36,Цены!$K$36,IF(BE13=Цены!$H$37,Цены!$K$37,IF(BE13=Цены!$H$38,Цены!$K$38,IF(BE13=Цены!$H$39,Цены!$K$39,IF(BE13=Цены!$H$40,Цены!$K$40,IF(BE13=Цены!$H$41,Цены!$K$41,IF(BE13=Цены!$H$42,Цены!$K$42,IF(BE13=Цены!$H$43,Цены!$K$43,IF(BE13=Цены!$H$44,Цены!$K$44,IF(BE13=Цены!$H$45,Цены!$K$45,IF(BE13=Цены!$H$46,Цены!$K$46,IF(BE13=Цены!$H$47,Цены!$K$47,IF(BE13=Цены!$H$48,Цены!$K$48,IF(BE13=Цены!$H$49,Цены!$K$49,IF(BE13=Цены!$H$50,Цены!$K$50,IF(BE13=Цены!$H$51,Цены!$K$51,IF(BE13=Цены!$H$52,Цены!$K$52,IF(BE13=Цены!$H$53,Цены!$K$53,IF(BE13=Цены!$H$54,Цены!$K$54,IF(BE13=Цены!$H$55,Цены!$K$55))))))))))))))))))))))))))))))))))))))))))))))))))))))</f>
        <v>0</v>
      </c>
      <c r="BJ13" s="265"/>
      <c r="BK13" s="265"/>
      <c r="BL13" s="269"/>
      <c r="BM13" s="286"/>
      <c r="BN13" s="286"/>
      <c r="BO13" s="265"/>
      <c r="BP13" s="269"/>
      <c r="BQ13" s="287"/>
      <c r="BR13" s="35"/>
      <c r="BS13" s="43"/>
      <c r="BT13" s="33" t="b">
        <f>IF(BR13=Цены!$H$3,Цены!$L$3,IF(BR13=Цены!$H$4,Цены!$L$4,IF(BR13=Цены!$H$5,Цены!$L$5,IF(BR13=Цены!$H$6,Цены!$L$6,IF(BR13=Цены!$H$7,Цены!$L$7,IF(BR13=Цены!$H$8,Цены!$L$8,IF(BR13=Цены!$H$9,Цены!$L$9,IF(BR13=Цены!$H$10,Цены!$L$10,IF(BR13=Цены!$H$11,Цены!$L$11,IF(BR13=Цены!$H$12,Цены!$L$12,IF(BR13=Цены!$H$13,Цены!$L$13,IF(BR13=Цены!$H$14,Цены!$L$14,IF(BR13=Цены!$H$14,Цены!$L$14,IF(BR13=Цены!$H$15,Цены!$L$15,IF(BR13=Цены!$H$16,Цены!$L$16,IF(BR13=Цены!$H$17,Цены!$L$17,IF(BR13=Цены!$H$18,Цены!$L$18,IF(BR13=Цены!$H$19,Цены!$L$19,IF(BR13=Цены!$H$20,Цены!$L$20,IF(BR13=Цены!$H$21,Цены!$L$21,IF(BR13=Цены!$H$22,Цены!$L$22,IF(BR13=Цены!$H$23,Цены!$L$23,IF(BR13=Цены!$H$24,Цены!$L$24,IF(BR13=Цены!$H$25,Цены!$L$25,IF(BR13=Цены!$H$26,Цены!$L$26,IF(BR13=Цены!$H$27,Цены!$L$27,IF(BR13=Цены!$H$28,Цены!$L$28,IF(BR13=Цены!$H$29,Цены!$L$29,IF(BR13=Цены!$H$30,Цены!$L$30,IF(BR13=Цены!$H$31,Цены!$L$31,IF(BR13=Цены!$H$32,Цены!$L$32,IF(BR13=Цены!$H$33,Цены!$L$33,IF(BR13=Цены!$H$34,Цены!$L$34,IF(BR13=Цены!$H$35,Цены!$L$35,IF(BR13=Цены!$H$36,Цены!$L$36,IF(BR13=Цены!$H$37,Цены!$L$37,IF(BR13=Цены!$H$38,Цены!$L$38,IF(BR13=Цены!$H$39,Цены!$L$39,IF(BR13=Цены!$H$40,Цены!$L$40,IF(BR13=Цены!$H$41,Цены!$L$41,IF(BR13=Цены!$H$42,Цены!$L$42,IF(BR13=Цены!$H$43,Цены!$L$43,IF(BR13=Цены!$H$44,Цены!$L$44,IF(BR13=Цены!$H$45,Цены!$L$45,IF(BR13=Цены!$H$46,Цены!$L$46,IF(BR13=Цены!$H$47,Цены!$L$47,IF(BR13=Цены!$H$48,Цены!$L$48,IF(BR13=Цены!$H$49,Цены!$L$49,IF(BR13=Цены!$H$50,Цены!$L$50,IF(BR13=Цены!$H$51,Цены!$L$51,IF(BR13=Цены!$H$52,Цены!$L$52,IF(BR13=Цены!$H$53,Цены!$L$53,IF(BR13=Цены!$H$54,Цены!$L$54,IF(BR13=Цены!$H$55,Цены!$L$55))))))))))))))))))))))))))))))))))))))))))))))))))))))</f>
        <v>0</v>
      </c>
      <c r="BU13" s="276"/>
      <c r="BV13" s="34" t="b">
        <f>IF(BR13=Цены!$H$3,Цены!$K$3,IF(BR13=Цены!$H$4,Цены!$K$4,IF(BR13=Цены!$H$5,Цены!$K$5,IF(BR13=Цены!$H$6,Цены!$K$6,IF(BR13=Цены!$H$7,Цены!$K$7,IF(BR13=Цены!$H$8,Цены!$K$8,IF(BR13=Цены!$H$9,Цены!$K$9,IF(BR13=Цены!$H$10,Цены!$K$10,IF(BR13=Цены!$H$11,Цены!$K$11,IF(BR13=Цены!$H$12,Цены!$K$12,IF(BR13=Цены!$H$13,Цены!$K$13,IF(BR13=Цены!$H$14,Цены!$K$14,IF(BR13=Цены!$H$14,Цены!$K$14,IF(BR13=Цены!$H$15,Цены!$K$15,IF(BR13=Цены!$H$16,Цены!$K$16,IF(BR13=Цены!$H$17,Цены!$K$17,IF(BR13=Цены!$H$18,Цены!$K$18,IF(BR13=Цены!$H$19,Цены!$K$19,IF(BR13=Цены!$H$20,Цены!$K$20,IF(BR13=Цены!$H$21,Цены!$K$21,IF(BR13=Цены!$H$22,Цены!$K$22,IF(BR13=Цены!$H$23,Цены!$K$23,IF(BR13=Цены!$H$24,Цены!$K$24,IF(BR13=Цены!$H$25,Цены!$K$25,IF(BR13=Цены!$H$26,Цены!$K$26,IF(BR13=Цены!$H$27,Цены!$K$27,IF(BR13=Цены!$H$28,Цены!$K$28,IF(BR13=Цены!$H$29,Цены!$K$29,IF(BR13=Цены!$H$30,Цены!$K$30,IF(BR13=Цены!$H$31,Цены!$K$31,IF(BR13=Цены!$H$32,Цены!$K$32,IF(BR13=Цены!$H$33,Цены!$K$33,IF(BR13=Цены!$H$34,Цены!$K$34,IF(BR13=Цены!$H$35,Цены!$K$35,IF(BR13=Цены!$H$36,Цены!$K$36,IF(BR13=Цены!$H$37,Цены!$K$37,IF(BR13=Цены!$H$38,Цены!$K$38,IF(BR13=Цены!$H$39,Цены!$K$39,IF(BR13=Цены!$H$40,Цены!$K$40,IF(BR13=Цены!$H$41,Цены!$K$41,IF(BR13=Цены!$H$42,Цены!$K$42,IF(BR13=Цены!$H$43,Цены!$K$43,IF(BR13=Цены!$H$44,Цены!$K$44,IF(BR13=Цены!$H$45,Цены!$K$45,IF(BR13=Цены!$H$46,Цены!$K$46,IF(BR13=Цены!$H$47,Цены!$K$47,IF(BR13=Цены!$H$48,Цены!$K$48,IF(BR13=Цены!$H$49,Цены!$K$49,IF(BR13=Цены!$H$50,Цены!$K$50,IF(BR13=Цены!$H$51,Цены!$K$51,IF(BR13=Цены!$H$52,Цены!$K$52,IF(BR13=Цены!$H$53,Цены!$K$53,IF(BR13=Цены!$H$54,Цены!$K$54,IF(BR13=Цены!$H$55,Цены!$K$55))))))))))))))))))))))))))))))))))))))))))))))))))))))</f>
        <v>0</v>
      </c>
      <c r="BW13" s="265"/>
      <c r="BX13" s="265"/>
      <c r="BY13" s="269"/>
      <c r="BZ13" s="286"/>
      <c r="CA13" s="286"/>
      <c r="CB13" s="265"/>
      <c r="CC13" s="269"/>
      <c r="CD13" s="287"/>
      <c r="CE13" s="117" t="s">
        <v>121</v>
      </c>
      <c r="CF13" s="43">
        <v>1</v>
      </c>
      <c r="CG13" s="33">
        <f>IF(CE13=Цены!$H$3,Цены!$L$3,IF(CE13=Цены!$H$4,Цены!$L$4,IF(CE13=Цены!$H$5,Цены!$L$5,IF(CE13=Цены!$H$6,Цены!$L$6,IF(CE13=Цены!$H$7,Цены!$L$7,IF(CE13=Цены!$H$8,Цены!$L$8,IF(CE13=Цены!$H$9,Цены!$L$9,IF(CE13=Цены!$H$10,Цены!$L$10,IF(CE13=Цены!$H$11,Цены!$L$11,IF(CE13=Цены!$H$12,Цены!$L$12,IF(CE13=Цены!$H$13,Цены!$L$13,IF(CE13=Цены!$H$14,Цены!$L$14,IF(CE13=Цены!$H$14,Цены!$L$14,IF(CE13=Цены!$H$15,Цены!$L$15,IF(CE13=Цены!$H$16,Цены!$L$16,IF(CE13=Цены!$H$17,Цены!$L$17,IF(CE13=Цены!$H$18,Цены!$L$18,IF(CE13=Цены!$H$19,Цены!$L$19,IF(CE13=Цены!$H$20,Цены!$L$20,IF(CE13=Цены!$H$21,Цены!$L$21,IF(CE13=Цены!$H$22,Цены!$L$22,IF(CE13=Цены!$H$23,Цены!$L$23,IF(CE13=Цены!$H$24,Цены!$L$24,IF(CE13=Цены!$H$25,Цены!$L$25,IF(CE13=Цены!$H$26,Цены!$L$26,IF(CE13=Цены!$H$27,Цены!$L$27,IF(CE13=Цены!$H$28,Цены!$L$28,IF(CE13=Цены!$H$29,Цены!$L$29,IF(CE13=Цены!$H$30,Цены!$L$30,IF(CE13=Цены!$H$31,Цены!$L$31,IF(CE13=Цены!$H$32,Цены!$L$32,IF(CE13=Цены!$H$33,Цены!$L$33,IF(CE13=Цены!$H$34,Цены!$L$34,IF(CE13=Цены!$H$35,Цены!$L$35,IF(CE13=Цены!$H$36,Цены!$L$36,IF(CE13=Цены!$H$37,Цены!$L$37,IF(CE13=Цены!$H$38,Цены!$L$38,IF(CE13=Цены!$H$39,Цены!$L$39,IF(CE13=Цены!$H$40,Цены!$L$40,IF(CE13=Цены!$H$41,Цены!$L$41,IF(CE13=Цены!$H$42,Цены!$L$42,IF(CE13=Цены!$H$43,Цены!$L$43,IF(CE13=Цены!$H$44,Цены!$L$44,IF(CE13=Цены!$H$45,Цены!$L$45,IF(CE13=Цены!$H$46,Цены!$L$46,IF(CE13=Цены!$H$47,Цены!$L$47,IF(CE13=Цены!$H$48,Цены!$L$48,IF(CE13=Цены!$H$49,Цены!$L$49,IF(CE13=Цены!$H$50,Цены!$L$50,IF(CE13=Цены!$H$51,Цены!$L$51,IF(CE13=Цены!$H$52,Цены!$L$52,IF(CE13=Цены!$H$53,Цены!$L$53,IF(CE13=Цены!$H$54,Цены!$L$54,IF(CE13=Цены!$H$55,Цены!$L$55))))))))))))))))))))))))))))))))))))))))))))))))))))))</f>
        <v>1.32E-2</v>
      </c>
      <c r="CH13" s="276"/>
      <c r="CI13" s="34">
        <f>IF(CE13=Цены!$H$3,Цены!$K$3,IF(CE13=Цены!$H$4,Цены!$K$4,IF(CE13=Цены!$H$5,Цены!$K$5,IF(CE13=Цены!$H$6,Цены!$K$6,IF(CE13=Цены!$H$7,Цены!$K$7,IF(CE13=Цены!$H$8,Цены!$K$8,IF(CE13=Цены!$H$9,Цены!$K$9,IF(CE13=Цены!$H$10,Цены!$K$10,IF(CE13=Цены!$H$11,Цены!$K$11,IF(CE13=Цены!$H$12,Цены!$K$12,IF(CE13=Цены!$H$13,Цены!$K$13,IF(CE13=Цены!$H$14,Цены!$K$14,IF(CE13=Цены!$H$14,Цены!$K$14,IF(CE13=Цены!$H$15,Цены!$K$15,IF(CE13=Цены!$H$16,Цены!$K$16,IF(CE13=Цены!$H$17,Цены!$K$17,IF(CE13=Цены!$H$18,Цены!$K$18,IF(CE13=Цены!$H$19,Цены!$K$19,IF(CE13=Цены!$H$20,Цены!$K$20,IF(CE13=Цены!$H$21,Цены!$K$21,IF(CE13=Цены!$H$22,Цены!$K$22,IF(CE13=Цены!$H$23,Цены!$K$23,IF(CE13=Цены!$H$24,Цены!$K$24,IF(CE13=Цены!$H$25,Цены!$K$25,IF(CE13=Цены!$H$26,Цены!$K$26,IF(CE13=Цены!$H$27,Цены!$K$27,IF(CE13=Цены!$H$28,Цены!$K$28,IF(CE13=Цены!$H$29,Цены!$K$29,IF(CE13=Цены!$H$30,Цены!$K$30,IF(CE13=Цены!$H$31,Цены!$K$31,IF(CE13=Цены!$H$32,Цены!$K$32,IF(CE13=Цены!$H$33,Цены!$K$33,IF(CE13=Цены!$H$34,Цены!$K$34,IF(CE13=Цены!$H$35,Цены!$K$35,IF(CE13=Цены!$H$36,Цены!$K$36,IF(CE13=Цены!$H$37,Цены!$K$37,IF(CE13=Цены!$H$38,Цены!$K$38,IF(CE13=Цены!$H$39,Цены!$K$39,IF(CE13=Цены!$H$40,Цены!$K$40,IF(CE13=Цены!$H$41,Цены!$K$41,IF(CE13=Цены!$H$42,Цены!$K$42,IF(CE13=Цены!$H$43,Цены!$K$43,IF(CE13=Цены!$H$44,Цены!$K$44,IF(CE13=Цены!$H$45,Цены!$K$45,IF(CE13=Цены!$H$46,Цены!$K$46,IF(CE13=Цены!$H$47,Цены!$K$47,IF(CE13=Цены!$H$48,Цены!$K$48,IF(CE13=Цены!$H$49,Цены!$K$49,IF(CE13=Цены!$H$50,Цены!$K$50,IF(CE13=Цены!$H$51,Цены!$K$51,IF(CE13=Цены!$H$52,Цены!$K$52,IF(CE13=Цены!$H$53,Цены!$K$53,IF(CE13=Цены!$H$54,Цены!$K$54,IF(CE13=Цены!$H$55,Цены!$K$55))))))))))))))))))))))))))))))))))))))))))))))))))))))</f>
        <v>54</v>
      </c>
      <c r="CJ13" s="265"/>
      <c r="CK13" s="265"/>
      <c r="CL13" s="269"/>
      <c r="CM13" s="286"/>
      <c r="CN13" s="286"/>
      <c r="CO13" s="265"/>
      <c r="CP13" s="269"/>
      <c r="CQ13" s="287"/>
    </row>
    <row r="14" spans="1:95" ht="15" hidden="1" customHeight="1" x14ac:dyDescent="0.25">
      <c r="A14" s="341"/>
      <c r="B14" s="265"/>
      <c r="C14" s="265"/>
      <c r="D14" s="26" t="s">
        <v>121</v>
      </c>
      <c r="E14" s="25">
        <v>2</v>
      </c>
      <c r="F14" s="27">
        <f>IF(D14=Цены!$H$3,Цены!$L$3,IF(D14=Цены!$H$4,Цены!$L$4,IF(D14=Цены!$H$5,Цены!$L$5,IF(D14=Цены!$H$6,Цены!$L$6,IF(D14=Цены!$H$7,Цены!$L$7,IF(D14=Цены!$H$8,Цены!$L$8,IF(D14=Цены!$H$9,Цены!$L$9,IF(D14=Цены!$H$10,Цены!$L$10,IF(D14=Цены!$H$11,Цены!$L$11,IF(D14=Цены!$H$12,Цены!$L$12,IF(D14=Цены!$H$13,Цены!$L$13,IF(D14=Цены!$H$14,Цены!$L$14,IF(D14=Цены!$H$14,Цены!$L$14,IF(D14=Цены!$H$15,Цены!$L$15,IF(D14=Цены!$H$16,Цены!$L$16,IF(D14=Цены!$H$17,Цены!$L$17,IF(D14=Цены!$H$18,Цены!$L$18,IF(D14=Цены!$H$19,Цены!$L$19,IF(D14=Цены!$H$20,Цены!$L$20,IF(D14=Цены!$H$21,Цены!$L$21,IF(D14=Цены!$H$22,Цены!$L$22,IF(D14=Цены!$H$23,Цены!$L$23,IF(D14=Цены!$H$24,Цены!$L$24,IF(D14=Цены!$H$25,Цены!$L$25,IF(D14=Цены!$H$26,Цены!$L$26,IF(D14=Цены!$H$27,Цены!$L$27,IF(D14=Цены!$H$28,Цены!$L$28,IF(D14=Цены!$H$29,Цены!$L$29,IF(D14=Цены!$H$30,Цены!$L$30,IF(D14=Цены!$H$31,Цены!$L$31,IF(D14=Цены!$H$32,Цены!$L$32,IF(D14=Цены!$H$33,Цены!$L$33,IF(D14=Цены!$H$34,Цены!$L$34,IF(D14=Цены!$H$35,Цены!$L$35,IF(D14=Цены!$H$36,Цены!$L$36,IF(D14=Цены!$H$37,Цены!$L$37,IF(D14=Цены!$H$38,Цены!$L$38,IF(D14=Цены!$H$39,Цены!$L$39,IF(D14=Цены!$H$40,Цены!$L$40,IF(D14=Цены!$H$41,Цены!$L$41,IF(D14=Цены!$H$42,Цены!$L$42,IF(D14=Цены!$H$43,Цены!$L$43,IF(D14=Цены!$H$44,Цены!$L$44,IF(D14=Цены!$H$45,Цены!$L$45,IF(D14=Цены!$H$46,Цены!$L$46,IF(D14=Цены!$H$47,Цены!$L$47,IF(D14=Цены!$H$48,Цены!$L$48,IF(D14=Цены!$H$49,Цены!$L$49,IF(D14=Цены!$H$50,Цены!$L$50,IF(D14=Цены!$H$51,Цены!$L$51,IF(D14=Цены!$H$52,Цены!$L$52,IF(D14=Цены!$H$53,Цены!$L$53,IF(D14=Цены!$H$54,Цены!$L$54,IF(D14=Цены!$H$55,Цены!$L$55))))))))))))))))))))))))))))))))))))))))))))))))))))))</f>
        <v>1.32E-2</v>
      </c>
      <c r="G14" s="309"/>
      <c r="H14" s="28">
        <f>IF(D14=Цены!$H$3,Цены!$K$3,IF(D14=Цены!$H$4,Цены!$K$4,IF(D14=Цены!$H$5,Цены!$K$5,IF(D14=Цены!$H$6,Цены!$K$6,IF(D14=Цены!$H$7,Цены!$K$7,IF(D14=Цены!$H$8,Цены!$K$8,IF(D14=Цены!$H$9,Цены!$K$9,IF(D14=Цены!$H$10,Цены!$K$10,IF(D14=Цены!$H$11,Цены!$K$11,IF(D14=Цены!$H$12,Цены!$K$12,IF(D14=Цены!$H$13,Цены!$K$13,IF(D14=Цены!$H$14,Цены!$K$14,IF(D14=Цены!$H$14,Цены!$K$14,IF(D14=Цены!$H$15,Цены!$K$15,IF(D14=Цены!$H$16,Цены!$K$16,IF(D14=Цены!$H$17,Цены!$K$17,IF(D14=Цены!$H$18,Цены!$K$18,IF(D14=Цены!$H$19,Цены!$K$19,IF(D14=Цены!$H$20,Цены!$K$20,IF(D14=Цены!$H$21,Цены!$K$21,IF(D14=Цены!$H$22,Цены!$K$22,IF(D14=Цены!$H$23,Цены!$K$23,IF(D14=Цены!$H$24,Цены!$K$24,IF(D14=Цены!$H$25,Цены!$K$25,IF(D14=Цены!$H$26,Цены!$K$26,IF(D14=Цены!$H$27,Цены!$K$27,IF(D14=Цены!$H$28,Цены!$K$28,IF(D14=Цены!$H$29,Цены!$K$29,IF(D14=Цены!$H$30,Цены!$K$30,IF(D14=Цены!$H$31,Цены!$K$31,IF(D14=Цены!$H$32,Цены!$K$32,IF(D14=Цены!$H$33,Цены!$K$33,IF(D14=Цены!$H$34,Цены!$K$34,IF(D14=Цены!$H$35,Цены!$K$35,IF(D14=Цены!$H$36,Цены!$K$36,IF(D14=Цены!$H$37,Цены!$K$37,IF(D14=Цены!$H$38,Цены!$K$38,IF(D14=Цены!$H$39,Цены!$K$39,IF(D14=Цены!$H$40,Цены!$K$40,IF(D14=Цены!$H$41,Цены!$K$41,IF(D14=Цены!$H$42,Цены!$K$42,IF(D14=Цены!$H$43,Цены!$K$43,IF(D14=Цены!$H$44,Цены!$K$44,IF(D14=Цены!$H$45,Цены!$K$45,IF(D14=Цены!$H$46,Цены!$K$46,IF(D14=Цены!$H$47,Цены!$K$47,IF(D14=Цены!$H$48,Цены!$K$48,IF(D14=Цены!$H$49,Цены!$K$49,IF(D14=Цены!$H$50,Цены!$K$50,IF(D14=Цены!$H$51,Цены!$K$51,IF(D14=Цены!$H$52,Цены!$K$52,IF(D14=Цены!$H$53,Цены!$K$53,IF(D14=Цены!$H$54,Цены!$K$54,IF(D14=Цены!$H$55,Цены!$K$55))))))))))))))))))))))))))))))))))))))))))))))))))))))</f>
        <v>54</v>
      </c>
      <c r="I14" s="265"/>
      <c r="J14" s="265"/>
      <c r="K14" s="310"/>
      <c r="L14" s="265"/>
      <c r="M14" s="265"/>
      <c r="N14" s="265"/>
      <c r="O14" s="310"/>
      <c r="P14" s="313"/>
      <c r="Q14" s="35"/>
      <c r="R14" s="30"/>
      <c r="S14" s="27" t="b">
        <f>IF(Q14=Цены!$H$3,Цены!$L$3,IF(Q14=Цены!$H$4,Цены!$L$4,IF(Q14=Цены!$H$5,Цены!$L$5,IF(Q14=Цены!$H$6,Цены!$L$6,IF(Q14=Цены!$H$7,Цены!$L$7,IF(Q14=Цены!$H$8,Цены!$L$8,IF(Q14=Цены!$H$9,Цены!$L$9,IF(Q14=Цены!$H$10,Цены!$L$10,IF(Q14=Цены!$H$11,Цены!$L$11,IF(Q14=Цены!$H$12,Цены!$L$12,IF(Q14=Цены!$H$13,Цены!$L$13,IF(Q14=Цены!$H$14,Цены!$L$14,IF(Q14=Цены!$H$14,Цены!$L$14,IF(Q14=Цены!$H$15,Цены!$L$15,IF(Q14=Цены!$H$16,Цены!$L$16,IF(Q14=Цены!$H$17,Цены!$L$17,IF(Q14=Цены!$H$18,Цены!$L$18,IF(Q14=Цены!$H$19,Цены!$L$19,IF(Q14=Цены!$H$20,Цены!$L$20,IF(Q14=Цены!$H$21,Цены!$L$21,IF(Q14=Цены!$H$22,Цены!$L$22,IF(Q14=Цены!$H$23,Цены!$L$23,IF(Q14=Цены!$H$24,Цены!$L$24,IF(Q14=Цены!$H$25,Цены!$L$25,IF(Q14=Цены!$H$26,Цены!$L$26,IF(Q14=Цены!$H$27,Цены!$L$27,IF(Q14=Цены!$H$28,Цены!$L$28,IF(Q14=Цены!$H$29,Цены!$L$29,IF(Q14=Цены!$H$30,Цены!$L$30,IF(Q14=Цены!$H$31,Цены!$L$31,IF(Q14=Цены!$H$32,Цены!$L$32,IF(Q14=Цены!$H$33,Цены!$L$33,IF(Q14=Цены!$H$34,Цены!$L$34,IF(Q14=Цены!$H$35,Цены!$L$35,IF(Q14=Цены!$H$36,Цены!$L$36,IF(Q14=Цены!$H$37,Цены!$L$37,IF(Q14=Цены!$H$38,Цены!$L$38,IF(Q14=Цены!$H$39,Цены!$L$39,IF(Q14=Цены!$H$40,Цены!$L$40,IF(Q14=Цены!$H$41,Цены!$L$41,IF(Q14=Цены!$H$42,Цены!$L$42,IF(Q14=Цены!$H$43,Цены!$L$43,IF(Q14=Цены!$H$44,Цены!$L$44,IF(Q14=Цены!$H$45,Цены!$L$45,IF(Q14=Цены!$H$46,Цены!$L$46,IF(Q14=Цены!$H$47,Цены!$L$47,IF(Q14=Цены!$H$48,Цены!$L$48,IF(Q14=Цены!$H$49,Цены!$L$49,IF(Q14=Цены!$H$50,Цены!$L$50,IF(Q14=Цены!$H$51,Цены!$L$51,IF(Q14=Цены!$H$52,Цены!$L$52,IF(Q14=Цены!$H$53,Цены!$L$53,IF(Q14=Цены!$H$54,Цены!$L$54,IF(Q14=Цены!$H$55,Цены!$L$55))))))))))))))))))))))))))))))))))))))))))))))))))))))</f>
        <v>0</v>
      </c>
      <c r="T14" s="309"/>
      <c r="U14" s="162" t="b">
        <f>IF(Q14=Цены!$H$3,Цены!$K$3,IF(Q14=Цены!$H$4,Цены!$K$4,IF(Q14=Цены!$H$5,Цены!$K$5,IF(Q14=Цены!$H$6,Цены!$K$6,IF(Q14=Цены!$H$7,Цены!$K$7,IF(Q14=Цены!$H$8,Цены!$K$8,IF(Q14=Цены!$H$9,Цены!$K$9,IF(Q14=Цены!$H$10,Цены!$K$10,IF(Q14=Цены!$H$11,Цены!$K$11,IF(Q14=Цены!$H$12,Цены!$K$12,IF(Q14=Цены!$H$13,Цены!$K$13,IF(Q14=Цены!$H$14,Цены!$K$14,IF(Q14=Цены!$H$14,Цены!$K$14,IF(Q14=Цены!$H$15,Цены!$K$15,IF(Q14=Цены!$H$16,Цены!$K$16,IF(Q14=Цены!$H$17,Цены!$K$17,IF(Q14=Цены!$H$18,Цены!$K$18,IF(Q14=Цены!$H$19,Цены!$K$19,IF(Q14=Цены!$H$20,Цены!$K$20,IF(Q14=Цены!$H$21,Цены!$K$21,IF(Q14=Цены!$H$22,Цены!$K$22,IF(Q14=Цены!$H$23,Цены!$K$23,IF(Q14=Цены!$H$24,Цены!$K$24,IF(Q14=Цены!$H$25,Цены!$K$25,IF(Q14=Цены!$H$26,Цены!$K$26,IF(Q14=Цены!$H$27,Цены!$K$27,IF(Q14=Цены!$H$28,Цены!$K$28,IF(Q14=Цены!$H$29,Цены!$K$29,IF(Q14=Цены!$H$30,Цены!$K$30,IF(Q14=Цены!$H$31,Цены!$K$31,IF(Q14=Цены!$H$32,Цены!$K$32,IF(Q14=Цены!$H$33,Цены!$K$33,IF(Q14=Цены!$H$34,Цены!$K$34,IF(Q14=Цены!$H$35,Цены!$K$35,IF(Q14=Цены!$H$36,Цены!$K$36,IF(Q14=Цены!$H$37,Цены!$K$37,IF(Q14=Цены!$H$38,Цены!$K$38,IF(Q14=Цены!$H$39,Цены!$K$39,IF(Q14=Цены!$H$40,Цены!$K$40,IF(Q14=Цены!$H$41,Цены!$K$41,IF(Q14=Цены!$H$42,Цены!$K$42,IF(Q14=Цены!$H$43,Цены!$K$43,IF(Q14=Цены!$H$44,Цены!$K$44,IF(Q14=Цены!$H$45,Цены!$K$45,IF(Q14=Цены!$H$46,Цены!$K$46,IF(Q14=Цены!$H$47,Цены!$K$47,IF(Q14=Цены!$H$48,Цены!$K$48,IF(Q14=Цены!$H$49,Цены!$K$49,IF(Q14=Цены!$H$50,Цены!$K$50,IF(Q14=Цены!$H$51,Цены!$K$51,IF(Q14=Цены!$H$52,Цены!$K$52,IF(Q14=Цены!$H$53,Цены!$K$53,IF(Q14=Цены!$H$54,Цены!$K$54,IF(Q14=Цены!$H$55,Цены!$K$55))))))))))))))))))))))))))))))))))))))))))))))))))))))</f>
        <v>0</v>
      </c>
      <c r="V14" s="265"/>
      <c r="W14" s="265"/>
      <c r="X14" s="310"/>
      <c r="Y14" s="265"/>
      <c r="Z14" s="265"/>
      <c r="AA14" s="265"/>
      <c r="AB14" s="310"/>
      <c r="AC14" s="313"/>
      <c r="AD14" s="123" t="s">
        <v>144</v>
      </c>
      <c r="AE14" s="30">
        <v>7</v>
      </c>
      <c r="AF14" s="27">
        <f>IF(AD14=Цены!$H$3,Цены!$L$3,IF(AD14=Цены!$H$4,Цены!$L$4,IF(AD14=Цены!$H$5,Цены!$L$5,IF(AD14=Цены!$H$6,Цены!$L$6,IF(AD14=Цены!$H$7,Цены!$L$7,IF(AD14=Цены!$H$8,Цены!$L$8,IF(AD14=Цены!$H$9,Цены!$L$9,IF(AD14=Цены!$H$10,Цены!$L$10,IF(AD14=Цены!$H$11,Цены!$L$11,IF(AD14=Цены!$H$12,Цены!$L$12,IF(AD14=Цены!$H$13,Цены!$L$13,IF(AD14=Цены!$H$14,Цены!$L$14,IF(AD14=Цены!$H$14,Цены!$L$14,IF(AD14=Цены!$H$15,Цены!$L$15,IF(AD14=Цены!$H$16,Цены!$L$16,IF(AD14=Цены!$H$17,Цены!$L$17,IF(AD14=Цены!$H$18,Цены!$L$18,IF(AD14=Цены!$H$19,Цены!$L$19,IF(AD14=Цены!$H$20,Цены!$L$20,IF(AD14=Цены!$H$21,Цены!$L$21,IF(AD14=Цены!$H$22,Цены!$L$22,IF(AD14=Цены!$H$23,Цены!$L$23,IF(AD14=Цены!$H$24,Цены!$L$24,IF(AD14=Цены!$H$25,Цены!$L$25,IF(AD14=Цены!$H$26,Цены!$L$26,IF(AD14=Цены!$H$27,Цены!$L$27,IF(AD14=Цены!$H$28,Цены!$L$28,IF(AD14=Цены!$H$29,Цены!$L$29,IF(AD14=Цены!$H$30,Цены!$L$30,IF(AD14=Цены!$H$31,Цены!$L$31,IF(AD14=Цены!$H$32,Цены!$L$32,IF(AD14=Цены!$H$33,Цены!$L$33,IF(AD14=Цены!$H$34,Цены!$L$34,IF(AD14=Цены!$H$35,Цены!$L$35,IF(AD14=Цены!$H$36,Цены!$L$36,IF(AD14=Цены!$H$37,Цены!$L$37,IF(AD14=Цены!$H$38,Цены!$L$38,IF(AD14=Цены!$H$39,Цены!$L$39,IF(AD14=Цены!$H$40,Цены!$L$40,IF(AD14=Цены!$H$41,Цены!$L$41,IF(AD14=Цены!$H$42,Цены!$L$42,IF(AD14=Цены!$H$43,Цены!$L$43,IF(AD14=Цены!$H$44,Цены!$L$44,IF(AD14=Цены!$H$45,Цены!$L$45,IF(AD14=Цены!$H$46,Цены!$L$46,IF(AD14=Цены!$H$47,Цены!$L$47,IF(AD14=Цены!$H$48,Цены!$L$48,IF(AD14=Цены!$H$49,Цены!$L$49,IF(AD14=Цены!$H$50,Цены!$L$50,IF(AD14=Цены!$H$51,Цены!$L$51,IF(AD14=Цены!$H$52,Цены!$L$52,IF(AD14=Цены!$H$53,Цены!$L$53,IF(AD14=Цены!$H$54,Цены!$L$54,IF(AD14=Цены!$H$55,Цены!$L$55))))))))))))))))))))))))))))))))))))))))))))))))))))))</f>
        <v>0.19</v>
      </c>
      <c r="AG14" s="309"/>
      <c r="AH14" s="28">
        <f>IF(AD14=Цены!$H$3,Цены!$K$3,IF(AD14=Цены!$H$4,Цены!$K$4,IF(AD14=Цены!$H$5,Цены!$K$5,IF(AD14=Цены!$H$6,Цены!$K$6,IF(AD14=Цены!$H$7,Цены!$K$7,IF(AD14=Цены!$H$8,Цены!$K$8,IF(AD14=Цены!$H$9,Цены!$K$9,IF(AD14=Цены!$H$10,Цены!$K$10,IF(AD14=Цены!$H$11,Цены!$K$11,IF(AD14=Цены!$H$12,Цены!$K$12,IF(AD14=Цены!$H$13,Цены!$K$13,IF(AD14=Цены!$H$14,Цены!$K$14,IF(AD14=Цены!$H$14,Цены!$K$14,IF(AD14=Цены!$H$15,Цены!$K$15,IF(AD14=Цены!$H$16,Цены!$K$16,IF(AD14=Цены!$H$17,Цены!$K$17,IF(AD14=Цены!$H$18,Цены!$K$18,IF(AD14=Цены!$H$19,Цены!$K$19,IF(AD14=Цены!$H$20,Цены!$K$20,IF(AD14=Цены!$H$21,Цены!$K$21,IF(AD14=Цены!$H$22,Цены!$K$22,IF(AD14=Цены!$H$23,Цены!$K$23,IF(AD14=Цены!$H$24,Цены!$K$24,IF(AD14=Цены!$H$25,Цены!$K$25,IF(AD14=Цены!$H$26,Цены!$K$26,IF(AD14=Цены!$H$27,Цены!$K$27,IF(AD14=Цены!$H$28,Цены!$K$28,IF(AD14=Цены!$H$29,Цены!$K$29,IF(AD14=Цены!$H$30,Цены!$K$30,IF(AD14=Цены!$H$31,Цены!$K$31,IF(AD14=Цены!$H$32,Цены!$K$32,IF(AD14=Цены!$H$33,Цены!$K$33,IF(AD14=Цены!$H$34,Цены!$K$34,IF(AD14=Цены!$H$35,Цены!$K$35,IF(AD14=Цены!$H$36,Цены!$K$36,IF(AD14=Цены!$H$37,Цены!$K$37,IF(AD14=Цены!$H$38,Цены!$K$38,IF(AD14=Цены!$H$39,Цены!$K$39,IF(AD14=Цены!$H$40,Цены!$K$40,IF(AD14=Цены!$H$41,Цены!$K$41,IF(AD14=Цены!$H$42,Цены!$K$42,IF(AD14=Цены!$H$43,Цены!$K$43,IF(AD14=Цены!$H$44,Цены!$K$44,IF(AD14=Цены!$H$45,Цены!$K$45,IF(AD14=Цены!$H$46,Цены!$K$46,IF(AD14=Цены!$H$47,Цены!$K$47,IF(AD14=Цены!$H$48,Цены!$K$48,IF(AD14=Цены!$H$49,Цены!$K$49,IF(AD14=Цены!$H$50,Цены!$K$50,IF(AD14=Цены!$H$51,Цены!$K$51,IF(AD14=Цены!$H$52,Цены!$K$52,IF(AD14=Цены!$H$53,Цены!$K$53,IF(AD14=Цены!$H$54,Цены!$K$54,IF(AD14=Цены!$H$55,Цены!$K$55))))))))))))))))))))))))))))))))))))))))))))))))))))))</f>
        <v>448</v>
      </c>
      <c r="AI14" s="265"/>
      <c r="AJ14" s="265"/>
      <c r="AK14" s="310"/>
      <c r="AL14" s="265"/>
      <c r="AM14" s="265"/>
      <c r="AN14" s="265"/>
      <c r="AO14" s="310"/>
      <c r="AP14" s="313"/>
      <c r="AQ14" s="117"/>
      <c r="AR14" s="129"/>
      <c r="AS14" s="33" t="b">
        <f>IF(AQ14=Цены!$H$3,Цены!$L$3,IF(AQ14=Цены!$H$4,Цены!$L$4,IF(AQ14=Цены!$H$5,Цены!$L$5,IF(AQ14=Цены!$H$6,Цены!$L$6,IF(AQ14=Цены!$H$7,Цены!$L$7,IF(AQ14=Цены!$H$8,Цены!$L$8,IF(AQ14=Цены!$H$9,Цены!$L$9,IF(AQ14=Цены!$H$10,Цены!$L$10,IF(AQ14=Цены!$H$11,Цены!$L$11,IF(AQ14=Цены!$H$12,Цены!$L$12,IF(AQ14=Цены!$H$13,Цены!$L$13,IF(AQ14=Цены!$H$14,Цены!$L$14,IF(AQ14=Цены!$H$14,Цены!$L$14,IF(AQ14=Цены!$H$15,Цены!$L$15,IF(AQ14=Цены!$H$16,Цены!$L$16,IF(AQ14=Цены!$H$17,Цены!$L$17,IF(AQ14=Цены!$H$18,Цены!$L$18,IF(AQ14=Цены!$H$19,Цены!$L$19,IF(AQ14=Цены!$H$20,Цены!$L$20,IF(AQ14=Цены!$H$21,Цены!$L$21,IF(AQ14=Цены!$H$22,Цены!$L$22,IF(AQ14=Цены!$H$23,Цены!$L$23,IF(AQ14=Цены!$H$24,Цены!$L$24,IF(AQ14=Цены!$H$25,Цены!$L$25,IF(AQ14=Цены!$H$26,Цены!$L$26,IF(AQ14=Цены!$H$27,Цены!$L$27,IF(AQ14=Цены!$H$28,Цены!$L$28,IF(AQ14=Цены!$H$29,Цены!$L$29,IF(AQ14=Цены!$H$30,Цены!$L$30,IF(AQ14=Цены!$H$31,Цены!$L$31,IF(AQ14=Цены!$H$32,Цены!$L$32,IF(AQ14=Цены!$H$33,Цены!$L$33,IF(AQ14=Цены!$H$34,Цены!$L$34,IF(AQ14=Цены!$H$35,Цены!$L$35,IF(AQ14=Цены!$H$36,Цены!$L$36,IF(AQ14=Цены!$H$37,Цены!$L$37,IF(AQ14=Цены!$H$38,Цены!$L$38,IF(AQ14=Цены!$H$39,Цены!$L$39,IF(AQ14=Цены!$H$40,Цены!$L$40,IF(AQ14=Цены!$H$41,Цены!$L$41,IF(AQ14=Цены!$H$42,Цены!$L$42,IF(AQ14=Цены!$H$43,Цены!$L$43,IF(AQ14=Цены!$H$44,Цены!$L$44,IF(AQ14=Цены!$H$45,Цены!$L$45,IF(AQ14=Цены!$H$46,Цены!$L$46,IF(AQ14=Цены!$H$47,Цены!$L$47,IF(AQ14=Цены!$H$48,Цены!$L$48,IF(AQ14=Цены!$H$49,Цены!$L$49,IF(AQ14=Цены!$H$50,Цены!$L$50,IF(AQ14=Цены!$H$51,Цены!$L$51,IF(AQ14=Цены!$H$52,Цены!$L$52,IF(AQ14=Цены!$H$53,Цены!$L$53,IF(AQ14=Цены!$H$54,Цены!$L$54,IF(AQ14=Цены!$H$55,Цены!$L$55))))))))))))))))))))))))))))))))))))))))))))))))))))))</f>
        <v>0</v>
      </c>
      <c r="AT14" s="276"/>
      <c r="AU14" s="34" t="b">
        <f>IF(AQ14=Цены!$H$3,Цены!$K$3,IF(AQ14=Цены!$H$4,Цены!$K$4,IF(AQ14=Цены!$H$5,Цены!$K$5,IF(AQ14=Цены!$H$6,Цены!$K$6,IF(AQ14=Цены!$H$7,Цены!$K$7,IF(AQ14=Цены!$H$8,Цены!$K$8,IF(AQ14=Цены!$H$9,Цены!$K$9,IF(AQ14=Цены!$H$10,Цены!$K$10,IF(AQ14=Цены!$H$11,Цены!$K$11,IF(AQ14=Цены!$H$12,Цены!$K$12,IF(AQ14=Цены!$H$13,Цены!$K$13,IF(AQ14=Цены!$H$14,Цены!$K$14,IF(AQ14=Цены!$H$14,Цены!$K$14,IF(AQ14=Цены!$H$15,Цены!$K$15,IF(AQ14=Цены!$H$16,Цены!$K$16,IF(AQ14=Цены!$H$17,Цены!$K$17,IF(AQ14=Цены!$H$18,Цены!$K$18,IF(AQ14=Цены!$H$19,Цены!$K$19,IF(AQ14=Цены!$H$20,Цены!$K$20,IF(AQ14=Цены!$H$21,Цены!$K$21,IF(AQ14=Цены!$H$22,Цены!$K$22,IF(AQ14=Цены!$H$23,Цены!$K$23,IF(AQ14=Цены!$H$24,Цены!$K$24,IF(AQ14=Цены!$H$25,Цены!$K$25,IF(AQ14=Цены!$H$26,Цены!$K$26,IF(AQ14=Цены!$H$27,Цены!$K$27,IF(AQ14=Цены!$H$28,Цены!$K$28,IF(AQ14=Цены!$H$29,Цены!$K$29,IF(AQ14=Цены!$H$30,Цены!$K$30,IF(AQ14=Цены!$H$31,Цены!$K$31,IF(AQ14=Цены!$H$32,Цены!$K$32,IF(AQ14=Цены!$H$33,Цены!$K$33,IF(AQ14=Цены!$H$34,Цены!$K$34,IF(AQ14=Цены!$H$35,Цены!$K$35,IF(AQ14=Цены!$H$36,Цены!$K$36,IF(AQ14=Цены!$H$37,Цены!$K$37,IF(AQ14=Цены!$H$38,Цены!$K$38,IF(AQ14=Цены!$H$39,Цены!$K$39,IF(AQ14=Цены!$H$40,Цены!$K$40,IF(AQ14=Цены!$H$41,Цены!$K$41,IF(AQ14=Цены!$H$42,Цены!$K$42,IF(AQ14=Цены!$H$43,Цены!$K$43,IF(AQ14=Цены!$H$44,Цены!$K$44,IF(AQ14=Цены!$H$45,Цены!$K$45,IF(AQ14=Цены!$H$46,Цены!$K$46,IF(AQ14=Цены!$H$47,Цены!$K$47,IF(AQ14=Цены!$H$48,Цены!$K$48,IF(AQ14=Цены!$H$49,Цены!$K$49,IF(AQ14=Цены!$H$50,Цены!$K$50,IF(AQ14=Цены!$H$51,Цены!$K$51,IF(AQ14=Цены!$H$52,Цены!$K$52,IF(AQ14=Цены!$H$53,Цены!$K$53,IF(AQ14=Цены!$H$54,Цены!$K$54,IF(AQ14=Цены!$H$55,Цены!$K$55))))))))))))))))))))))))))))))))))))))))))))))))))))))</f>
        <v>0</v>
      </c>
      <c r="AV14" s="265"/>
      <c r="AW14" s="265"/>
      <c r="AX14" s="269"/>
      <c r="AY14" s="286"/>
      <c r="AZ14" s="286"/>
      <c r="BA14" s="265"/>
      <c r="BB14" s="269"/>
      <c r="BC14" s="287"/>
      <c r="BD14" s="243"/>
      <c r="BE14" s="35"/>
      <c r="BF14" s="71"/>
      <c r="BG14" s="33" t="b">
        <f>IF(BE14=Цены!$H$3,Цены!$L$3,IF(BE14=Цены!$H$4,Цены!$L$4,IF(BE14=Цены!$H$5,Цены!$L$5,IF(BE14=Цены!$H$6,Цены!$L$6,IF(BE14=Цены!$H$7,Цены!$L$7,IF(BE14=Цены!$H$8,Цены!$L$8,IF(BE14=Цены!$H$9,Цены!$L$9,IF(BE14=Цены!$H$10,Цены!$L$10,IF(BE14=Цены!$H$11,Цены!$L$11,IF(BE14=Цены!$H$12,Цены!$L$12,IF(BE14=Цены!$H$13,Цены!$L$13,IF(BE14=Цены!$H$14,Цены!$L$14,IF(BE14=Цены!$H$14,Цены!$L$14,IF(BE14=Цены!$H$15,Цены!$L$15,IF(BE14=Цены!$H$16,Цены!$L$16,IF(BE14=Цены!$H$17,Цены!$L$17,IF(BE14=Цены!$H$18,Цены!$L$18,IF(BE14=Цены!$H$19,Цены!$L$19,IF(BE14=Цены!$H$20,Цены!$L$20,IF(BE14=Цены!$H$21,Цены!$L$21,IF(BE14=Цены!$H$22,Цены!$L$22,IF(BE14=Цены!$H$23,Цены!$L$23,IF(BE14=Цены!$H$24,Цены!$L$24,IF(BE14=Цены!$H$25,Цены!$L$25,IF(BE14=Цены!$H$26,Цены!$L$26,IF(BE14=Цены!$H$27,Цены!$L$27,IF(BE14=Цены!$H$28,Цены!$L$28,IF(BE14=Цены!$H$29,Цены!$L$29,IF(BE14=Цены!$H$30,Цены!$L$30,IF(BE14=Цены!$H$31,Цены!$L$31,IF(BE14=Цены!$H$32,Цены!$L$32,IF(BE14=Цены!$H$33,Цены!$L$33,IF(BE14=Цены!$H$34,Цены!$L$34,IF(BE14=Цены!$H$35,Цены!$L$35,IF(BE14=Цены!$H$36,Цены!$L$36,IF(BE14=Цены!$H$37,Цены!$L$37,IF(BE14=Цены!$H$38,Цены!$L$38,IF(BE14=Цены!$H$39,Цены!$L$39,IF(BE14=Цены!$H$40,Цены!$L$40,IF(BE14=Цены!$H$41,Цены!$L$41,IF(BE14=Цены!$H$42,Цены!$L$42,IF(BE14=Цены!$H$43,Цены!$L$43,IF(BE14=Цены!$H$44,Цены!$L$44,IF(BE14=Цены!$H$45,Цены!$L$45,IF(BE14=Цены!$H$46,Цены!$L$46,IF(BE14=Цены!$H$47,Цены!$L$47,IF(BE14=Цены!$H$48,Цены!$L$48,IF(BE14=Цены!$H$49,Цены!$L$49,IF(BE14=Цены!$H$50,Цены!$L$50,IF(BE14=Цены!$H$51,Цены!$L$51,IF(BE14=Цены!$H$52,Цены!$L$52,IF(BE14=Цены!$H$53,Цены!$L$53,IF(BE14=Цены!$H$54,Цены!$L$54,IF(BE14=Цены!$H$55,Цены!$L$55))))))))))))))))))))))))))))))))))))))))))))))))))))))</f>
        <v>0</v>
      </c>
      <c r="BH14" s="276"/>
      <c r="BI14" s="34" t="b">
        <f>IF(BE14=Цены!$H$3,Цены!$K$3,IF(BE14=Цены!$H$4,Цены!$K$4,IF(BE14=Цены!$H$5,Цены!$K$5,IF(BE14=Цены!$H$6,Цены!$K$6,IF(BE14=Цены!$H$7,Цены!$K$7,IF(BE14=Цены!$H$8,Цены!$K$8,IF(BE14=Цены!$H$9,Цены!$K$9,IF(BE14=Цены!$H$10,Цены!$K$10,IF(BE14=Цены!$H$11,Цены!$K$11,IF(BE14=Цены!$H$12,Цены!$K$12,IF(BE14=Цены!$H$13,Цены!$K$13,IF(BE14=Цены!$H$14,Цены!$K$14,IF(BE14=Цены!$H$14,Цены!$K$14,IF(BE14=Цены!$H$15,Цены!$K$15,IF(BE14=Цены!$H$16,Цены!$K$16,IF(BE14=Цены!$H$17,Цены!$K$17,IF(BE14=Цены!$H$18,Цены!$K$18,IF(BE14=Цены!$H$19,Цены!$K$19,IF(BE14=Цены!$H$20,Цены!$K$20,IF(BE14=Цены!$H$21,Цены!$K$21,IF(BE14=Цены!$H$22,Цены!$K$22,IF(BE14=Цены!$H$23,Цены!$K$23,IF(BE14=Цены!$H$24,Цены!$K$24,IF(BE14=Цены!$H$25,Цены!$K$25,IF(BE14=Цены!$H$26,Цены!$K$26,IF(BE14=Цены!$H$27,Цены!$K$27,IF(BE14=Цены!$H$28,Цены!$K$28,IF(BE14=Цены!$H$29,Цены!$K$29,IF(BE14=Цены!$H$30,Цены!$K$30,IF(BE14=Цены!$H$31,Цены!$K$31,IF(BE14=Цены!$H$32,Цены!$K$32,IF(BE14=Цены!$H$33,Цены!$K$33,IF(BE14=Цены!$H$34,Цены!$K$34,IF(BE14=Цены!$H$35,Цены!$K$35,IF(BE14=Цены!$H$36,Цены!$K$36,IF(BE14=Цены!$H$37,Цены!$K$37,IF(BE14=Цены!$H$38,Цены!$K$38,IF(BE14=Цены!$H$39,Цены!$K$39,IF(BE14=Цены!$H$40,Цены!$K$40,IF(BE14=Цены!$H$41,Цены!$K$41,IF(BE14=Цены!$H$42,Цены!$K$42,IF(BE14=Цены!$H$43,Цены!$K$43,IF(BE14=Цены!$H$44,Цены!$K$44,IF(BE14=Цены!$H$45,Цены!$K$45,IF(BE14=Цены!$H$46,Цены!$K$46,IF(BE14=Цены!$H$47,Цены!$K$47,IF(BE14=Цены!$H$48,Цены!$K$48,IF(BE14=Цены!$H$49,Цены!$K$49,IF(BE14=Цены!$H$50,Цены!$K$50,IF(BE14=Цены!$H$51,Цены!$K$51,IF(BE14=Цены!$H$52,Цены!$K$52,IF(BE14=Цены!$H$53,Цены!$K$53,IF(BE14=Цены!$H$54,Цены!$K$54,IF(BE14=Цены!$H$55,Цены!$K$55))))))))))))))))))))))))))))))))))))))))))))))))))))))</f>
        <v>0</v>
      </c>
      <c r="BJ14" s="265"/>
      <c r="BK14" s="265"/>
      <c r="BL14" s="269"/>
      <c r="BM14" s="286"/>
      <c r="BN14" s="286"/>
      <c r="BO14" s="265"/>
      <c r="BP14" s="269"/>
      <c r="BQ14" s="287"/>
      <c r="BR14" s="35"/>
      <c r="BS14" s="43"/>
      <c r="BT14" s="33" t="b">
        <f>IF(BR14=Цены!$H$3,Цены!$L$3,IF(BR14=Цены!$H$4,Цены!$L$4,IF(BR14=Цены!$H$5,Цены!$L$5,IF(BR14=Цены!$H$6,Цены!$L$6,IF(BR14=Цены!$H$7,Цены!$L$7,IF(BR14=Цены!$H$8,Цены!$L$8,IF(BR14=Цены!$H$9,Цены!$L$9,IF(BR14=Цены!$H$10,Цены!$L$10,IF(BR14=Цены!$H$11,Цены!$L$11,IF(BR14=Цены!$H$12,Цены!$L$12,IF(BR14=Цены!$H$13,Цены!$L$13,IF(BR14=Цены!$H$14,Цены!$L$14,IF(BR14=Цены!$H$14,Цены!$L$14,IF(BR14=Цены!$H$15,Цены!$L$15,IF(BR14=Цены!$H$16,Цены!$L$16,IF(BR14=Цены!$H$17,Цены!$L$17,IF(BR14=Цены!$H$18,Цены!$L$18,IF(BR14=Цены!$H$19,Цены!$L$19,IF(BR14=Цены!$H$20,Цены!$L$20,IF(BR14=Цены!$H$21,Цены!$L$21,IF(BR14=Цены!$H$22,Цены!$L$22,IF(BR14=Цены!$H$23,Цены!$L$23,IF(BR14=Цены!$H$24,Цены!$L$24,IF(BR14=Цены!$H$25,Цены!$L$25,IF(BR14=Цены!$H$26,Цены!$L$26,IF(BR14=Цены!$H$27,Цены!$L$27,IF(BR14=Цены!$H$28,Цены!$L$28,IF(BR14=Цены!$H$29,Цены!$L$29,IF(BR14=Цены!$H$30,Цены!$L$30,IF(BR14=Цены!$H$31,Цены!$L$31,IF(BR14=Цены!$H$32,Цены!$L$32,IF(BR14=Цены!$H$33,Цены!$L$33,IF(BR14=Цены!$H$34,Цены!$L$34,IF(BR14=Цены!$H$35,Цены!$L$35,IF(BR14=Цены!$H$36,Цены!$L$36,IF(BR14=Цены!$H$37,Цены!$L$37,IF(BR14=Цены!$H$38,Цены!$L$38,IF(BR14=Цены!$H$39,Цены!$L$39,IF(BR14=Цены!$H$40,Цены!$L$40,IF(BR14=Цены!$H$41,Цены!$L$41,IF(BR14=Цены!$H$42,Цены!$L$42,IF(BR14=Цены!$H$43,Цены!$L$43,IF(BR14=Цены!$H$44,Цены!$L$44,IF(BR14=Цены!$H$45,Цены!$L$45,IF(BR14=Цены!$H$46,Цены!$L$46,IF(BR14=Цены!$H$47,Цены!$L$47,IF(BR14=Цены!$H$48,Цены!$L$48,IF(BR14=Цены!$H$49,Цены!$L$49,IF(BR14=Цены!$H$50,Цены!$L$50,IF(BR14=Цены!$H$51,Цены!$L$51,IF(BR14=Цены!$H$52,Цены!$L$52,IF(BR14=Цены!$H$53,Цены!$L$53,IF(BR14=Цены!$H$54,Цены!$L$54,IF(BR14=Цены!$H$55,Цены!$L$55))))))))))))))))))))))))))))))))))))))))))))))))))))))</f>
        <v>0</v>
      </c>
      <c r="BU14" s="276"/>
      <c r="BV14" s="34" t="b">
        <f>IF(BR14=Цены!$H$3,Цены!$K$3,IF(BR14=Цены!$H$4,Цены!$K$4,IF(BR14=Цены!$H$5,Цены!$K$5,IF(BR14=Цены!$H$6,Цены!$K$6,IF(BR14=Цены!$H$7,Цены!$K$7,IF(BR14=Цены!$H$8,Цены!$K$8,IF(BR14=Цены!$H$9,Цены!$K$9,IF(BR14=Цены!$H$10,Цены!$K$10,IF(BR14=Цены!$H$11,Цены!$K$11,IF(BR14=Цены!$H$12,Цены!$K$12,IF(BR14=Цены!$H$13,Цены!$K$13,IF(BR14=Цены!$H$14,Цены!$K$14,IF(BR14=Цены!$H$14,Цены!$K$14,IF(BR14=Цены!$H$15,Цены!$K$15,IF(BR14=Цены!$H$16,Цены!$K$16,IF(BR14=Цены!$H$17,Цены!$K$17,IF(BR14=Цены!$H$18,Цены!$K$18,IF(BR14=Цены!$H$19,Цены!$K$19,IF(BR14=Цены!$H$20,Цены!$K$20,IF(BR14=Цены!$H$21,Цены!$K$21,IF(BR14=Цены!$H$22,Цены!$K$22,IF(BR14=Цены!$H$23,Цены!$K$23,IF(BR14=Цены!$H$24,Цены!$K$24,IF(BR14=Цены!$H$25,Цены!$K$25,IF(BR14=Цены!$H$26,Цены!$K$26,IF(BR14=Цены!$H$27,Цены!$K$27,IF(BR14=Цены!$H$28,Цены!$K$28,IF(BR14=Цены!$H$29,Цены!$K$29,IF(BR14=Цены!$H$30,Цены!$K$30,IF(BR14=Цены!$H$31,Цены!$K$31,IF(BR14=Цены!$H$32,Цены!$K$32,IF(BR14=Цены!$H$33,Цены!$K$33,IF(BR14=Цены!$H$34,Цены!$K$34,IF(BR14=Цены!$H$35,Цены!$K$35,IF(BR14=Цены!$H$36,Цены!$K$36,IF(BR14=Цены!$H$37,Цены!$K$37,IF(BR14=Цены!$H$38,Цены!$K$38,IF(BR14=Цены!$H$39,Цены!$K$39,IF(BR14=Цены!$H$40,Цены!$K$40,IF(BR14=Цены!$H$41,Цены!$K$41,IF(BR14=Цены!$H$42,Цены!$K$42,IF(BR14=Цены!$H$43,Цены!$K$43,IF(BR14=Цены!$H$44,Цены!$K$44,IF(BR14=Цены!$H$45,Цены!$K$45,IF(BR14=Цены!$H$46,Цены!$K$46,IF(BR14=Цены!$H$47,Цены!$K$47,IF(BR14=Цены!$H$48,Цены!$K$48,IF(BR14=Цены!$H$49,Цены!$K$49,IF(BR14=Цены!$H$50,Цены!$K$50,IF(BR14=Цены!$H$51,Цены!$K$51,IF(BR14=Цены!$H$52,Цены!$K$52,IF(BR14=Цены!$H$53,Цены!$K$53,IF(BR14=Цены!$H$54,Цены!$K$54,IF(BR14=Цены!$H$55,Цены!$K$55))))))))))))))))))))))))))))))))))))))))))))))))))))))</f>
        <v>0</v>
      </c>
      <c r="BW14" s="265"/>
      <c r="BX14" s="265"/>
      <c r="BY14" s="269"/>
      <c r="BZ14" s="286"/>
      <c r="CA14" s="286"/>
      <c r="CB14" s="265"/>
      <c r="CC14" s="269"/>
      <c r="CD14" s="287"/>
      <c r="CE14" s="117"/>
      <c r="CF14" s="43"/>
      <c r="CG14" s="33" t="b">
        <f>IF(CE14=Цены!$H$3,Цены!$L$3,IF(CE14=Цены!$H$4,Цены!$L$4,IF(CE14=Цены!$H$5,Цены!$L$5,IF(CE14=Цены!$H$6,Цены!$L$6,IF(CE14=Цены!$H$7,Цены!$L$7,IF(CE14=Цены!$H$8,Цены!$L$8,IF(CE14=Цены!$H$9,Цены!$L$9,IF(CE14=Цены!$H$10,Цены!$L$10,IF(CE14=Цены!$H$11,Цены!$L$11,IF(CE14=Цены!$H$12,Цены!$L$12,IF(CE14=Цены!$H$13,Цены!$L$13,IF(CE14=Цены!$H$14,Цены!$L$14,IF(CE14=Цены!$H$14,Цены!$L$14,IF(CE14=Цены!$H$15,Цены!$L$15,IF(CE14=Цены!$H$16,Цены!$L$16,IF(CE14=Цены!$H$17,Цены!$L$17,IF(CE14=Цены!$H$18,Цены!$L$18,IF(CE14=Цены!$H$19,Цены!$L$19,IF(CE14=Цены!$H$20,Цены!$L$20,IF(CE14=Цены!$H$21,Цены!$L$21,IF(CE14=Цены!$H$22,Цены!$L$22,IF(CE14=Цены!$H$23,Цены!$L$23,IF(CE14=Цены!$H$24,Цены!$L$24,IF(CE14=Цены!$H$25,Цены!$L$25,IF(CE14=Цены!$H$26,Цены!$L$26,IF(CE14=Цены!$H$27,Цены!$L$27,IF(CE14=Цены!$H$28,Цены!$L$28,IF(CE14=Цены!$H$29,Цены!$L$29,IF(CE14=Цены!$H$30,Цены!$L$30,IF(CE14=Цены!$H$31,Цены!$L$31,IF(CE14=Цены!$H$32,Цены!$L$32,IF(CE14=Цены!$H$33,Цены!$L$33,IF(CE14=Цены!$H$34,Цены!$L$34,IF(CE14=Цены!$H$35,Цены!$L$35,IF(CE14=Цены!$H$36,Цены!$L$36,IF(CE14=Цены!$H$37,Цены!$L$37,IF(CE14=Цены!$H$38,Цены!$L$38,IF(CE14=Цены!$H$39,Цены!$L$39,IF(CE14=Цены!$H$40,Цены!$L$40,IF(CE14=Цены!$H$41,Цены!$L$41,IF(CE14=Цены!$H$42,Цены!$L$42,IF(CE14=Цены!$H$43,Цены!$L$43,IF(CE14=Цены!$H$44,Цены!$L$44,IF(CE14=Цены!$H$45,Цены!$L$45,IF(CE14=Цены!$H$46,Цены!$L$46,IF(CE14=Цены!$H$47,Цены!$L$47,IF(CE14=Цены!$H$48,Цены!$L$48,IF(CE14=Цены!$H$49,Цены!$L$49,IF(CE14=Цены!$H$50,Цены!$L$50,IF(CE14=Цены!$H$51,Цены!$L$51,IF(CE14=Цены!$H$52,Цены!$L$52,IF(CE14=Цены!$H$53,Цены!$L$53,IF(CE14=Цены!$H$54,Цены!$L$54,IF(CE14=Цены!$H$55,Цены!$L$55))))))))))))))))))))))))))))))))))))))))))))))))))))))</f>
        <v>0</v>
      </c>
      <c r="CH14" s="276"/>
      <c r="CI14" s="34" t="b">
        <f>IF(CE14=Цены!$H$3,Цены!$K$3,IF(CE14=Цены!$H$4,Цены!$K$4,IF(CE14=Цены!$H$5,Цены!$K$5,IF(CE14=Цены!$H$6,Цены!$K$6,IF(CE14=Цены!$H$7,Цены!$K$7,IF(CE14=Цены!$H$8,Цены!$K$8,IF(CE14=Цены!$H$9,Цены!$K$9,IF(CE14=Цены!$H$10,Цены!$K$10,IF(CE14=Цены!$H$11,Цены!$K$11,IF(CE14=Цены!$H$12,Цены!$K$12,IF(CE14=Цены!$H$13,Цены!$K$13,IF(CE14=Цены!$H$14,Цены!$K$14,IF(CE14=Цены!$H$14,Цены!$K$14,IF(CE14=Цены!$H$15,Цены!$K$15,IF(CE14=Цены!$H$16,Цены!$K$16,IF(CE14=Цены!$H$17,Цены!$K$17,IF(CE14=Цены!$H$18,Цены!$K$18,IF(CE14=Цены!$H$19,Цены!$K$19,IF(CE14=Цены!$H$20,Цены!$K$20,IF(CE14=Цены!$H$21,Цены!$K$21,IF(CE14=Цены!$H$22,Цены!$K$22,IF(CE14=Цены!$H$23,Цены!$K$23,IF(CE14=Цены!$H$24,Цены!$K$24,IF(CE14=Цены!$H$25,Цены!$K$25,IF(CE14=Цены!$H$26,Цены!$K$26,IF(CE14=Цены!$H$27,Цены!$K$27,IF(CE14=Цены!$H$28,Цены!$K$28,IF(CE14=Цены!$H$29,Цены!$K$29,IF(CE14=Цены!$H$30,Цены!$K$30,IF(CE14=Цены!$H$31,Цены!$K$31,IF(CE14=Цены!$H$32,Цены!$K$32,IF(CE14=Цены!$H$33,Цены!$K$33,IF(CE14=Цены!$H$34,Цены!$K$34,IF(CE14=Цены!$H$35,Цены!$K$35,IF(CE14=Цены!$H$36,Цены!$K$36,IF(CE14=Цены!$H$37,Цены!$K$37,IF(CE14=Цены!$H$38,Цены!$K$38,IF(CE14=Цены!$H$39,Цены!$K$39,IF(CE14=Цены!$H$40,Цены!$K$40,IF(CE14=Цены!$H$41,Цены!$K$41,IF(CE14=Цены!$H$42,Цены!$K$42,IF(CE14=Цены!$H$43,Цены!$K$43,IF(CE14=Цены!$H$44,Цены!$K$44,IF(CE14=Цены!$H$45,Цены!$K$45,IF(CE14=Цены!$H$46,Цены!$K$46,IF(CE14=Цены!$H$47,Цены!$K$47,IF(CE14=Цены!$H$48,Цены!$K$48,IF(CE14=Цены!$H$49,Цены!$K$49,IF(CE14=Цены!$H$50,Цены!$K$50,IF(CE14=Цены!$H$51,Цены!$K$51,IF(CE14=Цены!$H$52,Цены!$K$52,IF(CE14=Цены!$H$53,Цены!$K$53,IF(CE14=Цены!$H$54,Цены!$K$54,IF(CE14=Цены!$H$55,Цены!$K$55))))))))))))))))))))))))))))))))))))))))))))))))))))))</f>
        <v>0</v>
      </c>
      <c r="CJ14" s="265"/>
      <c r="CK14" s="265"/>
      <c r="CL14" s="269"/>
      <c r="CM14" s="286"/>
      <c r="CN14" s="286"/>
      <c r="CO14" s="265"/>
      <c r="CP14" s="269"/>
      <c r="CQ14" s="287"/>
    </row>
    <row r="15" spans="1:95" s="40" customFormat="1" ht="15" hidden="1" customHeight="1" x14ac:dyDescent="0.25">
      <c r="A15" s="341"/>
      <c r="B15" s="265"/>
      <c r="C15" s="336" t="s">
        <v>120</v>
      </c>
      <c r="D15" s="44" t="s">
        <v>67</v>
      </c>
      <c r="E15" s="45">
        <v>6</v>
      </c>
      <c r="F15" s="46">
        <f>IF(D15=Цены!$H$3,Цены!$L$3,IF(D15=Цены!$H$4,Цены!$L$4,IF(D15=Цены!$H$5,Цены!$L$5,IF(D15=Цены!$H$6,Цены!$L$6,IF(D15=Цены!$H$7,Цены!$L$7,IF(D15=Цены!$H$8,Цены!$L$8,IF(D15=Цены!$H$9,Цены!$L$9,IF(D15=Цены!$H$10,Цены!$L$10,IF(D15=Цены!$H$11,Цены!$L$11,IF(D15=Цены!$H$12,Цены!$L$12,IF(D15=Цены!$H$13,Цены!$L$13,IF(D15=Цены!$H$14,Цены!$L$14,IF(D15=Цены!$H$14,Цены!$L$14,IF(D15=Цены!$H$15,Цены!$L$15,IF(D15=Цены!$H$16,Цены!$L$16,IF(D15=Цены!$H$17,Цены!$L$17,IF(D15=Цены!$H$18,Цены!$L$18,IF(D15=Цены!$H$19,Цены!$L$19,IF(D15=Цены!$H$20,Цены!$L$20,IF(D15=Цены!$H$21,Цены!$L$21,IF(D15=Цены!$H$22,Цены!$L$22,IF(D15=Цены!$H$23,Цены!$L$23,IF(D15=Цены!$H$24,Цены!$L$24,IF(D15=Цены!$H$25,Цены!$L$25,IF(D15=Цены!$H$26,Цены!$L$26,IF(D15=Цены!$H$27,Цены!$L$27,IF(D15=Цены!$H$28,Цены!$L$28,IF(D15=Цены!$H$29,Цены!$L$29,IF(D15=Цены!$H$30,Цены!$L$30,IF(D15=Цены!$H$31,Цены!$L$31,IF(D15=Цены!$H$32,Цены!$L$32,IF(D15=Цены!$H$33,Цены!$L$33,IF(D15=Цены!$H$34,Цены!$L$34,IF(D15=Цены!$H$35,Цены!$L$35,IF(D15=Цены!$H$36,Цены!$L$36,IF(D15=Цены!$H$37,Цены!$L$37,IF(D15=Цены!$H$38,Цены!$L$38,IF(D15=Цены!$H$39,Цены!$L$39,IF(D15=Цены!$H$40,Цены!$L$40,IF(D15=Цены!$H$41,Цены!$L$41,IF(D15=Цены!$H$42,Цены!$L$42,IF(D15=Цены!$H$43,Цены!$L$43,IF(D15=Цены!$H$44,Цены!$L$44,IF(D15=Цены!$H$45,Цены!$L$45,IF(D15=Цены!$H$46,Цены!$L$46,IF(D15=Цены!$H$47,Цены!$L$47,IF(D15=Цены!$H$48,Цены!$L$48,IF(D15=Цены!$H$49,Цены!$L$49,IF(D15=Цены!$H$50,Цены!$L$50,IF(D15=Цены!$H$51,Цены!$L$51,IF(D15=Цены!$H$52,Цены!$L$52,IF(D15=Цены!$H$53,Цены!$L$53,IF(D15=Цены!$H$54,Цены!$L$54,IF(D15=Цены!$H$55,Цены!$L$55))))))))))))))))))))))))))))))))))))))))))))))))))))))</f>
        <v>0.9</v>
      </c>
      <c r="G15" s="339">
        <f>E15*F15+E16*F16+E17*F17+E18*F18</f>
        <v>12.986400000000001</v>
      </c>
      <c r="H15" s="47">
        <f>IF(D15=Цены!$H$3,Цены!$K$3,IF(D15=Цены!$H$4,Цены!$K$4,IF(D15=Цены!$H$5,Цены!$K$5,IF(D15=Цены!$H$6,Цены!$K$6,IF(D15=Цены!$H$7,Цены!$K$7,IF(D15=Цены!$H$8,Цены!$K$8,IF(D15=Цены!$H$9,Цены!$K$9,IF(D15=Цены!$H$10,Цены!$K$10,IF(D15=Цены!$H$11,Цены!$K$11,IF(D15=Цены!$H$12,Цены!$K$12,IF(D15=Цены!$H$13,Цены!$K$13,IF(D15=Цены!$H$14,Цены!$K$14,IF(D15=Цены!$H$14,Цены!$K$14,IF(D15=Цены!$H$15,Цены!$K$15,IF(D15=Цены!$H$16,Цены!$K$16,IF(D15=Цены!$H$17,Цены!$K$17,IF(D15=Цены!$H$18,Цены!$K$18,IF(D15=Цены!$H$19,Цены!$K$19,IF(D15=Цены!$H$20,Цены!$K$20,IF(D15=Цены!$H$21,Цены!$K$21,IF(D15=Цены!$H$22,Цены!$K$22,IF(D15=Цены!$H$23,Цены!$K$23,IF(D15=Цены!$H$24,Цены!$K$24,IF(D15=Цены!$H$25,Цены!$K$25,IF(D15=Цены!$H$26,Цены!$K$26,IF(D15=Цены!$H$27,Цены!$K$27,IF(D15=Цены!$H$28,Цены!$K$28,IF(D15=Цены!$H$29,Цены!$K$29,IF(D15=Цены!$H$30,Цены!$K$30,IF(D15=Цены!$H$31,Цены!$K$31,IF(D15=Цены!$H$32,Цены!$K$32,IF(D15=Цены!$H$33,Цены!$K$33,IF(D15=Цены!$H$34,Цены!$K$34,IF(D15=Цены!$H$35,Цены!$K$35,IF(D15=Цены!$H$36,Цены!$K$36,IF(D15=Цены!$H$37,Цены!$K$37,IF(D15=Цены!$H$38,Цены!$K$38,IF(D15=Цены!$H$39,Цены!$K$39,IF(D15=Цены!$H$40,Цены!$K$40,IF(D15=Цены!$H$41,Цены!$K$41,IF(D15=Цены!$H$42,Цены!$K$42,IF(D15=Цены!$H$43,Цены!$K$43,IF(D15=Цены!$H$44,Цены!$K$44,IF(D15=Цены!$H$45,Цены!$K$45,IF(D15=Цены!$H$46,Цены!$K$46,IF(D15=Цены!$H$47,Цены!$K$47,IF(D15=Цены!$H$48,Цены!$K$48,IF(D15=Цены!$H$49,Цены!$K$49,IF(D15=Цены!$H$50,Цены!$K$50,IF(D15=Цены!$H$51,Цены!$K$51,IF(D15=Цены!$H$52,Цены!$K$52,IF(D15=Цены!$H$53,Цены!$K$53,IF(D15=Цены!$H$54,Цены!$K$54,IF(D15=Цены!$H$55,Цены!$K$55))))))))))))))))))))))))))))))))))))))))))))))))))))))</f>
        <v>338</v>
      </c>
      <c r="I15" s="265"/>
      <c r="J15" s="265"/>
      <c r="K15" s="332">
        <f t="shared" ref="K15" si="13">E15*H15+E16*H16+E17*H17+E18*H18</f>
        <v>7314</v>
      </c>
      <c r="L15" s="334">
        <f>$I$11*$J$11</f>
        <v>3200</v>
      </c>
      <c r="M15" s="332">
        <f t="shared" ref="M15" si="14">K15+L15</f>
        <v>10514</v>
      </c>
      <c r="N15" s="265"/>
      <c r="O15" s="332">
        <f>N11/M15*100</f>
        <v>33.479170629636677</v>
      </c>
      <c r="P15" s="331">
        <f>MROUND(M15+N11,500)</f>
        <v>14000</v>
      </c>
      <c r="Q15" s="124" t="s">
        <v>143</v>
      </c>
      <c r="R15" s="37">
        <v>5</v>
      </c>
      <c r="S15" s="38">
        <f>IF(Q15=Цены!$H$3,Цены!$L$3,IF(Q15=Цены!$H$4,Цены!$L$4,IF(Q15=Цены!$H$5,Цены!$L$5,IF(Q15=Цены!$H$6,Цены!$L$6,IF(Q15=Цены!$H$7,Цены!$L$7,IF(Q15=Цены!$H$8,Цены!$L$8,IF(Q15=Цены!$H$9,Цены!$L$9,IF(Q15=Цены!$H$10,Цены!$L$10,IF(Q15=Цены!$H$11,Цены!$L$11,IF(Q15=Цены!$H$12,Цены!$L$12,IF(Q15=Цены!$H$13,Цены!$L$13,IF(Q15=Цены!$H$14,Цены!$L$14,IF(Q15=Цены!$H$14,Цены!$L$14,IF(Q15=Цены!$H$15,Цены!$L$15,IF(Q15=Цены!$H$16,Цены!$L$16,IF(Q15=Цены!$H$17,Цены!$L$17,IF(Q15=Цены!$H$18,Цены!$L$18,IF(Q15=Цены!$H$19,Цены!$L$19,IF(Q15=Цены!$H$20,Цены!$L$20,IF(Q15=Цены!$H$21,Цены!$L$21,IF(Q15=Цены!$H$22,Цены!$L$22,IF(Q15=Цены!$H$23,Цены!$L$23,IF(Q15=Цены!$H$24,Цены!$L$24,IF(Q15=Цены!$H$25,Цены!$L$25,IF(Q15=Цены!$H$26,Цены!$L$26,IF(Q15=Цены!$H$27,Цены!$L$27,IF(Q15=Цены!$H$28,Цены!$L$28,IF(Q15=Цены!$H$29,Цены!$L$29,IF(Q15=Цены!$H$30,Цены!$L$30,IF(Q15=Цены!$H$31,Цены!$L$31,IF(Q15=Цены!$H$32,Цены!$L$32,IF(Q15=Цены!$H$33,Цены!$L$33,IF(Q15=Цены!$H$34,Цены!$L$34,IF(Q15=Цены!$H$35,Цены!$L$35,IF(Q15=Цены!$H$36,Цены!$L$36,IF(Q15=Цены!$H$37,Цены!$L$37,IF(Q15=Цены!$H$38,Цены!$L$38,IF(Q15=Цены!$H$39,Цены!$L$39,IF(Q15=Цены!$H$40,Цены!$L$40,IF(Q15=Цены!$H$41,Цены!$L$41,IF(Q15=Цены!$H$42,Цены!$L$42,IF(Q15=Цены!$H$43,Цены!$L$43,IF(Q15=Цены!$H$44,Цены!$L$44,IF(Q15=Цены!$H$45,Цены!$L$45,IF(Q15=Цены!$H$46,Цены!$L$46,IF(Q15=Цены!$H$47,Цены!$L$47,IF(Q15=Цены!$H$48,Цены!$L$48,IF(Q15=Цены!$H$49,Цены!$L$49,IF(Q15=Цены!$H$50,Цены!$L$50,IF(Q15=Цены!$H$51,Цены!$L$51,IF(Q15=Цены!$H$52,Цены!$L$52,IF(Q15=Цены!$H$53,Цены!$L$53,IF(Q15=Цены!$H$54,Цены!$L$54,IF(Q15=Цены!$H$55,Цены!$L$55))))))))))))))))))))))))))))))))))))))))))))))))))))))</f>
        <v>2.4</v>
      </c>
      <c r="T15" s="322">
        <f>R15*S15+R16*S16+R17*S17+R18*S18</f>
        <v>15.45</v>
      </c>
      <c r="U15" s="161">
        <f>IF(Q15=Цены!$H$3,Цены!$K$3,IF(Q15=Цены!$H$4,Цены!$K$4,IF(Q15=Цены!$H$5,Цены!$K$5,IF(Q15=Цены!$H$6,Цены!$K$6,IF(Q15=Цены!$H$7,Цены!$K$7,IF(Q15=Цены!$H$8,Цены!$K$8,IF(Q15=Цены!$H$9,Цены!$K$9,IF(Q15=Цены!$H$10,Цены!$K$10,IF(Q15=Цены!$H$11,Цены!$K$11,IF(Q15=Цены!$H$12,Цены!$K$12,IF(Q15=Цены!$H$13,Цены!$K$13,IF(Q15=Цены!$H$14,Цены!$K$14,IF(Q15=Цены!$H$14,Цены!$K$14,IF(Q15=Цены!$H$15,Цены!$K$15,IF(Q15=Цены!$H$16,Цены!$K$16,IF(Q15=Цены!$H$17,Цены!$K$17,IF(Q15=Цены!$H$18,Цены!$K$18,IF(Q15=Цены!$H$19,Цены!$K$19,IF(Q15=Цены!$H$20,Цены!$K$20,IF(Q15=Цены!$H$21,Цены!$K$21,IF(Q15=Цены!$H$22,Цены!$K$22,IF(Q15=Цены!$H$23,Цены!$K$23,IF(Q15=Цены!$H$24,Цены!$K$24,IF(Q15=Цены!$H$25,Цены!$K$25,IF(Q15=Цены!$H$26,Цены!$K$26,IF(Q15=Цены!$H$27,Цены!$K$27,IF(Q15=Цены!$H$28,Цены!$K$28,IF(Q15=Цены!$H$29,Цены!$K$29,IF(Q15=Цены!$H$30,Цены!$K$30,IF(Q15=Цены!$H$31,Цены!$K$31,IF(Q15=Цены!$H$32,Цены!$K$32,IF(Q15=Цены!$H$33,Цены!$K$33,IF(Q15=Цены!$H$34,Цены!$K$34,IF(Q15=Цены!$H$35,Цены!$K$35,IF(Q15=Цены!$H$36,Цены!$K$36,IF(Q15=Цены!$H$37,Цены!$K$37,IF(Q15=Цены!$H$38,Цены!$K$38,IF(Q15=Цены!$H$39,Цены!$K$39,IF(Q15=Цены!$H$40,Цены!$K$40,IF(Q15=Цены!$H$41,Цены!$K$41,IF(Q15=Цены!$H$42,Цены!$K$42,IF(Q15=Цены!$H$43,Цены!$K$43,IF(Q15=Цены!$H$44,Цены!$K$44,IF(Q15=Цены!$H$45,Цены!$K$45,IF(Q15=Цены!$H$46,Цены!$K$46,IF(Q15=Цены!$H$47,Цены!$K$47,IF(Q15=Цены!$H$48,Цены!$K$48,IF(Q15=Цены!$H$49,Цены!$K$49,IF(Q15=Цены!$H$50,Цены!$K$50,IF(Q15=Цены!$H$51,Цены!$K$51,IF(Q15=Цены!$H$52,Цены!$K$52,IF(Q15=Цены!$H$53,Цены!$K$53,IF(Q15=Цены!$H$54,Цены!$K$54,IF(Q15=Цены!$H$55,Цены!$K$55))))))))))))))))))))))))))))))))))))))))))))))))))))))</f>
        <v>469</v>
      </c>
      <c r="V15" s="265"/>
      <c r="W15" s="265"/>
      <c r="X15" s="323">
        <f t="shared" ref="X15" si="15">R15*U15+R16*U16+R17*U17+R18*U18</f>
        <v>3545</v>
      </c>
      <c r="Y15" s="324">
        <f>V11*W11</f>
        <v>3200</v>
      </c>
      <c r="Z15" s="323">
        <f t="shared" ref="Z15" si="16">X15+Y15</f>
        <v>6745</v>
      </c>
      <c r="AA15" s="265"/>
      <c r="AB15" s="323">
        <f>AA11/Z15*100</f>
        <v>52.186805040770942</v>
      </c>
      <c r="AC15" s="325">
        <f>MROUND(Z15+AA11,500)</f>
        <v>10500</v>
      </c>
      <c r="AD15" s="66" t="s">
        <v>69</v>
      </c>
      <c r="AE15" s="67">
        <v>5</v>
      </c>
      <c r="AF15" s="68">
        <f>IF(AD15=Цены!$H$3,Цены!$L$3,IF(AD15=Цены!$H$4,Цены!$L$4,IF(AD15=Цены!$H$5,Цены!$L$5,IF(AD15=Цены!$H$6,Цены!$L$6,IF(AD15=Цены!$H$7,Цены!$L$7,IF(AD15=Цены!$H$8,Цены!$L$8,IF(AD15=Цены!$H$9,Цены!$L$9,IF(AD15=Цены!$H$10,Цены!$L$10,IF(AD15=Цены!$H$11,Цены!$L$11,IF(AD15=Цены!$H$12,Цены!$L$12,IF(AD15=Цены!$H$13,Цены!$L$13,IF(AD15=Цены!$H$14,Цены!$L$14,IF(AD15=Цены!$H$14,Цены!$L$14,IF(AD15=Цены!$H$15,Цены!$L$15,IF(AD15=Цены!$H$16,Цены!$L$16,IF(AD15=Цены!$H$17,Цены!$L$17,IF(AD15=Цены!$H$18,Цены!$L$18,IF(AD15=Цены!$H$19,Цены!$L$19,IF(AD15=Цены!$H$20,Цены!$L$20,IF(AD15=Цены!$H$21,Цены!$L$21,IF(AD15=Цены!$H$22,Цены!$L$22,IF(AD15=Цены!$H$23,Цены!$L$23,IF(AD15=Цены!$H$24,Цены!$L$24,IF(AD15=Цены!$H$25,Цены!$L$25,IF(AD15=Цены!$H$26,Цены!$L$26,IF(AD15=Цены!$H$27,Цены!$L$27,IF(AD15=Цены!$H$28,Цены!$L$28,IF(AD15=Цены!$H$29,Цены!$L$29,IF(AD15=Цены!$H$30,Цены!$L$30,IF(AD15=Цены!$H$31,Цены!$L$31,IF(AD15=Цены!$H$32,Цены!$L$32,IF(AD15=Цены!$H$33,Цены!$L$33,IF(AD15=Цены!$H$34,Цены!$L$34,IF(AD15=Цены!$H$35,Цены!$L$35,IF(AD15=Цены!$H$36,Цены!$L$36,IF(AD15=Цены!$H$37,Цены!$L$37,IF(AD15=Цены!$H$38,Цены!$L$38,IF(AD15=Цены!$H$39,Цены!$L$39,IF(AD15=Цены!$H$40,Цены!$L$40,IF(AD15=Цены!$H$41,Цены!$L$41,IF(AD15=Цены!$H$42,Цены!$L$42,IF(AD15=Цены!$H$43,Цены!$L$43,IF(AD15=Цены!$H$44,Цены!$L$44,IF(AD15=Цены!$H$45,Цены!$L$45,IF(AD15=Цены!$H$46,Цены!$L$46,IF(AD15=Цены!$H$47,Цены!$L$47,IF(AD15=Цены!$H$48,Цены!$L$48,IF(AD15=Цены!$H$49,Цены!$L$49,IF(AD15=Цены!$H$50,Цены!$L$50,IF(AD15=Цены!$H$51,Цены!$L$51,IF(AD15=Цены!$H$52,Цены!$L$52,IF(AD15=Цены!$H$53,Цены!$L$53,IF(AD15=Цены!$H$54,Цены!$L$54,IF(AD15=Цены!$H$55,Цены!$L$55))))))))))))))))))))))))))))))))))))))))))))))))))))))</f>
        <v>1.19</v>
      </c>
      <c r="AG15" s="311">
        <f>AE15*AF15+AE16*AF16+AE17*AF17+AE18*AF18</f>
        <v>38.549999999999997</v>
      </c>
      <c r="AH15" s="69">
        <f>IF(AD15=Цены!$H$3,Цены!$K$3,IF(AD15=Цены!$H$4,Цены!$K$4,IF(AD15=Цены!$H$5,Цены!$K$5,IF(AD15=Цены!$H$6,Цены!$K$6,IF(AD15=Цены!$H$7,Цены!$K$7,IF(AD15=Цены!$H$8,Цены!$K$8,IF(AD15=Цены!$H$9,Цены!$K$9,IF(AD15=Цены!$H$10,Цены!$K$10,IF(AD15=Цены!$H$11,Цены!$K$11,IF(AD15=Цены!$H$12,Цены!$K$12,IF(AD15=Цены!$H$13,Цены!$K$13,IF(AD15=Цены!$H$14,Цены!$K$14,IF(AD15=Цены!$H$14,Цены!$K$14,IF(AD15=Цены!$H$15,Цены!$K$15,IF(AD15=Цены!$H$16,Цены!$K$16,IF(AD15=Цены!$H$17,Цены!$K$17,IF(AD15=Цены!$H$18,Цены!$K$18,IF(AD15=Цены!$H$19,Цены!$K$19,IF(AD15=Цены!$H$20,Цены!$K$20,IF(AD15=Цены!$H$21,Цены!$K$21,IF(AD15=Цены!$H$22,Цены!$K$22,IF(AD15=Цены!$H$23,Цены!$K$23,IF(AD15=Цены!$H$24,Цены!$K$24,IF(AD15=Цены!$H$25,Цены!$K$25,IF(AD15=Цены!$H$26,Цены!$K$26,IF(AD15=Цены!$H$27,Цены!$K$27,IF(AD15=Цены!$H$28,Цены!$K$28,IF(AD15=Цены!$H$29,Цены!$K$29,IF(AD15=Цены!$H$30,Цены!$K$30,IF(AD15=Цены!$H$31,Цены!$K$31,IF(AD15=Цены!$H$32,Цены!$K$32,IF(AD15=Цены!$H$33,Цены!$K$33,IF(AD15=Цены!$H$34,Цены!$K$34,IF(AD15=Цены!$H$35,Цены!$K$35,IF(AD15=Цены!$H$36,Цены!$K$36,IF(AD15=Цены!$H$37,Цены!$K$37,IF(AD15=Цены!$H$38,Цены!$K$38,IF(AD15=Цены!$H$39,Цены!$K$39,IF(AD15=Цены!$H$40,Цены!$K$40,IF(AD15=Цены!$H$41,Цены!$K$41,IF(AD15=Цены!$H$42,Цены!$K$42,IF(AD15=Цены!$H$43,Цены!$K$43,IF(AD15=Цены!$H$44,Цены!$K$44,IF(AD15=Цены!$H$45,Цены!$K$45,IF(AD15=Цены!$H$46,Цены!$K$46,IF(AD15=Цены!$H$47,Цены!$K$47,IF(AD15=Цены!$H$48,Цены!$K$48,IF(AD15=Цены!$H$49,Цены!$K$49,IF(AD15=Цены!$H$50,Цены!$K$50,IF(AD15=Цены!$H$51,Цены!$K$51,IF(AD15=Цены!$H$52,Цены!$K$52,IF(AD15=Цены!$H$53,Цены!$K$53,IF(AD15=Цены!$H$54,Цены!$K$54,IF(AD15=Цены!$H$55,Цены!$K$55))))))))))))))))))))))))))))))))))))))))))))))))))))))</f>
        <v>398</v>
      </c>
      <c r="AI15" s="265"/>
      <c r="AJ15" s="265"/>
      <c r="AK15" s="312">
        <f t="shared" ref="AK15" si="17">AE15*AH15+AE16*AH16+AE17*AH17+AE18*AH18</f>
        <v>8790</v>
      </c>
      <c r="AL15" s="314">
        <f>AI11*AJ11</f>
        <v>4000</v>
      </c>
      <c r="AM15" s="312">
        <f t="shared" ref="AM15" si="18">AK15+AL15</f>
        <v>12790</v>
      </c>
      <c r="AN15" s="265"/>
      <c r="AO15" s="312">
        <f>AN11/AM15*100</f>
        <v>34.401876465989055</v>
      </c>
      <c r="AP15" s="315">
        <f>MROUND(AM15+AN11,500)</f>
        <v>17000</v>
      </c>
      <c r="AQ15" s="125" t="s">
        <v>146</v>
      </c>
      <c r="AR15" s="131">
        <v>3</v>
      </c>
      <c r="AS15" s="80">
        <f>IF(AQ15=Цены!$H$3,Цены!$L$3,IF(AQ15=Цены!$H$4,Цены!$L$4,IF(AQ15=Цены!$H$5,Цены!$L$5,IF(AQ15=Цены!$H$6,Цены!$L$6,IF(AQ15=Цены!$H$7,Цены!$L$7,IF(AQ15=Цены!$H$8,Цены!$L$8,IF(AQ15=Цены!$H$9,Цены!$L$9,IF(AQ15=Цены!$H$10,Цены!$L$10,IF(AQ15=Цены!$H$11,Цены!$L$11,IF(AQ15=Цены!$H$12,Цены!$L$12,IF(AQ15=Цены!$H$13,Цены!$L$13,IF(AQ15=Цены!$H$14,Цены!$L$14,IF(AQ15=Цены!$H$14,Цены!$L$14,IF(AQ15=Цены!$H$15,Цены!$L$15,IF(AQ15=Цены!$H$16,Цены!$L$16,IF(AQ15=Цены!$H$17,Цены!$L$17,IF(AQ15=Цены!$H$18,Цены!$L$18,IF(AQ15=Цены!$H$19,Цены!$L$19,IF(AQ15=Цены!$H$20,Цены!$L$20,IF(AQ15=Цены!$H$21,Цены!$L$21,IF(AQ15=Цены!$H$22,Цены!$L$22,IF(AQ15=Цены!$H$23,Цены!$L$23,IF(AQ15=Цены!$H$24,Цены!$L$24,IF(AQ15=Цены!$H$25,Цены!$L$25,IF(AQ15=Цены!$H$26,Цены!$L$26,IF(AQ15=Цены!$H$27,Цены!$L$27,IF(AQ15=Цены!$H$28,Цены!$L$28,IF(AQ15=Цены!$H$29,Цены!$L$29,IF(AQ15=Цены!$H$30,Цены!$L$30,IF(AQ15=Цены!$H$31,Цены!$L$31,IF(AQ15=Цены!$H$32,Цены!$L$32,IF(AQ15=Цены!$H$33,Цены!$L$33,IF(AQ15=Цены!$H$34,Цены!$L$34,IF(AQ15=Цены!$H$35,Цены!$L$35,IF(AQ15=Цены!$H$36,Цены!$L$36,IF(AQ15=Цены!$H$37,Цены!$L$37,IF(AQ15=Цены!$H$38,Цены!$L$38,IF(AQ15=Цены!$H$39,Цены!$L$39,IF(AQ15=Цены!$H$40,Цены!$L$40,IF(AQ15=Цены!$H$41,Цены!$L$41,IF(AQ15=Цены!$H$42,Цены!$L$42,IF(AQ15=Цены!$H$43,Цены!$L$43,IF(AQ15=Цены!$H$44,Цены!$L$44,IF(AQ15=Цены!$H$45,Цены!$L$45,IF(AQ15=Цены!$H$46,Цены!$L$46,IF(AQ15=Цены!$H$47,Цены!$L$47,IF(AQ15=Цены!$H$48,Цены!$L$48,IF(AQ15=Цены!$H$49,Цены!$L$49,IF(AQ15=Цены!$H$50,Цены!$L$50,IF(AQ15=Цены!$H$51,Цены!$L$51,IF(AQ15=Цены!$H$52,Цены!$L$52,IF(AQ15=Цены!$H$53,Цены!$L$53,IF(AQ15=Цены!$H$54,Цены!$L$54,IF(AQ15=Цены!$H$55,Цены!$L$55))))))))))))))))))))))))))))))))))))))))))))))))))))))</f>
        <v>1.19</v>
      </c>
      <c r="AT15" s="271">
        <f>AR15*AS15+AR16*AS16+AR17*AS17+AR18*AS18</f>
        <v>9.51</v>
      </c>
      <c r="AU15" s="81">
        <f>IF(AQ15=Цены!$H$3,Цены!$K$3,IF(AQ15=Цены!$H$4,Цены!$K$4,IF(AQ15=Цены!$H$5,Цены!$K$5,IF(AQ15=Цены!$H$6,Цены!$K$6,IF(AQ15=Цены!$H$7,Цены!$K$7,IF(AQ15=Цены!$H$8,Цены!$K$8,IF(AQ15=Цены!$H$9,Цены!$K$9,IF(AQ15=Цены!$H$10,Цены!$K$10,IF(AQ15=Цены!$H$11,Цены!$K$11,IF(AQ15=Цены!$H$12,Цены!$K$12,IF(AQ15=Цены!$H$13,Цены!$K$13,IF(AQ15=Цены!$H$14,Цены!$K$14,IF(AQ15=Цены!$H$14,Цены!$K$14,IF(AQ15=Цены!$H$15,Цены!$K$15,IF(AQ15=Цены!$H$16,Цены!$K$16,IF(AQ15=Цены!$H$17,Цены!$K$17,IF(AQ15=Цены!$H$18,Цены!$K$18,IF(AQ15=Цены!$H$19,Цены!$K$19,IF(AQ15=Цены!$H$20,Цены!$K$20,IF(AQ15=Цены!$H$21,Цены!$K$21,IF(AQ15=Цены!$H$22,Цены!$K$22,IF(AQ15=Цены!$H$23,Цены!$K$23,IF(AQ15=Цены!$H$24,Цены!$K$24,IF(AQ15=Цены!$H$25,Цены!$K$25,IF(AQ15=Цены!$H$26,Цены!$K$26,IF(AQ15=Цены!$H$27,Цены!$K$27,IF(AQ15=Цены!$H$28,Цены!$K$28,IF(AQ15=Цены!$H$29,Цены!$K$29,IF(AQ15=Цены!$H$30,Цены!$K$30,IF(AQ15=Цены!$H$31,Цены!$K$31,IF(AQ15=Цены!$H$32,Цены!$K$32,IF(AQ15=Цены!$H$33,Цены!$K$33,IF(AQ15=Цены!$H$34,Цены!$K$34,IF(AQ15=Цены!$H$35,Цены!$K$35,IF(AQ15=Цены!$H$36,Цены!$K$36,IF(AQ15=Цены!$H$37,Цены!$K$37,IF(AQ15=Цены!$H$38,Цены!$K$38,IF(AQ15=Цены!$H$39,Цены!$K$39,IF(AQ15=Цены!$H$40,Цены!$K$40,IF(AQ15=Цены!$H$41,Цены!$K$41,IF(AQ15=Цены!$H$42,Цены!$K$42,IF(AQ15=Цены!$H$43,Цены!$K$43,IF(AQ15=Цены!$H$44,Цены!$K$44,IF(AQ15=Цены!$H$45,Цены!$K$45,IF(AQ15=Цены!$H$46,Цены!$K$46,IF(AQ15=Цены!$H$47,Цены!$K$47,IF(AQ15=Цены!$H$48,Цены!$K$48,IF(AQ15=Цены!$H$49,Цены!$K$49,IF(AQ15=Цены!$H$50,Цены!$K$50,IF(AQ15=Цены!$H$51,Цены!$K$51,IF(AQ15=Цены!$H$52,Цены!$K$52,IF(AQ15=Цены!$H$53,Цены!$K$53,IF(AQ15=Цены!$H$54,Цены!$K$54,IF(AQ15=Цены!$H$55,Цены!$K$55))))))))))))))))))))))))))))))))))))))))))))))))))))))</f>
        <v>398</v>
      </c>
      <c r="AV15" s="265"/>
      <c r="AW15" s="265"/>
      <c r="AX15" s="274">
        <f t="shared" ref="AX15" si="19">AR15*AU15+AR16*AU16+AR17*AU17+AR18*AU18</f>
        <v>3758</v>
      </c>
      <c r="AY15" s="304">
        <f>AV11*AW11</f>
        <v>4000</v>
      </c>
      <c r="AZ15" s="274">
        <f t="shared" ref="AZ15" si="20">AX15+AY15</f>
        <v>7758</v>
      </c>
      <c r="BA15" s="265"/>
      <c r="BB15" s="274">
        <f>BA11/AZ15*100</f>
        <v>56.715648362980154</v>
      </c>
      <c r="BC15" s="305">
        <f>MROUND(AZ15+BA11,500)</f>
        <v>12000</v>
      </c>
      <c r="BD15" s="244"/>
      <c r="BE15" s="127" t="s">
        <v>141</v>
      </c>
      <c r="BF15" s="106">
        <v>3</v>
      </c>
      <c r="BG15" s="103">
        <f>IF(BE15=Цены!$H$3,Цены!$L$3,IF(BE15=Цены!$H$4,Цены!$L$4,IF(BE15=Цены!$H$5,Цены!$L$5,IF(BE15=Цены!$H$6,Цены!$L$6,IF(BE15=Цены!$H$7,Цены!$L$7,IF(BE15=Цены!$H$8,Цены!$L$8,IF(BE15=Цены!$H$9,Цены!$L$9,IF(BE15=Цены!$H$10,Цены!$L$10,IF(BE15=Цены!$H$11,Цены!$L$11,IF(BE15=Цены!$H$12,Цены!$L$12,IF(BE15=Цены!$H$13,Цены!$L$13,IF(BE15=Цены!$H$14,Цены!$L$14,IF(BE15=Цены!$H$14,Цены!$L$14,IF(BE15=Цены!$H$15,Цены!$L$15,IF(BE15=Цены!$H$16,Цены!$L$16,IF(BE15=Цены!$H$17,Цены!$L$17,IF(BE15=Цены!$H$18,Цены!$L$18,IF(BE15=Цены!$H$19,Цены!$L$19,IF(BE15=Цены!$H$20,Цены!$L$20,IF(BE15=Цены!$H$21,Цены!$L$21,IF(BE15=Цены!$H$22,Цены!$L$22,IF(BE15=Цены!$H$23,Цены!$L$23,IF(BE15=Цены!$H$24,Цены!$L$24,IF(BE15=Цены!$H$25,Цены!$L$25,IF(BE15=Цены!$H$26,Цены!$L$26,IF(BE15=Цены!$H$27,Цены!$L$27,IF(BE15=Цены!$H$28,Цены!$L$28,IF(BE15=Цены!$H$29,Цены!$L$29,IF(BE15=Цены!$H$30,Цены!$L$30,IF(BE15=Цены!$H$31,Цены!$L$31,IF(BE15=Цены!$H$32,Цены!$L$32,IF(BE15=Цены!$H$33,Цены!$L$33,IF(BE15=Цены!$H$34,Цены!$L$34,IF(BE15=Цены!$H$35,Цены!$L$35,IF(BE15=Цены!$H$36,Цены!$L$36,IF(BE15=Цены!$H$37,Цены!$L$37,IF(BE15=Цены!$H$38,Цены!$L$38,IF(BE15=Цены!$H$39,Цены!$L$39,IF(BE15=Цены!$H$40,Цены!$L$40,IF(BE15=Цены!$H$41,Цены!$L$41,IF(BE15=Цены!$H$42,Цены!$L$42,IF(BE15=Цены!$H$43,Цены!$L$43,IF(BE15=Цены!$H$44,Цены!$L$44,IF(BE15=Цены!$H$45,Цены!$L$45,IF(BE15=Цены!$H$46,Цены!$L$46,IF(BE15=Цены!$H$47,Цены!$L$47,IF(BE15=Цены!$H$48,Цены!$L$48,IF(BE15=Цены!$H$49,Цены!$L$49,IF(BE15=Цены!$H$50,Цены!$L$50,IF(BE15=Цены!$H$51,Цены!$L$51,IF(BE15=Цены!$H$52,Цены!$L$52,IF(BE15=Цены!$H$53,Цены!$L$53,IF(BE15=Цены!$H$54,Цены!$L$54,IF(BE15=Цены!$H$55,Цены!$L$55))))))))))))))))))))))))))))))))))))))))))))))))))))))</f>
        <v>0.9</v>
      </c>
      <c r="BH15" s="280">
        <f>BF15*BG15+BF16*BG16+BF17*BG17+BF18*BG18</f>
        <v>4.26</v>
      </c>
      <c r="BI15" s="104">
        <f>IF(BE15=Цены!$H$3,Цены!$K$3,IF(BE15=Цены!$H$4,Цены!$K$4,IF(BE15=Цены!$H$5,Цены!$K$5,IF(BE15=Цены!$H$6,Цены!$K$6,IF(BE15=Цены!$H$7,Цены!$K$7,IF(BE15=Цены!$H$8,Цены!$K$8,IF(BE15=Цены!$H$9,Цены!$K$9,IF(BE15=Цены!$H$10,Цены!$K$10,IF(BE15=Цены!$H$11,Цены!$K$11,IF(BE15=Цены!$H$12,Цены!$K$12,IF(BE15=Цены!$H$13,Цены!$K$13,IF(BE15=Цены!$H$14,Цены!$K$14,IF(BE15=Цены!$H$14,Цены!$K$14,IF(BE15=Цены!$H$15,Цены!$K$15,IF(BE15=Цены!$H$16,Цены!$K$16,IF(BE15=Цены!$H$17,Цены!$K$17,IF(BE15=Цены!$H$18,Цены!$K$18,IF(BE15=Цены!$H$19,Цены!$K$19,IF(BE15=Цены!$H$20,Цены!$K$20,IF(BE15=Цены!$H$21,Цены!$K$21,IF(BE15=Цены!$H$22,Цены!$K$22,IF(BE15=Цены!$H$23,Цены!$K$23,IF(BE15=Цены!$H$24,Цены!$K$24,IF(BE15=Цены!$H$25,Цены!$K$25,IF(BE15=Цены!$H$26,Цены!$K$26,IF(BE15=Цены!$H$27,Цены!$K$27,IF(BE15=Цены!$H$28,Цены!$K$28,IF(BE15=Цены!$H$29,Цены!$K$29,IF(BE15=Цены!$H$30,Цены!$K$30,IF(BE15=Цены!$H$31,Цены!$K$31,IF(BE15=Цены!$H$32,Цены!$K$32,IF(BE15=Цены!$H$33,Цены!$K$33,IF(BE15=Цены!$H$34,Цены!$K$34,IF(BE15=Цены!$H$35,Цены!$K$35,IF(BE15=Цены!$H$36,Цены!$K$36,IF(BE15=Цены!$H$37,Цены!$K$37,IF(BE15=Цены!$H$38,Цены!$K$38,IF(BE15=Цены!$H$39,Цены!$K$39,IF(BE15=Цены!$H$40,Цены!$K$40,IF(BE15=Цены!$H$41,Цены!$K$41,IF(BE15=Цены!$H$42,Цены!$K$42,IF(BE15=Цены!$H$43,Цены!$K$43,IF(BE15=Цены!$H$44,Цены!$K$44,IF(BE15=Цены!$H$45,Цены!$K$45,IF(BE15=Цены!$H$46,Цены!$K$46,IF(BE15=Цены!$H$47,Цены!$K$47,IF(BE15=Цены!$H$48,Цены!$K$48,IF(BE15=Цены!$H$49,Цены!$K$49,IF(BE15=Цены!$H$50,Цены!$K$50,IF(BE15=Цены!$H$51,Цены!$K$51,IF(BE15=Цены!$H$52,Цены!$K$52,IF(BE15=Цены!$H$53,Цены!$K$53,IF(BE15=Цены!$H$54,Цены!$K$54,IF(BE15=Цены!$H$55,Цены!$K$55))))))))))))))))))))))))))))))))))))))))))))))))))))))</f>
        <v>338</v>
      </c>
      <c r="BJ15" s="265"/>
      <c r="BK15" s="265"/>
      <c r="BL15" s="281">
        <f t="shared" ref="BL15" si="21">BF15*BI15+BF16*BI16+BF17*BI17+BF18*BI18</f>
        <v>1908</v>
      </c>
      <c r="BM15" s="292">
        <f>BJ11*BK11</f>
        <v>3200</v>
      </c>
      <c r="BN15" s="281">
        <f t="shared" ref="BN15" si="22">BL15+BM15</f>
        <v>5108</v>
      </c>
      <c r="BO15" s="265"/>
      <c r="BP15" s="281">
        <f>BO11/BN15*100</f>
        <v>68.911511354737669</v>
      </c>
      <c r="BQ15" s="293">
        <f>MROUND(BN15+BO11,500)</f>
        <v>8500</v>
      </c>
      <c r="BR15" s="133" t="s">
        <v>67</v>
      </c>
      <c r="BS15" s="108">
        <v>2</v>
      </c>
      <c r="BT15" s="109">
        <f>IF(BR15=Цены!$H$3,Цены!$L$3,IF(BR15=Цены!$H$4,Цены!$L$4,IF(BR15=Цены!$H$5,Цены!$L$5,IF(BR15=Цены!$H$6,Цены!$L$6,IF(BR15=Цены!$H$7,Цены!$L$7,IF(BR15=Цены!$H$8,Цены!$L$8,IF(BR15=Цены!$H$9,Цены!$L$9,IF(BR15=Цены!$H$10,Цены!$L$10,IF(BR15=Цены!$H$11,Цены!$L$11,IF(BR15=Цены!$H$12,Цены!$L$12,IF(BR15=Цены!$H$13,Цены!$L$13,IF(BR15=Цены!$H$14,Цены!$L$14,IF(BR15=Цены!$H$14,Цены!$L$14,IF(BR15=Цены!$H$15,Цены!$L$15,IF(BR15=Цены!$H$16,Цены!$L$16,IF(BR15=Цены!$H$17,Цены!$L$17,IF(BR15=Цены!$H$18,Цены!$L$18,IF(BR15=Цены!$H$19,Цены!$L$19,IF(BR15=Цены!$H$20,Цены!$L$20,IF(BR15=Цены!$H$21,Цены!$L$21,IF(BR15=Цены!$H$22,Цены!$L$22,IF(BR15=Цены!$H$23,Цены!$L$23,IF(BR15=Цены!$H$24,Цены!$L$24,IF(BR15=Цены!$H$25,Цены!$L$25,IF(BR15=Цены!$H$26,Цены!$L$26,IF(BR15=Цены!$H$27,Цены!$L$27,IF(BR15=Цены!$H$28,Цены!$L$28,IF(BR15=Цены!$H$29,Цены!$L$29,IF(BR15=Цены!$H$30,Цены!$L$30,IF(BR15=Цены!$H$31,Цены!$L$31,IF(BR15=Цены!$H$32,Цены!$L$32,IF(BR15=Цены!$H$33,Цены!$L$33,IF(BR15=Цены!$H$34,Цены!$L$34,IF(BR15=Цены!$H$35,Цены!$L$35,IF(BR15=Цены!$H$36,Цены!$L$36,IF(BR15=Цены!$H$37,Цены!$L$37,IF(BR15=Цены!$H$38,Цены!$L$38,IF(BR15=Цены!$H$39,Цены!$L$39,IF(BR15=Цены!$H$40,Цены!$L$40,IF(BR15=Цены!$H$41,Цены!$L$41,IF(BR15=Цены!$H$42,Цены!$L$42,IF(BR15=Цены!$H$43,Цены!$L$43,IF(BR15=Цены!$H$44,Цены!$L$44,IF(BR15=Цены!$H$45,Цены!$L$45,IF(BR15=Цены!$H$46,Цены!$L$46,IF(BR15=Цены!$H$47,Цены!$L$47,IF(BR15=Цены!$H$48,Цены!$L$48,IF(BR15=Цены!$H$49,Цены!$L$49,IF(BR15=Цены!$H$50,Цены!$L$50,IF(BR15=Цены!$H$51,Цены!$L$51,IF(BR15=Цены!$H$52,Цены!$L$52,IF(BR15=Цены!$H$53,Цены!$L$53,IF(BR15=Цены!$H$54,Цены!$L$54,IF(BR15=Цены!$H$55,Цены!$L$55))))))))))))))))))))))))))))))))))))))))))))))))))))))</f>
        <v>0.9</v>
      </c>
      <c r="BU15" s="284">
        <f>BS15*BT15+BS16*BT16+BS17*BT17+BS18*BT18</f>
        <v>3.3600000000000003</v>
      </c>
      <c r="BV15" s="110">
        <f>IF(BR15=Цены!$H$3,Цены!$K$3,IF(BR15=Цены!$H$4,Цены!$K$4,IF(BR15=Цены!$H$5,Цены!$K$5,IF(BR15=Цены!$H$6,Цены!$K$6,IF(BR15=Цены!$H$7,Цены!$K$7,IF(BR15=Цены!$H$8,Цены!$K$8,IF(BR15=Цены!$H$9,Цены!$K$9,IF(BR15=Цены!$H$10,Цены!$K$10,IF(BR15=Цены!$H$11,Цены!$K$11,IF(BR15=Цены!$H$12,Цены!$K$12,IF(BR15=Цены!$H$13,Цены!$K$13,IF(BR15=Цены!$H$14,Цены!$K$14,IF(BR15=Цены!$H$14,Цены!$K$14,IF(BR15=Цены!$H$15,Цены!$K$15,IF(BR15=Цены!$H$16,Цены!$K$16,IF(BR15=Цены!$H$17,Цены!$K$17,IF(BR15=Цены!$H$18,Цены!$K$18,IF(BR15=Цены!$H$19,Цены!$K$19,IF(BR15=Цены!$H$20,Цены!$K$20,IF(BR15=Цены!$H$21,Цены!$K$21,IF(BR15=Цены!$H$22,Цены!$K$22,IF(BR15=Цены!$H$23,Цены!$K$23,IF(BR15=Цены!$H$24,Цены!$K$24,IF(BR15=Цены!$H$25,Цены!$K$25,IF(BR15=Цены!$H$26,Цены!$K$26,IF(BR15=Цены!$H$27,Цены!$K$27,IF(BR15=Цены!$H$28,Цены!$K$28,IF(BR15=Цены!$H$29,Цены!$K$29,IF(BR15=Цены!$H$30,Цены!$K$30,IF(BR15=Цены!$H$31,Цены!$K$31,IF(BR15=Цены!$H$32,Цены!$K$32,IF(BR15=Цены!$H$33,Цены!$K$33,IF(BR15=Цены!$H$34,Цены!$K$34,IF(BR15=Цены!$H$35,Цены!$K$35,IF(BR15=Цены!$H$36,Цены!$K$36,IF(BR15=Цены!$H$37,Цены!$K$37,IF(BR15=Цены!$H$38,Цены!$K$38,IF(BR15=Цены!$H$39,Цены!$K$39,IF(BR15=Цены!$H$40,Цены!$K$40,IF(BR15=Цены!$H$41,Цены!$K$41,IF(BR15=Цены!$H$42,Цены!$K$42,IF(BR15=Цены!$H$43,Цены!$K$43,IF(BR15=Цены!$H$44,Цены!$K$44,IF(BR15=Цены!$H$45,Цены!$K$45,IF(BR15=Цены!$H$46,Цены!$K$46,IF(BR15=Цены!$H$47,Цены!$K$47,IF(BR15=Цены!$H$48,Цены!$K$48,IF(BR15=Цены!$H$49,Цены!$K$49,IF(BR15=Цены!$H$50,Цены!$K$50,IF(BR15=Цены!$H$51,Цены!$K$51,IF(BR15=Цены!$H$52,Цены!$K$52,IF(BR15=Цены!$H$53,Цены!$K$53,IF(BR15=Цены!$H$54,Цены!$K$54,IF(BR15=Цены!$H$55,Цены!$K$55))))))))))))))))))))))))))))))))))))))))))))))))))))))</f>
        <v>338</v>
      </c>
      <c r="BW15" s="265"/>
      <c r="BX15" s="265"/>
      <c r="BY15" s="285">
        <f t="shared" ref="BY15" si="23">BS15*BV15+BS16*BV16+BS17*BV17+BS18*BV18</f>
        <v>1570</v>
      </c>
      <c r="BZ15" s="290">
        <f>BW11*BX11</f>
        <v>800</v>
      </c>
      <c r="CA15" s="285">
        <f t="shared" ref="CA15" si="24">BY15+BZ15</f>
        <v>2370</v>
      </c>
      <c r="CB15" s="265"/>
      <c r="CC15" s="285">
        <f>CB11/CA15*100</f>
        <v>37.130801687763721</v>
      </c>
      <c r="CD15" s="291">
        <f>MROUND(CA15+CB11,500)</f>
        <v>3500</v>
      </c>
      <c r="CE15" s="119" t="s">
        <v>67</v>
      </c>
      <c r="CF15" s="112">
        <v>2</v>
      </c>
      <c r="CG15" s="113">
        <f>IF(CE15=Цены!$H$3,Цены!$L$3,IF(CE15=Цены!$H$4,Цены!$L$4,IF(CE15=Цены!$H$5,Цены!$L$5,IF(CE15=Цены!$H$6,Цены!$L$6,IF(CE15=Цены!$H$7,Цены!$L$7,IF(CE15=Цены!$H$8,Цены!$L$8,IF(CE15=Цены!$H$9,Цены!$L$9,IF(CE15=Цены!$H$10,Цены!$L$10,IF(CE15=Цены!$H$11,Цены!$L$11,IF(CE15=Цены!$H$12,Цены!$L$12,IF(CE15=Цены!$H$13,Цены!$L$13,IF(CE15=Цены!$H$14,Цены!$L$14,IF(CE15=Цены!$H$14,Цены!$L$14,IF(CE15=Цены!$H$15,Цены!$L$15,IF(CE15=Цены!$H$16,Цены!$L$16,IF(CE15=Цены!$H$17,Цены!$L$17,IF(CE15=Цены!$H$18,Цены!$L$18,IF(CE15=Цены!$H$19,Цены!$L$19,IF(CE15=Цены!$H$20,Цены!$L$20,IF(CE15=Цены!$H$21,Цены!$L$21,IF(CE15=Цены!$H$22,Цены!$L$22,IF(CE15=Цены!$H$23,Цены!$L$23,IF(CE15=Цены!$H$24,Цены!$L$24,IF(CE15=Цены!$H$25,Цены!$L$25,IF(CE15=Цены!$H$26,Цены!$L$26,IF(CE15=Цены!$H$27,Цены!$L$27,IF(CE15=Цены!$H$28,Цены!$L$28,IF(CE15=Цены!$H$29,Цены!$L$29,IF(CE15=Цены!$H$30,Цены!$L$30,IF(CE15=Цены!$H$31,Цены!$L$31,IF(CE15=Цены!$H$32,Цены!$L$32,IF(CE15=Цены!$H$33,Цены!$L$33,IF(CE15=Цены!$H$34,Цены!$L$34,IF(CE15=Цены!$H$35,Цены!$L$35,IF(CE15=Цены!$H$36,Цены!$L$36,IF(CE15=Цены!$H$37,Цены!$L$37,IF(CE15=Цены!$H$38,Цены!$L$38,IF(CE15=Цены!$H$39,Цены!$L$39,IF(CE15=Цены!$H$40,Цены!$L$40,IF(CE15=Цены!$H$41,Цены!$L$41,IF(CE15=Цены!$H$42,Цены!$L$42,IF(CE15=Цены!$H$43,Цены!$L$43,IF(CE15=Цены!$H$44,Цены!$L$44,IF(CE15=Цены!$H$45,Цены!$L$45,IF(CE15=Цены!$H$46,Цены!$L$46,IF(CE15=Цены!$H$47,Цены!$L$47,IF(CE15=Цены!$H$48,Цены!$L$48,IF(CE15=Цены!$H$49,Цены!$L$49,IF(CE15=Цены!$H$50,Цены!$L$50,IF(CE15=Цены!$H$51,Цены!$L$51,IF(CE15=Цены!$H$52,Цены!$L$52,IF(CE15=Цены!$H$53,Цены!$L$53,IF(CE15=Цены!$H$54,Цены!$L$54,IF(CE15=Цены!$H$55,Цены!$L$55))))))))))))))))))))))))))))))))))))))))))))))))))))))</f>
        <v>0.9</v>
      </c>
      <c r="CH15" s="282">
        <f>CF15*CG15+CF16*CG16+CF17*CG17+CF18*CG18</f>
        <v>3.3732000000000002</v>
      </c>
      <c r="CI15" s="114">
        <f>IF(CE15=Цены!$H$3,Цены!$K$3,IF(CE15=Цены!$H$4,Цены!$K$4,IF(CE15=Цены!$H$5,Цены!$K$5,IF(CE15=Цены!$H$6,Цены!$K$6,IF(CE15=Цены!$H$7,Цены!$K$7,IF(CE15=Цены!$H$8,Цены!$K$8,IF(CE15=Цены!$H$9,Цены!$K$9,IF(CE15=Цены!$H$10,Цены!$K$10,IF(CE15=Цены!$H$11,Цены!$K$11,IF(CE15=Цены!$H$12,Цены!$K$12,IF(CE15=Цены!$H$13,Цены!$K$13,IF(CE15=Цены!$H$14,Цены!$K$14,IF(CE15=Цены!$H$14,Цены!$K$14,IF(CE15=Цены!$H$15,Цены!$K$15,IF(CE15=Цены!$H$16,Цены!$K$16,IF(CE15=Цены!$H$17,Цены!$K$17,IF(CE15=Цены!$H$18,Цены!$K$18,IF(CE15=Цены!$H$19,Цены!$K$19,IF(CE15=Цены!$H$20,Цены!$K$20,IF(CE15=Цены!$H$21,Цены!$K$21,IF(CE15=Цены!$H$22,Цены!$K$22,IF(CE15=Цены!$H$23,Цены!$K$23,IF(CE15=Цены!$H$24,Цены!$K$24,IF(CE15=Цены!$H$25,Цены!$K$25,IF(CE15=Цены!$H$26,Цены!$K$26,IF(CE15=Цены!$H$27,Цены!$K$27,IF(CE15=Цены!$H$28,Цены!$K$28,IF(CE15=Цены!$H$29,Цены!$K$29,IF(CE15=Цены!$H$30,Цены!$K$30,IF(CE15=Цены!$H$31,Цены!$K$31,IF(CE15=Цены!$H$32,Цены!$K$32,IF(CE15=Цены!$H$33,Цены!$K$33,IF(CE15=Цены!$H$34,Цены!$K$34,IF(CE15=Цены!$H$35,Цены!$K$35,IF(CE15=Цены!$H$36,Цены!$K$36,IF(CE15=Цены!$H$37,Цены!$K$37,IF(CE15=Цены!$H$38,Цены!$K$38,IF(CE15=Цены!$H$39,Цены!$K$39,IF(CE15=Цены!$H$40,Цены!$K$40,IF(CE15=Цены!$H$41,Цены!$K$41,IF(CE15=Цены!$H$42,Цены!$K$42,IF(CE15=Цены!$H$43,Цены!$K$43,IF(CE15=Цены!$H$44,Цены!$K$44,IF(CE15=Цены!$H$45,Цены!$K$45,IF(CE15=Цены!$H$46,Цены!$K$46,IF(CE15=Цены!$H$47,Цены!$K$47,IF(CE15=Цены!$H$48,Цены!$K$48,IF(CE15=Цены!$H$49,Цены!$K$49,IF(CE15=Цены!$H$50,Цены!$K$50,IF(CE15=Цены!$H$51,Цены!$K$51,IF(CE15=Цены!$H$52,Цены!$K$52,IF(CE15=Цены!$H$53,Цены!$K$53,IF(CE15=Цены!$H$54,Цены!$K$54,IF(CE15=Цены!$H$55,Цены!$K$55))))))))))))))))))))))))))))))))))))))))))))))))))))))</f>
        <v>338</v>
      </c>
      <c r="CJ15" s="265"/>
      <c r="CK15" s="265"/>
      <c r="CL15" s="283">
        <f t="shared" ref="CL15" si="25">CF15*CI15+CF16*CI16+CF17*CI17+CF18*CI18</f>
        <v>1624</v>
      </c>
      <c r="CM15" s="288">
        <f>CJ11*CK11</f>
        <v>1200</v>
      </c>
      <c r="CN15" s="283">
        <f t="shared" ref="CN15" si="26">CL15+CM15</f>
        <v>2824</v>
      </c>
      <c r="CO15" s="265"/>
      <c r="CP15" s="283">
        <f>CO11/CN15*100</f>
        <v>46.742209631728045</v>
      </c>
      <c r="CQ15" s="289">
        <f>MROUND(CN15+CO11,500)</f>
        <v>4000</v>
      </c>
    </row>
    <row r="16" spans="1:95" s="40" customFormat="1" ht="15" hidden="1" customHeight="1" x14ac:dyDescent="0.25">
      <c r="A16" s="341"/>
      <c r="B16" s="265"/>
      <c r="C16" s="336"/>
      <c r="D16" s="44" t="s">
        <v>87</v>
      </c>
      <c r="E16" s="45">
        <v>5</v>
      </c>
      <c r="F16" s="46">
        <f>IF(D16=Цены!$H$3,Цены!$L$3,IF(D16=Цены!$H$4,Цены!$L$4,IF(D16=Цены!$H$5,Цены!$L$5,IF(D16=Цены!$H$6,Цены!$L$6,IF(D16=Цены!$H$7,Цены!$L$7,IF(D16=Цены!$H$8,Цены!$L$8,IF(D16=Цены!$H$9,Цены!$L$9,IF(D16=Цены!$H$10,Цены!$L$10,IF(D16=Цены!$H$11,Цены!$L$11,IF(D16=Цены!$H$12,Цены!$L$12,IF(D16=Цены!$H$13,Цены!$L$13,IF(D16=Цены!$H$14,Цены!$L$14,IF(D16=Цены!$H$14,Цены!$L$14,IF(D16=Цены!$H$15,Цены!$L$15,IF(D16=Цены!$H$16,Цены!$L$16,IF(D16=Цены!$H$17,Цены!$L$17,IF(D16=Цены!$H$18,Цены!$L$18,IF(D16=Цены!$H$19,Цены!$L$19,IF(D16=Цены!$H$20,Цены!$L$20,IF(D16=Цены!$H$21,Цены!$L$21,IF(D16=Цены!$H$22,Цены!$L$22,IF(D16=Цены!$H$23,Цены!$L$23,IF(D16=Цены!$H$24,Цены!$L$24,IF(D16=Цены!$H$25,Цены!$L$25,IF(D16=Цены!$H$26,Цены!$L$26,IF(D16=Цены!$H$27,Цены!$L$27,IF(D16=Цены!$H$28,Цены!$L$28,IF(D16=Цены!$H$29,Цены!$L$29,IF(D16=Цены!$H$30,Цены!$L$30,IF(D16=Цены!$H$31,Цены!$L$31,IF(D16=Цены!$H$32,Цены!$L$32,IF(D16=Цены!$H$33,Цены!$L$33,IF(D16=Цены!$H$34,Цены!$L$34,IF(D16=Цены!$H$35,Цены!$L$35,IF(D16=Цены!$H$36,Цены!$L$36,IF(D16=Цены!$H$37,Цены!$L$37,IF(D16=Цены!$H$38,Цены!$L$38,IF(D16=Цены!$H$39,Цены!$L$39,IF(D16=Цены!$H$40,Цены!$L$40,IF(D16=Цены!$H$41,Цены!$L$41,IF(D16=Цены!$H$42,Цены!$L$42,IF(D16=Цены!$H$43,Цены!$L$43,IF(D16=Цены!$H$44,Цены!$L$44,IF(D16=Цены!$H$45,Цены!$L$45,IF(D16=Цены!$H$46,Цены!$L$46,IF(D16=Цены!$H$47,Цены!$L$47,IF(D16=Цены!$H$48,Цены!$L$48,IF(D16=Цены!$H$49,Цены!$L$49,IF(D16=Цены!$H$50,Цены!$L$50,IF(D16=Цены!$H$51,Цены!$L$51,IF(D16=Цены!$H$52,Цены!$L$52,IF(D16=Цены!$H$53,Цены!$L$53,IF(D16=Цены!$H$54,Цены!$L$54,IF(D16=Цены!$H$55,Цены!$L$55))))))))))))))))))))))))))))))))))))))))))))))))))))))</f>
        <v>1.2</v>
      </c>
      <c r="G16" s="339"/>
      <c r="H16" s="47">
        <f>IF(D16=Цены!$H$3,Цены!$K$3,IF(D16=Цены!$H$4,Цены!$K$4,IF(D16=Цены!$H$5,Цены!$K$5,IF(D16=Цены!$H$6,Цены!$K$6,IF(D16=Цены!$H$7,Цены!$K$7,IF(D16=Цены!$H$8,Цены!$K$8,IF(D16=Цены!$H$9,Цены!$K$9,IF(D16=Цены!$H$10,Цены!$K$10,IF(D16=Цены!$H$11,Цены!$K$11,IF(D16=Цены!$H$12,Цены!$K$12,IF(D16=Цены!$H$13,Цены!$K$13,IF(D16=Цены!$H$14,Цены!$K$14,IF(D16=Цены!$H$14,Цены!$K$14,IF(D16=Цены!$H$15,Цены!$K$15,IF(D16=Цены!$H$16,Цены!$K$16,IF(D16=Цены!$H$17,Цены!$K$17,IF(D16=Цены!$H$18,Цены!$K$18,IF(D16=Цены!$H$19,Цены!$K$19,IF(D16=Цены!$H$20,Цены!$K$20,IF(D16=Цены!$H$21,Цены!$K$21,IF(D16=Цены!$H$22,Цены!$K$22,IF(D16=Цены!$H$23,Цены!$K$23,IF(D16=Цены!$H$24,Цены!$K$24,IF(D16=Цены!$H$25,Цены!$K$25,IF(D16=Цены!$H$26,Цены!$K$26,IF(D16=Цены!$H$27,Цены!$K$27,IF(D16=Цены!$H$28,Цены!$K$28,IF(D16=Цены!$H$29,Цены!$K$29,IF(D16=Цены!$H$30,Цены!$K$30,IF(D16=Цены!$H$31,Цены!$K$31,IF(D16=Цены!$H$32,Цены!$K$32,IF(D16=Цены!$H$33,Цены!$K$33,IF(D16=Цены!$H$34,Цены!$K$34,IF(D16=Цены!$H$35,Цены!$K$35,IF(D16=Цены!$H$36,Цены!$K$36,IF(D16=Цены!$H$37,Цены!$K$37,IF(D16=Цены!$H$38,Цены!$K$38,IF(D16=Цены!$H$39,Цены!$K$39,IF(D16=Цены!$H$40,Цены!$K$40,IF(D16=Цены!$H$41,Цены!$K$41,IF(D16=Цены!$H$42,Цены!$K$42,IF(D16=Цены!$H$43,Цены!$K$43,IF(D16=Цены!$H$44,Цены!$K$44,IF(D16=Цены!$H$45,Цены!$K$45,IF(D16=Цены!$H$46,Цены!$K$46,IF(D16=Цены!$H$47,Цены!$K$47,IF(D16=Цены!$H$48,Цены!$K$48,IF(D16=Цены!$H$49,Цены!$K$49,IF(D16=Цены!$H$50,Цены!$K$50,IF(D16=Цены!$H$51,Цены!$K$51,IF(D16=Цены!$H$52,Цены!$K$52,IF(D16=Цены!$H$53,Цены!$K$53,IF(D16=Цены!$H$54,Цены!$K$54,IF(D16=Цены!$H$55,Цены!$K$55))))))))))))))))))))))))))))))))))))))))))))))))))))))</f>
        <v>378</v>
      </c>
      <c r="I16" s="265"/>
      <c r="J16" s="265"/>
      <c r="K16" s="332"/>
      <c r="L16" s="334"/>
      <c r="M16" s="334"/>
      <c r="N16" s="265"/>
      <c r="O16" s="332"/>
      <c r="P16" s="331"/>
      <c r="Q16" s="132" t="s">
        <v>148</v>
      </c>
      <c r="R16" s="37">
        <v>3</v>
      </c>
      <c r="S16" s="38">
        <f>IF(Q16=Цены!$H$3,Цены!$L$3,IF(Q16=Цены!$H$4,Цены!$L$4,IF(Q16=Цены!$H$5,Цены!$L$5,IF(Q16=Цены!$H$6,Цены!$L$6,IF(Q16=Цены!$H$7,Цены!$L$7,IF(Q16=Цены!$H$8,Цены!$L$8,IF(Q16=Цены!$H$9,Цены!$L$9,IF(Q16=Цены!$H$10,Цены!$L$10,IF(Q16=Цены!$H$11,Цены!$L$11,IF(Q16=Цены!$H$12,Цены!$L$12,IF(Q16=Цены!$H$13,Цены!$L$13,IF(Q16=Цены!$H$14,Цены!$L$14,IF(Q16=Цены!$H$14,Цены!$L$14,IF(Q16=Цены!$H$15,Цены!$L$15,IF(Q16=Цены!$H$16,Цены!$L$16,IF(Q16=Цены!$H$17,Цены!$L$17,IF(Q16=Цены!$H$18,Цены!$L$18,IF(Q16=Цены!$H$19,Цены!$L$19,IF(Q16=Цены!$H$20,Цены!$L$20,IF(Q16=Цены!$H$21,Цены!$L$21,IF(Q16=Цены!$H$22,Цены!$L$22,IF(Q16=Цены!$H$23,Цены!$L$23,IF(Q16=Цены!$H$24,Цены!$L$24,IF(Q16=Цены!$H$25,Цены!$L$25,IF(Q16=Цены!$H$26,Цены!$L$26,IF(Q16=Цены!$H$27,Цены!$L$27,IF(Q16=Цены!$H$28,Цены!$L$28,IF(Q16=Цены!$H$29,Цены!$L$29,IF(Q16=Цены!$H$30,Цены!$L$30,IF(Q16=Цены!$H$31,Цены!$L$31,IF(Q16=Цены!$H$32,Цены!$L$32,IF(Q16=Цены!$H$33,Цены!$L$33,IF(Q16=Цены!$H$34,Цены!$L$34,IF(Q16=Цены!$H$35,Цены!$L$35,IF(Q16=Цены!$H$36,Цены!$L$36,IF(Q16=Цены!$H$37,Цены!$L$37,IF(Q16=Цены!$H$38,Цены!$L$38,IF(Q16=Цены!$H$39,Цены!$L$39,IF(Q16=Цены!$H$40,Цены!$L$40,IF(Q16=Цены!$H$41,Цены!$L$41,IF(Q16=Цены!$H$42,Цены!$L$42,IF(Q16=Цены!$H$43,Цены!$L$43,IF(Q16=Цены!$H$44,Цены!$L$44,IF(Q16=Цены!$H$45,Цены!$L$45,IF(Q16=Цены!$H$46,Цены!$L$46,IF(Q16=Цены!$H$47,Цены!$L$47,IF(Q16=Цены!$H$48,Цены!$L$48,IF(Q16=Цены!$H$49,Цены!$L$49,IF(Q16=Цены!$H$50,Цены!$L$50,IF(Q16=Цены!$H$51,Цены!$L$51,IF(Q16=Цены!$H$52,Цены!$L$52,IF(Q16=Цены!$H$53,Цены!$L$53,IF(Q16=Цены!$H$54,Цены!$L$54,IF(Q16=Цены!$H$55,Цены!$L$55))))))))))))))))))))))))))))))))))))))))))))))))))))))</f>
        <v>1.1499999999999999</v>
      </c>
      <c r="T16" s="322"/>
      <c r="U16" s="161">
        <f>IF(Q16=Цены!$H$3,Цены!$K$3,IF(Q16=Цены!$H$4,Цены!$K$4,IF(Q16=Цены!$H$5,Цены!$K$5,IF(Q16=Цены!$H$6,Цены!$K$6,IF(Q16=Цены!$H$7,Цены!$K$7,IF(Q16=Цены!$H$8,Цены!$K$8,IF(Q16=Цены!$H$9,Цены!$K$9,IF(Q16=Цены!$H$10,Цены!$K$10,IF(Q16=Цены!$H$11,Цены!$K$11,IF(Q16=Цены!$H$12,Цены!$K$12,IF(Q16=Цены!$H$13,Цены!$K$13,IF(Q16=Цены!$H$14,Цены!$K$14,IF(Q16=Цены!$H$14,Цены!$K$14,IF(Q16=Цены!$H$15,Цены!$K$15,IF(Q16=Цены!$H$16,Цены!$K$16,IF(Q16=Цены!$H$17,Цены!$K$17,IF(Q16=Цены!$H$18,Цены!$K$18,IF(Q16=Цены!$H$19,Цены!$K$19,IF(Q16=Цены!$H$20,Цены!$K$20,IF(Q16=Цены!$H$21,Цены!$K$21,IF(Q16=Цены!$H$22,Цены!$K$22,IF(Q16=Цены!$H$23,Цены!$K$23,IF(Q16=Цены!$H$24,Цены!$K$24,IF(Q16=Цены!$H$25,Цены!$K$25,IF(Q16=Цены!$H$26,Цены!$K$26,IF(Q16=Цены!$H$27,Цены!$K$27,IF(Q16=Цены!$H$28,Цены!$K$28,IF(Q16=Цены!$H$29,Цены!$K$29,IF(Q16=Цены!$H$30,Цены!$K$30,IF(Q16=Цены!$H$31,Цены!$K$31,IF(Q16=Цены!$H$32,Цены!$K$32,IF(Q16=Цены!$H$33,Цены!$K$33,IF(Q16=Цены!$H$34,Цены!$K$34,IF(Q16=Цены!$H$35,Цены!$K$35,IF(Q16=Цены!$H$36,Цены!$K$36,IF(Q16=Цены!$H$37,Цены!$K$37,IF(Q16=Цены!$H$38,Цены!$K$38,IF(Q16=Цены!$H$39,Цены!$K$39,IF(Q16=Цены!$H$40,Цены!$K$40,IF(Q16=Цены!$H$41,Цены!$K$41,IF(Q16=Цены!$H$42,Цены!$K$42,IF(Q16=Цены!$H$43,Цены!$K$43,IF(Q16=Цены!$H$44,Цены!$K$44,IF(Q16=Цены!$H$45,Цены!$K$45,IF(Q16=Цены!$H$46,Цены!$K$46,IF(Q16=Цены!$H$47,Цены!$K$47,IF(Q16=Цены!$H$48,Цены!$K$48,IF(Q16=Цены!$H$49,Цены!$K$49,IF(Q16=Цены!$H$50,Цены!$K$50,IF(Q16=Цены!$H$51,Цены!$K$51,IF(Q16=Цены!$H$52,Цены!$K$52,IF(Q16=Цены!$H$53,Цены!$K$53,IF(Q16=Цены!$H$54,Цены!$K$54,IF(Q16=Цены!$H$55,Цены!$K$55))))))))))))))))))))))))))))))))))))))))))))))))))))))</f>
        <v>400</v>
      </c>
      <c r="V16" s="265"/>
      <c r="W16" s="265"/>
      <c r="X16" s="323"/>
      <c r="Y16" s="324"/>
      <c r="Z16" s="324"/>
      <c r="AA16" s="265"/>
      <c r="AB16" s="323"/>
      <c r="AC16" s="325"/>
      <c r="AD16" s="66" t="s">
        <v>70</v>
      </c>
      <c r="AE16" s="67">
        <v>4</v>
      </c>
      <c r="AF16" s="68">
        <f>IF(AD16=Цены!$H$3,Цены!$L$3,IF(AD16=Цены!$H$4,Цены!$L$4,IF(AD16=Цены!$H$5,Цены!$L$5,IF(AD16=Цены!$H$6,Цены!$L$6,IF(AD16=Цены!$H$7,Цены!$L$7,IF(AD16=Цены!$H$8,Цены!$L$8,IF(AD16=Цены!$H$9,Цены!$L$9,IF(AD16=Цены!$H$10,Цены!$L$10,IF(AD16=Цены!$H$11,Цены!$L$11,IF(AD16=Цены!$H$12,Цены!$L$12,IF(AD16=Цены!$H$13,Цены!$L$13,IF(AD16=Цены!$H$14,Цены!$L$14,IF(AD16=Цены!$H$14,Цены!$L$14,IF(AD16=Цены!$H$15,Цены!$L$15,IF(AD16=Цены!$H$16,Цены!$L$16,IF(AD16=Цены!$H$17,Цены!$L$17,IF(AD16=Цены!$H$18,Цены!$L$18,IF(AD16=Цены!$H$19,Цены!$L$19,IF(AD16=Цены!$H$20,Цены!$L$20,IF(AD16=Цены!$H$21,Цены!$L$21,IF(AD16=Цены!$H$22,Цены!$L$22,IF(AD16=Цены!$H$23,Цены!$L$23,IF(AD16=Цены!$H$24,Цены!$L$24,IF(AD16=Цены!$H$25,Цены!$L$25,IF(AD16=Цены!$H$26,Цены!$L$26,IF(AD16=Цены!$H$27,Цены!$L$27,IF(AD16=Цены!$H$28,Цены!$L$28,IF(AD16=Цены!$H$29,Цены!$L$29,IF(AD16=Цены!$H$30,Цены!$L$30,IF(AD16=Цены!$H$31,Цены!$L$31,IF(AD16=Цены!$H$32,Цены!$L$32,IF(AD16=Цены!$H$33,Цены!$L$33,IF(AD16=Цены!$H$34,Цены!$L$34,IF(AD16=Цены!$H$35,Цены!$L$35,IF(AD16=Цены!$H$36,Цены!$L$36,IF(AD16=Цены!$H$37,Цены!$L$37,IF(AD16=Цены!$H$38,Цены!$L$38,IF(AD16=Цены!$H$39,Цены!$L$39,IF(AD16=Цены!$H$40,Цены!$L$40,IF(AD16=Цены!$H$41,Цены!$L$41,IF(AD16=Цены!$H$42,Цены!$L$42,IF(AD16=Цены!$H$43,Цены!$L$43,IF(AD16=Цены!$H$44,Цены!$L$44,IF(AD16=Цены!$H$45,Цены!$L$45,IF(AD16=Цены!$H$46,Цены!$L$46,IF(AD16=Цены!$H$47,Цены!$L$47,IF(AD16=Цены!$H$48,Цены!$L$48,IF(AD16=Цены!$H$49,Цены!$L$49,IF(AD16=Цены!$H$50,Цены!$L$50,IF(AD16=Цены!$H$51,Цены!$L$51,IF(AD16=Цены!$H$52,Цены!$L$52,IF(AD16=Цены!$H$53,Цены!$L$53,IF(AD16=Цены!$H$54,Цены!$L$54,IF(AD16=Цены!$H$55,Цены!$L$55))))))))))))))))))))))))))))))))))))))))))))))))))))))</f>
        <v>2.4</v>
      </c>
      <c r="AG16" s="311"/>
      <c r="AH16" s="69">
        <f>IF(AD16=Цены!$H$3,Цены!$K$3,IF(AD16=Цены!$H$4,Цены!$K$4,IF(AD16=Цены!$H$5,Цены!$K$5,IF(AD16=Цены!$H$6,Цены!$K$6,IF(AD16=Цены!$H$7,Цены!$K$7,IF(AD16=Цены!$H$8,Цены!$K$8,IF(AD16=Цены!$H$9,Цены!$K$9,IF(AD16=Цены!$H$10,Цены!$K$10,IF(AD16=Цены!$H$11,Цены!$K$11,IF(AD16=Цены!$H$12,Цены!$K$12,IF(AD16=Цены!$H$13,Цены!$K$13,IF(AD16=Цены!$H$14,Цены!$K$14,IF(AD16=Цены!$H$14,Цены!$K$14,IF(AD16=Цены!$H$15,Цены!$K$15,IF(AD16=Цены!$H$16,Цены!$K$16,IF(AD16=Цены!$H$17,Цены!$K$17,IF(AD16=Цены!$H$18,Цены!$K$18,IF(AD16=Цены!$H$19,Цены!$K$19,IF(AD16=Цены!$H$20,Цены!$K$20,IF(AD16=Цены!$H$21,Цены!$K$21,IF(AD16=Цены!$H$22,Цены!$K$22,IF(AD16=Цены!$H$23,Цены!$K$23,IF(AD16=Цены!$H$24,Цены!$K$24,IF(AD16=Цены!$H$25,Цены!$K$25,IF(AD16=Цены!$H$26,Цены!$K$26,IF(AD16=Цены!$H$27,Цены!$K$27,IF(AD16=Цены!$H$28,Цены!$K$28,IF(AD16=Цены!$H$29,Цены!$K$29,IF(AD16=Цены!$H$30,Цены!$K$30,IF(AD16=Цены!$H$31,Цены!$K$31,IF(AD16=Цены!$H$32,Цены!$K$32,IF(AD16=Цены!$H$33,Цены!$K$33,IF(AD16=Цены!$H$34,Цены!$K$34,IF(AD16=Цены!$H$35,Цены!$K$35,IF(AD16=Цены!$H$36,Цены!$K$36,IF(AD16=Цены!$H$37,Цены!$K$37,IF(AD16=Цены!$H$38,Цены!$K$38,IF(AD16=Цены!$H$39,Цены!$K$39,IF(AD16=Цены!$H$40,Цены!$K$40,IF(AD16=Цены!$H$41,Цены!$K$41,IF(AD16=Цены!$H$42,Цены!$K$42,IF(AD16=Цены!$H$43,Цены!$K$43,IF(AD16=Цены!$H$44,Цены!$K$44,IF(AD16=Цены!$H$45,Цены!$K$45,IF(AD16=Цены!$H$46,Цены!$K$46,IF(AD16=Цены!$H$47,Цены!$K$47,IF(AD16=Цены!$H$48,Цены!$K$48,IF(AD16=Цены!$H$49,Цены!$K$49,IF(AD16=Цены!$H$50,Цены!$K$50,IF(AD16=Цены!$H$51,Цены!$K$51,IF(AD16=Цены!$H$52,Цены!$K$52,IF(AD16=Цены!$H$53,Цены!$K$53,IF(AD16=Цены!$H$54,Цены!$K$54,IF(AD16=Цены!$H$55,Цены!$K$55))))))))))))))))))))))))))))))))))))))))))))))))))))))</f>
        <v>469</v>
      </c>
      <c r="AI16" s="265"/>
      <c r="AJ16" s="265"/>
      <c r="AK16" s="312"/>
      <c r="AL16" s="314"/>
      <c r="AM16" s="314"/>
      <c r="AN16" s="265"/>
      <c r="AO16" s="312"/>
      <c r="AP16" s="315"/>
      <c r="AQ16" s="125" t="s">
        <v>140</v>
      </c>
      <c r="AR16" s="131">
        <v>2</v>
      </c>
      <c r="AS16" s="80">
        <f>IF(AQ16=Цены!$H$3,Цены!$L$3,IF(AQ16=Цены!$H$4,Цены!$L$4,IF(AQ16=Цены!$H$5,Цены!$L$5,IF(AQ16=Цены!$H$6,Цены!$L$6,IF(AQ16=Цены!$H$7,Цены!$L$7,IF(AQ16=Цены!$H$8,Цены!$L$8,IF(AQ16=Цены!$H$9,Цены!$L$9,IF(AQ16=Цены!$H$10,Цены!$L$10,IF(AQ16=Цены!$H$11,Цены!$L$11,IF(AQ16=Цены!$H$12,Цены!$L$12,IF(AQ16=Цены!$H$13,Цены!$L$13,IF(AQ16=Цены!$H$14,Цены!$L$14,IF(AQ16=Цены!$H$14,Цены!$L$14,IF(AQ16=Цены!$H$15,Цены!$L$15,IF(AQ16=Цены!$H$16,Цены!$L$16,IF(AQ16=Цены!$H$17,Цены!$L$17,IF(AQ16=Цены!$H$18,Цены!$L$18,IF(AQ16=Цены!$H$19,Цены!$L$19,IF(AQ16=Цены!$H$20,Цены!$L$20,IF(AQ16=Цены!$H$21,Цены!$L$21,IF(AQ16=Цены!$H$22,Цены!$L$22,IF(AQ16=Цены!$H$23,Цены!$L$23,IF(AQ16=Цены!$H$24,Цены!$L$24,IF(AQ16=Цены!$H$25,Цены!$L$25,IF(AQ16=Цены!$H$26,Цены!$L$26,IF(AQ16=Цены!$H$27,Цены!$L$27,IF(AQ16=Цены!$H$28,Цены!$L$28,IF(AQ16=Цены!$H$29,Цены!$L$29,IF(AQ16=Цены!$H$30,Цены!$L$30,IF(AQ16=Цены!$H$31,Цены!$L$31,IF(AQ16=Цены!$H$32,Цены!$L$32,IF(AQ16=Цены!$H$33,Цены!$L$33,IF(AQ16=Цены!$H$34,Цены!$L$34,IF(AQ16=Цены!$H$35,Цены!$L$35,IF(AQ16=Цены!$H$36,Цены!$L$36,IF(AQ16=Цены!$H$37,Цены!$L$37,IF(AQ16=Цены!$H$38,Цены!$L$38,IF(AQ16=Цены!$H$39,Цены!$L$39,IF(AQ16=Цены!$H$40,Цены!$L$40,IF(AQ16=Цены!$H$41,Цены!$L$41,IF(AQ16=Цены!$H$42,Цены!$L$42,IF(AQ16=Цены!$H$43,Цены!$L$43,IF(AQ16=Цены!$H$44,Цены!$L$44,IF(AQ16=Цены!$H$45,Цены!$L$45,IF(AQ16=Цены!$H$46,Цены!$L$46,IF(AQ16=Цены!$H$47,Цены!$L$47,IF(AQ16=Цены!$H$48,Цены!$L$48,IF(AQ16=Цены!$H$49,Цены!$L$49,IF(AQ16=Цены!$H$50,Цены!$L$50,IF(AQ16=Цены!$H$51,Цены!$L$51,IF(AQ16=Цены!$H$52,Цены!$L$52,IF(AQ16=Цены!$H$53,Цены!$L$53,IF(AQ16=Цены!$H$54,Цены!$L$54,IF(AQ16=Цены!$H$55,Цены!$L$55))))))))))))))))))))))))))))))))))))))))))))))))))))))</f>
        <v>0.37</v>
      </c>
      <c r="AT16" s="271"/>
      <c r="AU16" s="81">
        <f>IF(AQ16=Цены!$H$3,Цены!$K$3,IF(AQ16=Цены!$H$4,Цены!$K$4,IF(AQ16=Цены!$H$5,Цены!$K$5,IF(AQ16=Цены!$H$6,Цены!$K$6,IF(AQ16=Цены!$H$7,Цены!$K$7,IF(AQ16=Цены!$H$8,Цены!$K$8,IF(AQ16=Цены!$H$9,Цены!$K$9,IF(AQ16=Цены!$H$10,Цены!$K$10,IF(AQ16=Цены!$H$11,Цены!$K$11,IF(AQ16=Цены!$H$12,Цены!$K$12,IF(AQ16=Цены!$H$13,Цены!$K$13,IF(AQ16=Цены!$H$14,Цены!$K$14,IF(AQ16=Цены!$H$14,Цены!$K$14,IF(AQ16=Цены!$H$15,Цены!$K$15,IF(AQ16=Цены!$H$16,Цены!$K$16,IF(AQ16=Цены!$H$17,Цены!$K$17,IF(AQ16=Цены!$H$18,Цены!$K$18,IF(AQ16=Цены!$H$19,Цены!$K$19,IF(AQ16=Цены!$H$20,Цены!$K$20,IF(AQ16=Цены!$H$21,Цены!$K$21,IF(AQ16=Цены!$H$22,Цены!$K$22,IF(AQ16=Цены!$H$23,Цены!$K$23,IF(AQ16=Цены!$H$24,Цены!$K$24,IF(AQ16=Цены!$H$25,Цены!$K$25,IF(AQ16=Цены!$H$26,Цены!$K$26,IF(AQ16=Цены!$H$27,Цены!$K$27,IF(AQ16=Цены!$H$28,Цены!$K$28,IF(AQ16=Цены!$H$29,Цены!$K$29,IF(AQ16=Цены!$H$30,Цены!$K$30,IF(AQ16=Цены!$H$31,Цены!$K$31,IF(AQ16=Цены!$H$32,Цены!$K$32,IF(AQ16=Цены!$H$33,Цены!$K$33,IF(AQ16=Цены!$H$34,Цены!$K$34,IF(AQ16=Цены!$H$35,Цены!$K$35,IF(AQ16=Цены!$H$36,Цены!$K$36,IF(AQ16=Цены!$H$37,Цены!$K$37,IF(AQ16=Цены!$H$38,Цены!$K$38,IF(AQ16=Цены!$H$39,Цены!$K$39,IF(AQ16=Цены!$H$40,Цены!$K$40,IF(AQ16=Цены!$H$41,Цены!$K$41,IF(AQ16=Цены!$H$42,Цены!$K$42,IF(AQ16=Цены!$H$43,Цены!$K$43,IF(AQ16=Цены!$H$44,Цены!$K$44,IF(AQ16=Цены!$H$45,Цены!$K$45,IF(AQ16=Цены!$H$46,Цены!$K$46,IF(AQ16=Цены!$H$47,Цены!$K$47,IF(AQ16=Цены!$H$48,Цены!$K$48,IF(AQ16=Цены!$H$49,Цены!$K$49,IF(AQ16=Цены!$H$50,Цены!$K$50,IF(AQ16=Цены!$H$51,Цены!$K$51,IF(AQ16=Цены!$H$52,Цены!$K$52,IF(AQ16=Цены!$H$53,Цены!$K$53,IF(AQ16=Цены!$H$54,Цены!$K$54,IF(AQ16=Цены!$H$55,Цены!$K$55))))))))))))))))))))))))))))))))))))))))))))))))))))))</f>
        <v>730</v>
      </c>
      <c r="AV16" s="265"/>
      <c r="AW16" s="265"/>
      <c r="AX16" s="274"/>
      <c r="AY16" s="304"/>
      <c r="AZ16" s="304"/>
      <c r="BA16" s="265"/>
      <c r="BB16" s="274"/>
      <c r="BC16" s="305"/>
      <c r="BD16" s="244"/>
      <c r="BE16" s="116" t="s">
        <v>96</v>
      </c>
      <c r="BF16" s="106">
        <v>2</v>
      </c>
      <c r="BG16" s="103">
        <f>IF(BE16=Цены!$H$3,Цены!$L$3,IF(BE16=Цены!$H$4,Цены!$L$4,IF(BE16=Цены!$H$5,Цены!$L$5,IF(BE16=Цены!$H$6,Цены!$L$6,IF(BE16=Цены!$H$7,Цены!$L$7,IF(BE16=Цены!$H$8,Цены!$L$8,IF(BE16=Цены!$H$9,Цены!$L$9,IF(BE16=Цены!$H$10,Цены!$L$10,IF(BE16=Цены!$H$11,Цены!$L$11,IF(BE16=Цены!$H$12,Цены!$L$12,IF(BE16=Цены!$H$13,Цены!$L$13,IF(BE16=Цены!$H$14,Цены!$L$14,IF(BE16=Цены!$H$14,Цены!$L$14,IF(BE16=Цены!$H$15,Цены!$L$15,IF(BE16=Цены!$H$16,Цены!$L$16,IF(BE16=Цены!$H$17,Цены!$L$17,IF(BE16=Цены!$H$18,Цены!$L$18,IF(BE16=Цены!$H$19,Цены!$L$19,IF(BE16=Цены!$H$20,Цены!$L$20,IF(BE16=Цены!$H$21,Цены!$L$21,IF(BE16=Цены!$H$22,Цены!$L$22,IF(BE16=Цены!$H$23,Цены!$L$23,IF(BE16=Цены!$H$24,Цены!$L$24,IF(BE16=Цены!$H$25,Цены!$L$25,IF(BE16=Цены!$H$26,Цены!$L$26,IF(BE16=Цены!$H$27,Цены!$L$27,IF(BE16=Цены!$H$28,Цены!$L$28,IF(BE16=Цены!$H$29,Цены!$L$29,IF(BE16=Цены!$H$30,Цены!$L$30,IF(BE16=Цены!$H$31,Цены!$L$31,IF(BE16=Цены!$H$32,Цены!$L$32,IF(BE16=Цены!$H$33,Цены!$L$33,IF(BE16=Цены!$H$34,Цены!$L$34,IF(BE16=Цены!$H$35,Цены!$L$35,IF(BE16=Цены!$H$36,Цены!$L$36,IF(BE16=Цены!$H$37,Цены!$L$37,IF(BE16=Цены!$H$38,Цены!$L$38,IF(BE16=Цены!$H$39,Цены!$L$39,IF(BE16=Цены!$H$40,Цены!$L$40,IF(BE16=Цены!$H$41,Цены!$L$41,IF(BE16=Цены!$H$42,Цены!$L$42,IF(BE16=Цены!$H$43,Цены!$L$43,IF(BE16=Цены!$H$44,Цены!$L$44,IF(BE16=Цены!$H$45,Цены!$L$45,IF(BE16=Цены!$H$46,Цены!$L$46,IF(BE16=Цены!$H$47,Цены!$L$47,IF(BE16=Цены!$H$48,Цены!$L$48,IF(BE16=Цены!$H$49,Цены!$L$49,IF(BE16=Цены!$H$50,Цены!$L$50,IF(BE16=Цены!$H$51,Цены!$L$51,IF(BE16=Цены!$H$52,Цены!$L$52,IF(BE16=Цены!$H$53,Цены!$L$53,IF(BE16=Цены!$H$54,Цены!$L$54,IF(BE16=Цены!$H$55,Цены!$L$55))))))))))))))))))))))))))))))))))))))))))))))))))))))</f>
        <v>0.78</v>
      </c>
      <c r="BH16" s="280"/>
      <c r="BI16" s="104">
        <f>IF(BE16=Цены!$H$3,Цены!$K$3,IF(BE16=Цены!$H$4,Цены!$K$4,IF(BE16=Цены!$H$5,Цены!$K$5,IF(BE16=Цены!$H$6,Цены!$K$6,IF(BE16=Цены!$H$7,Цены!$K$7,IF(BE16=Цены!$H$8,Цены!$K$8,IF(BE16=Цены!$H$9,Цены!$K$9,IF(BE16=Цены!$H$10,Цены!$K$10,IF(BE16=Цены!$H$11,Цены!$K$11,IF(BE16=Цены!$H$12,Цены!$K$12,IF(BE16=Цены!$H$13,Цены!$K$13,IF(BE16=Цены!$H$14,Цены!$K$14,IF(BE16=Цены!$H$14,Цены!$K$14,IF(BE16=Цены!$H$15,Цены!$K$15,IF(BE16=Цены!$H$16,Цены!$K$16,IF(BE16=Цены!$H$17,Цены!$K$17,IF(BE16=Цены!$H$18,Цены!$K$18,IF(BE16=Цены!$H$19,Цены!$K$19,IF(BE16=Цены!$H$20,Цены!$K$20,IF(BE16=Цены!$H$21,Цены!$K$21,IF(BE16=Цены!$H$22,Цены!$K$22,IF(BE16=Цены!$H$23,Цены!$K$23,IF(BE16=Цены!$H$24,Цены!$K$24,IF(BE16=Цены!$H$25,Цены!$K$25,IF(BE16=Цены!$H$26,Цены!$K$26,IF(BE16=Цены!$H$27,Цены!$K$27,IF(BE16=Цены!$H$28,Цены!$K$28,IF(BE16=Цены!$H$29,Цены!$K$29,IF(BE16=Цены!$H$30,Цены!$K$30,IF(BE16=Цены!$H$31,Цены!$K$31,IF(BE16=Цены!$H$32,Цены!$K$32,IF(BE16=Цены!$H$33,Цены!$K$33,IF(BE16=Цены!$H$34,Цены!$K$34,IF(BE16=Цены!$H$35,Цены!$K$35,IF(BE16=Цены!$H$36,Цены!$K$36,IF(BE16=Цены!$H$37,Цены!$K$37,IF(BE16=Цены!$H$38,Цены!$K$38,IF(BE16=Цены!$H$39,Цены!$K$39,IF(BE16=Цены!$H$40,Цены!$K$40,IF(BE16=Цены!$H$41,Цены!$K$41,IF(BE16=Цены!$H$42,Цены!$K$42,IF(BE16=Цены!$H$43,Цены!$K$43,IF(BE16=Цены!$H$44,Цены!$K$44,IF(BE16=Цены!$H$45,Цены!$K$45,IF(BE16=Цены!$H$46,Цены!$K$46,IF(BE16=Цены!$H$47,Цены!$K$47,IF(BE16=Цены!$H$48,Цены!$K$48,IF(BE16=Цены!$H$49,Цены!$K$49,IF(BE16=Цены!$H$50,Цены!$K$50,IF(BE16=Цены!$H$51,Цены!$K$51,IF(BE16=Цены!$H$52,Цены!$K$52,IF(BE16=Цены!$H$53,Цены!$K$53,IF(BE16=Цены!$H$54,Цены!$K$54,IF(BE16=Цены!$H$55,Цены!$K$55))))))))))))))))))))))))))))))))))))))))))))))))))))))</f>
        <v>447</v>
      </c>
      <c r="BJ16" s="265"/>
      <c r="BK16" s="265"/>
      <c r="BL16" s="281"/>
      <c r="BM16" s="292"/>
      <c r="BN16" s="292"/>
      <c r="BO16" s="265"/>
      <c r="BP16" s="281"/>
      <c r="BQ16" s="293"/>
      <c r="BR16" s="118" t="s">
        <v>96</v>
      </c>
      <c r="BS16" s="108">
        <v>2</v>
      </c>
      <c r="BT16" s="109">
        <f>IF(BR16=Цены!$H$3,Цены!$L$3,IF(BR16=Цены!$H$4,Цены!$L$4,IF(BR16=Цены!$H$5,Цены!$L$5,IF(BR16=Цены!$H$6,Цены!$L$6,IF(BR16=Цены!$H$7,Цены!$L$7,IF(BR16=Цены!$H$8,Цены!$L$8,IF(BR16=Цены!$H$9,Цены!$L$9,IF(BR16=Цены!$H$10,Цены!$L$10,IF(BR16=Цены!$H$11,Цены!$L$11,IF(BR16=Цены!$H$12,Цены!$L$12,IF(BR16=Цены!$H$13,Цены!$L$13,IF(BR16=Цены!$H$14,Цены!$L$14,IF(BR16=Цены!$H$14,Цены!$L$14,IF(BR16=Цены!$H$15,Цены!$L$15,IF(BR16=Цены!$H$16,Цены!$L$16,IF(BR16=Цены!$H$17,Цены!$L$17,IF(BR16=Цены!$H$18,Цены!$L$18,IF(BR16=Цены!$H$19,Цены!$L$19,IF(BR16=Цены!$H$20,Цены!$L$20,IF(BR16=Цены!$H$21,Цены!$L$21,IF(BR16=Цены!$H$22,Цены!$L$22,IF(BR16=Цены!$H$23,Цены!$L$23,IF(BR16=Цены!$H$24,Цены!$L$24,IF(BR16=Цены!$H$25,Цены!$L$25,IF(BR16=Цены!$H$26,Цены!$L$26,IF(BR16=Цены!$H$27,Цены!$L$27,IF(BR16=Цены!$H$28,Цены!$L$28,IF(BR16=Цены!$H$29,Цены!$L$29,IF(BR16=Цены!$H$30,Цены!$L$30,IF(BR16=Цены!$H$31,Цены!$L$31,IF(BR16=Цены!$H$32,Цены!$L$32,IF(BR16=Цены!$H$33,Цены!$L$33,IF(BR16=Цены!$H$34,Цены!$L$34,IF(BR16=Цены!$H$35,Цены!$L$35,IF(BR16=Цены!$H$36,Цены!$L$36,IF(BR16=Цены!$H$37,Цены!$L$37,IF(BR16=Цены!$H$38,Цены!$L$38,IF(BR16=Цены!$H$39,Цены!$L$39,IF(BR16=Цены!$H$40,Цены!$L$40,IF(BR16=Цены!$H$41,Цены!$L$41,IF(BR16=Цены!$H$42,Цены!$L$42,IF(BR16=Цены!$H$43,Цены!$L$43,IF(BR16=Цены!$H$44,Цены!$L$44,IF(BR16=Цены!$H$45,Цены!$L$45,IF(BR16=Цены!$H$46,Цены!$L$46,IF(BR16=Цены!$H$47,Цены!$L$47,IF(BR16=Цены!$H$48,Цены!$L$48,IF(BR16=Цены!$H$49,Цены!$L$49,IF(BR16=Цены!$H$50,Цены!$L$50,IF(BR16=Цены!$H$51,Цены!$L$51,IF(BR16=Цены!$H$52,Цены!$L$52,IF(BR16=Цены!$H$53,Цены!$L$53,IF(BR16=Цены!$H$54,Цены!$L$54,IF(BR16=Цены!$H$55,Цены!$L$55))))))))))))))))))))))))))))))))))))))))))))))))))))))</f>
        <v>0.78</v>
      </c>
      <c r="BU16" s="284"/>
      <c r="BV16" s="110">
        <f>IF(BR16=Цены!$H$3,Цены!$K$3,IF(BR16=Цены!$H$4,Цены!$K$4,IF(BR16=Цены!$H$5,Цены!$K$5,IF(BR16=Цены!$H$6,Цены!$K$6,IF(BR16=Цены!$H$7,Цены!$K$7,IF(BR16=Цены!$H$8,Цены!$K$8,IF(BR16=Цены!$H$9,Цены!$K$9,IF(BR16=Цены!$H$10,Цены!$K$10,IF(BR16=Цены!$H$11,Цены!$K$11,IF(BR16=Цены!$H$12,Цены!$K$12,IF(BR16=Цены!$H$13,Цены!$K$13,IF(BR16=Цены!$H$14,Цены!$K$14,IF(BR16=Цены!$H$14,Цены!$K$14,IF(BR16=Цены!$H$15,Цены!$K$15,IF(BR16=Цены!$H$16,Цены!$K$16,IF(BR16=Цены!$H$17,Цены!$K$17,IF(BR16=Цены!$H$18,Цены!$K$18,IF(BR16=Цены!$H$19,Цены!$K$19,IF(BR16=Цены!$H$20,Цены!$K$20,IF(BR16=Цены!$H$21,Цены!$K$21,IF(BR16=Цены!$H$22,Цены!$K$22,IF(BR16=Цены!$H$23,Цены!$K$23,IF(BR16=Цены!$H$24,Цены!$K$24,IF(BR16=Цены!$H$25,Цены!$K$25,IF(BR16=Цены!$H$26,Цены!$K$26,IF(BR16=Цены!$H$27,Цены!$K$27,IF(BR16=Цены!$H$28,Цены!$K$28,IF(BR16=Цены!$H$29,Цены!$K$29,IF(BR16=Цены!$H$30,Цены!$K$30,IF(BR16=Цены!$H$31,Цены!$K$31,IF(BR16=Цены!$H$32,Цены!$K$32,IF(BR16=Цены!$H$33,Цены!$K$33,IF(BR16=Цены!$H$34,Цены!$K$34,IF(BR16=Цены!$H$35,Цены!$K$35,IF(BR16=Цены!$H$36,Цены!$K$36,IF(BR16=Цены!$H$37,Цены!$K$37,IF(BR16=Цены!$H$38,Цены!$K$38,IF(BR16=Цены!$H$39,Цены!$K$39,IF(BR16=Цены!$H$40,Цены!$K$40,IF(BR16=Цены!$H$41,Цены!$K$41,IF(BR16=Цены!$H$42,Цены!$K$42,IF(BR16=Цены!$H$43,Цены!$K$43,IF(BR16=Цены!$H$44,Цены!$K$44,IF(BR16=Цены!$H$45,Цены!$K$45,IF(BR16=Цены!$H$46,Цены!$K$46,IF(BR16=Цены!$H$47,Цены!$K$47,IF(BR16=Цены!$H$48,Цены!$K$48,IF(BR16=Цены!$H$49,Цены!$K$49,IF(BR16=Цены!$H$50,Цены!$K$50,IF(BR16=Цены!$H$51,Цены!$K$51,IF(BR16=Цены!$H$52,Цены!$K$52,IF(BR16=Цены!$H$53,Цены!$K$53,IF(BR16=Цены!$H$54,Цены!$K$54,IF(BR16=Цены!$H$55,Цены!$K$55))))))))))))))))))))))))))))))))))))))))))))))))))))))</f>
        <v>447</v>
      </c>
      <c r="BW16" s="265"/>
      <c r="BX16" s="265"/>
      <c r="BY16" s="285"/>
      <c r="BZ16" s="290"/>
      <c r="CA16" s="290"/>
      <c r="CB16" s="265"/>
      <c r="CC16" s="285"/>
      <c r="CD16" s="291"/>
      <c r="CE16" s="119" t="s">
        <v>96</v>
      </c>
      <c r="CF16" s="112">
        <v>2</v>
      </c>
      <c r="CG16" s="113">
        <f>IF(CE16=Цены!$H$3,Цены!$L$3,IF(CE16=Цены!$H$4,Цены!$L$4,IF(CE16=Цены!$H$5,Цены!$L$5,IF(CE16=Цены!$H$6,Цены!$L$6,IF(CE16=Цены!$H$7,Цены!$L$7,IF(CE16=Цены!$H$8,Цены!$L$8,IF(CE16=Цены!$H$9,Цены!$L$9,IF(CE16=Цены!$H$10,Цены!$L$10,IF(CE16=Цены!$H$11,Цены!$L$11,IF(CE16=Цены!$H$12,Цены!$L$12,IF(CE16=Цены!$H$13,Цены!$L$13,IF(CE16=Цены!$H$14,Цены!$L$14,IF(CE16=Цены!$H$14,Цены!$L$14,IF(CE16=Цены!$H$15,Цены!$L$15,IF(CE16=Цены!$H$16,Цены!$L$16,IF(CE16=Цены!$H$17,Цены!$L$17,IF(CE16=Цены!$H$18,Цены!$L$18,IF(CE16=Цены!$H$19,Цены!$L$19,IF(CE16=Цены!$H$20,Цены!$L$20,IF(CE16=Цены!$H$21,Цены!$L$21,IF(CE16=Цены!$H$22,Цены!$L$22,IF(CE16=Цены!$H$23,Цены!$L$23,IF(CE16=Цены!$H$24,Цены!$L$24,IF(CE16=Цены!$H$25,Цены!$L$25,IF(CE16=Цены!$H$26,Цены!$L$26,IF(CE16=Цены!$H$27,Цены!$L$27,IF(CE16=Цены!$H$28,Цены!$L$28,IF(CE16=Цены!$H$29,Цены!$L$29,IF(CE16=Цены!$H$30,Цены!$L$30,IF(CE16=Цены!$H$31,Цены!$L$31,IF(CE16=Цены!$H$32,Цены!$L$32,IF(CE16=Цены!$H$33,Цены!$L$33,IF(CE16=Цены!$H$34,Цены!$L$34,IF(CE16=Цены!$H$35,Цены!$L$35,IF(CE16=Цены!$H$36,Цены!$L$36,IF(CE16=Цены!$H$37,Цены!$L$37,IF(CE16=Цены!$H$38,Цены!$L$38,IF(CE16=Цены!$H$39,Цены!$L$39,IF(CE16=Цены!$H$40,Цены!$L$40,IF(CE16=Цены!$H$41,Цены!$L$41,IF(CE16=Цены!$H$42,Цены!$L$42,IF(CE16=Цены!$H$43,Цены!$L$43,IF(CE16=Цены!$H$44,Цены!$L$44,IF(CE16=Цены!$H$45,Цены!$L$45,IF(CE16=Цены!$H$46,Цены!$L$46,IF(CE16=Цены!$H$47,Цены!$L$47,IF(CE16=Цены!$H$48,Цены!$L$48,IF(CE16=Цены!$H$49,Цены!$L$49,IF(CE16=Цены!$H$50,Цены!$L$50,IF(CE16=Цены!$H$51,Цены!$L$51,IF(CE16=Цены!$H$52,Цены!$L$52,IF(CE16=Цены!$H$53,Цены!$L$53,IF(CE16=Цены!$H$54,Цены!$L$54,IF(CE16=Цены!$H$55,Цены!$L$55))))))))))))))))))))))))))))))))))))))))))))))))))))))</f>
        <v>0.78</v>
      </c>
      <c r="CH16" s="282"/>
      <c r="CI16" s="114">
        <f>IF(CE16=Цены!$H$3,Цены!$K$3,IF(CE16=Цены!$H$4,Цены!$K$4,IF(CE16=Цены!$H$5,Цены!$K$5,IF(CE16=Цены!$H$6,Цены!$K$6,IF(CE16=Цены!$H$7,Цены!$K$7,IF(CE16=Цены!$H$8,Цены!$K$8,IF(CE16=Цены!$H$9,Цены!$K$9,IF(CE16=Цены!$H$10,Цены!$K$10,IF(CE16=Цены!$H$11,Цены!$K$11,IF(CE16=Цены!$H$12,Цены!$K$12,IF(CE16=Цены!$H$13,Цены!$K$13,IF(CE16=Цены!$H$14,Цены!$K$14,IF(CE16=Цены!$H$14,Цены!$K$14,IF(CE16=Цены!$H$15,Цены!$K$15,IF(CE16=Цены!$H$16,Цены!$K$16,IF(CE16=Цены!$H$17,Цены!$K$17,IF(CE16=Цены!$H$18,Цены!$K$18,IF(CE16=Цены!$H$19,Цены!$K$19,IF(CE16=Цены!$H$20,Цены!$K$20,IF(CE16=Цены!$H$21,Цены!$K$21,IF(CE16=Цены!$H$22,Цены!$K$22,IF(CE16=Цены!$H$23,Цены!$K$23,IF(CE16=Цены!$H$24,Цены!$K$24,IF(CE16=Цены!$H$25,Цены!$K$25,IF(CE16=Цены!$H$26,Цены!$K$26,IF(CE16=Цены!$H$27,Цены!$K$27,IF(CE16=Цены!$H$28,Цены!$K$28,IF(CE16=Цены!$H$29,Цены!$K$29,IF(CE16=Цены!$H$30,Цены!$K$30,IF(CE16=Цены!$H$31,Цены!$K$31,IF(CE16=Цены!$H$32,Цены!$K$32,IF(CE16=Цены!$H$33,Цены!$K$33,IF(CE16=Цены!$H$34,Цены!$K$34,IF(CE16=Цены!$H$35,Цены!$K$35,IF(CE16=Цены!$H$36,Цены!$K$36,IF(CE16=Цены!$H$37,Цены!$K$37,IF(CE16=Цены!$H$38,Цены!$K$38,IF(CE16=Цены!$H$39,Цены!$K$39,IF(CE16=Цены!$H$40,Цены!$K$40,IF(CE16=Цены!$H$41,Цены!$K$41,IF(CE16=Цены!$H$42,Цены!$K$42,IF(CE16=Цены!$H$43,Цены!$K$43,IF(CE16=Цены!$H$44,Цены!$K$44,IF(CE16=Цены!$H$45,Цены!$K$45,IF(CE16=Цены!$H$46,Цены!$K$46,IF(CE16=Цены!$H$47,Цены!$K$47,IF(CE16=Цены!$H$48,Цены!$K$48,IF(CE16=Цены!$H$49,Цены!$K$49,IF(CE16=Цены!$H$50,Цены!$K$50,IF(CE16=Цены!$H$51,Цены!$K$51,IF(CE16=Цены!$H$52,Цены!$K$52,IF(CE16=Цены!$H$53,Цены!$K$53,IF(CE16=Цены!$H$54,Цены!$K$54,IF(CE16=Цены!$H$55,Цены!$K$55))))))))))))))))))))))))))))))))))))))))))))))))))))))</f>
        <v>447</v>
      </c>
      <c r="CJ16" s="265"/>
      <c r="CK16" s="265"/>
      <c r="CL16" s="283"/>
      <c r="CM16" s="288"/>
      <c r="CN16" s="288"/>
      <c r="CO16" s="265"/>
      <c r="CP16" s="283"/>
      <c r="CQ16" s="289"/>
    </row>
    <row r="17" spans="1:95" s="40" customFormat="1" ht="15" hidden="1" customHeight="1" x14ac:dyDescent="0.25">
      <c r="A17" s="341"/>
      <c r="B17" s="265"/>
      <c r="C17" s="336"/>
      <c r="D17" s="48" t="s">
        <v>125</v>
      </c>
      <c r="E17" s="45">
        <v>4</v>
      </c>
      <c r="F17" s="46">
        <f>IF(D17=Цены!$H$3,Цены!$L$3,IF(D17=Цены!$H$4,Цены!$L$4,IF(D17=Цены!$H$5,Цены!$L$5,IF(D17=Цены!$H$6,Цены!$L$6,IF(D17=Цены!$H$7,Цены!$L$7,IF(D17=Цены!$H$8,Цены!$L$8,IF(D17=Цены!$H$9,Цены!$L$9,IF(D17=Цены!$H$10,Цены!$L$10,IF(D17=Цены!$H$11,Цены!$L$11,IF(D17=Цены!$H$12,Цены!$L$12,IF(D17=Цены!$H$13,Цены!$L$13,IF(D17=Цены!$H$14,Цены!$L$14,IF(D17=Цены!$H$14,Цены!$L$14,IF(D17=Цены!$H$15,Цены!$L$15,IF(D17=Цены!$H$16,Цены!$L$16,IF(D17=Цены!$H$17,Цены!$L$17,IF(D17=Цены!$H$18,Цены!$L$18,IF(D17=Цены!$H$19,Цены!$L$19,IF(D17=Цены!$H$20,Цены!$L$20,IF(D17=Цены!$H$21,Цены!$L$21,IF(D17=Цены!$H$22,Цены!$L$22,IF(D17=Цены!$H$23,Цены!$L$23,IF(D17=Цены!$H$24,Цены!$L$24,IF(D17=Цены!$H$25,Цены!$L$25,IF(D17=Цены!$H$26,Цены!$L$26,IF(D17=Цены!$H$27,Цены!$L$27,IF(D17=Цены!$H$28,Цены!$L$28,IF(D17=Цены!$H$29,Цены!$L$29,IF(D17=Цены!$H$30,Цены!$L$30,IF(D17=Цены!$H$31,Цены!$L$31,IF(D17=Цены!$H$32,Цены!$L$32,IF(D17=Цены!$H$33,Цены!$L$33,IF(D17=Цены!$H$34,Цены!$L$34,IF(D17=Цены!$H$35,Цены!$L$35,IF(D17=Цены!$H$36,Цены!$L$36,IF(D17=Цены!$H$37,Цены!$L$37,IF(D17=Цены!$H$38,Цены!$L$38,IF(D17=Цены!$H$39,Цены!$L$39,IF(D17=Цены!$H$40,Цены!$L$40,IF(D17=Цены!$H$41,Цены!$L$41,IF(D17=Цены!$H$42,Цены!$L$42,IF(D17=Цены!$H$43,Цены!$L$43,IF(D17=Цены!$H$44,Цены!$L$44,IF(D17=Цены!$H$45,Цены!$L$45,IF(D17=Цены!$H$46,Цены!$L$46,IF(D17=Цены!$H$47,Цены!$L$47,IF(D17=Цены!$H$48,Цены!$L$48,IF(D17=Цены!$H$49,Цены!$L$49,IF(D17=Цены!$H$50,Цены!$L$50,IF(D17=Цены!$H$51,Цены!$L$51,IF(D17=Цены!$H$52,Цены!$L$52,IF(D17=Цены!$H$53,Цены!$L$53,IF(D17=Цены!$H$54,Цены!$L$54,IF(D17=Цены!$H$55,Цены!$L$55))))))))))))))))))))))))))))))))))))))))))))))))))))))</f>
        <v>0.39</v>
      </c>
      <c r="G17" s="339"/>
      <c r="H17" s="47">
        <f>IF(D17=Цены!$H$3,Цены!$K$3,IF(D17=Цены!$H$4,Цены!$K$4,IF(D17=Цены!$H$5,Цены!$K$5,IF(D17=Цены!$H$6,Цены!$K$6,IF(D17=Цены!$H$7,Цены!$K$7,IF(D17=Цены!$H$8,Цены!$K$8,IF(D17=Цены!$H$9,Цены!$K$9,IF(D17=Цены!$H$10,Цены!$K$10,IF(D17=Цены!$H$11,Цены!$K$11,IF(D17=Цены!$H$12,Цены!$K$12,IF(D17=Цены!$H$13,Цены!$K$13,IF(D17=Цены!$H$14,Цены!$K$14,IF(D17=Цены!$H$14,Цены!$K$14,IF(D17=Цены!$H$15,Цены!$K$15,IF(D17=Цены!$H$16,Цены!$K$16,IF(D17=Цены!$H$17,Цены!$K$17,IF(D17=Цены!$H$18,Цены!$K$18,IF(D17=Цены!$H$19,Цены!$K$19,IF(D17=Цены!$H$20,Цены!$K$20,IF(D17=Цены!$H$21,Цены!$K$21,IF(D17=Цены!$H$22,Цены!$K$22,IF(D17=Цены!$H$23,Цены!$K$23,IF(D17=Цены!$H$24,Цены!$K$24,IF(D17=Цены!$H$25,Цены!$K$25,IF(D17=Цены!$H$26,Цены!$K$26,IF(D17=Цены!$H$27,Цены!$K$27,IF(D17=Цены!$H$28,Цены!$K$28,IF(D17=Цены!$H$29,Цены!$K$29,IF(D17=Цены!$H$30,Цены!$K$30,IF(D17=Цены!$H$31,Цены!$K$31,IF(D17=Цены!$H$32,Цены!$K$32,IF(D17=Цены!$H$33,Цены!$K$33,IF(D17=Цены!$H$34,Цены!$K$34,IF(D17=Цены!$H$35,Цены!$K$35,IF(D17=Цены!$H$36,Цены!$K$36,IF(D17=Цены!$H$37,Цены!$K$37,IF(D17=Цены!$H$38,Цены!$K$38,IF(D17=Цены!$H$39,Цены!$K$39,IF(D17=Цены!$H$40,Цены!$K$40,IF(D17=Цены!$H$41,Цены!$K$41,IF(D17=Цены!$H$42,Цены!$K$42,IF(D17=Цены!$H$43,Цены!$K$43,IF(D17=Цены!$H$44,Цены!$K$44,IF(D17=Цены!$H$45,Цены!$K$45,IF(D17=Цены!$H$46,Цены!$K$46,IF(D17=Цены!$H$47,Цены!$K$47,IF(D17=Цены!$H$48,Цены!$K$48,IF(D17=Цены!$H$49,Цены!$K$49,IF(D17=Цены!$H$50,Цены!$K$50,IF(D17=Цены!$H$51,Цены!$K$51,IF(D17=Цены!$H$52,Цены!$K$52,IF(D17=Цены!$H$53,Цены!$K$53,IF(D17=Цены!$H$54,Цены!$K$54,IF(D17=Цены!$H$55,Цены!$K$55))))))))))))))))))))))))))))))))))))))))))))))))))))))</f>
        <v>822</v>
      </c>
      <c r="I17" s="265"/>
      <c r="J17" s="265"/>
      <c r="K17" s="332"/>
      <c r="L17" s="334"/>
      <c r="M17" s="334"/>
      <c r="N17" s="265"/>
      <c r="O17" s="332"/>
      <c r="P17" s="331"/>
      <c r="Q17" s="41"/>
      <c r="R17" s="37"/>
      <c r="S17" s="38" t="b">
        <f>IF(Q17=Цены!$H$3,Цены!$L$3,IF(Q17=Цены!$H$4,Цены!$L$4,IF(Q17=Цены!$H$5,Цены!$L$5,IF(Q17=Цены!$H$6,Цены!$L$6,IF(Q17=Цены!$H$7,Цены!$L$7,IF(Q17=Цены!$H$8,Цены!$L$8,IF(Q17=Цены!$H$9,Цены!$L$9,IF(Q17=Цены!$H$10,Цены!$L$10,IF(Q17=Цены!$H$11,Цены!$L$11,IF(Q17=Цены!$H$12,Цены!$L$12,IF(Q17=Цены!$H$13,Цены!$L$13,IF(Q17=Цены!$H$14,Цены!$L$14,IF(Q17=Цены!$H$14,Цены!$L$14,IF(Q17=Цены!$H$15,Цены!$L$15,IF(Q17=Цены!$H$16,Цены!$L$16,IF(Q17=Цены!$H$17,Цены!$L$17,IF(Q17=Цены!$H$18,Цены!$L$18,IF(Q17=Цены!$H$19,Цены!$L$19,IF(Q17=Цены!$H$20,Цены!$L$20,IF(Q17=Цены!$H$21,Цены!$L$21,IF(Q17=Цены!$H$22,Цены!$L$22,IF(Q17=Цены!$H$23,Цены!$L$23,IF(Q17=Цены!$H$24,Цены!$L$24,IF(Q17=Цены!$H$25,Цены!$L$25,IF(Q17=Цены!$H$26,Цены!$L$26,IF(Q17=Цены!$H$27,Цены!$L$27,IF(Q17=Цены!$H$28,Цены!$L$28,IF(Q17=Цены!$H$29,Цены!$L$29,IF(Q17=Цены!$H$30,Цены!$L$30,IF(Q17=Цены!$H$31,Цены!$L$31,IF(Q17=Цены!$H$32,Цены!$L$32,IF(Q17=Цены!$H$33,Цены!$L$33,IF(Q17=Цены!$H$34,Цены!$L$34,IF(Q17=Цены!$H$35,Цены!$L$35,IF(Q17=Цены!$H$36,Цены!$L$36,IF(Q17=Цены!$H$37,Цены!$L$37,IF(Q17=Цены!$H$38,Цены!$L$38,IF(Q17=Цены!$H$39,Цены!$L$39,IF(Q17=Цены!$H$40,Цены!$L$40,IF(Q17=Цены!$H$41,Цены!$L$41,IF(Q17=Цены!$H$42,Цены!$L$42,IF(Q17=Цены!$H$43,Цены!$L$43,IF(Q17=Цены!$H$44,Цены!$L$44,IF(Q17=Цены!$H$45,Цены!$L$45,IF(Q17=Цены!$H$46,Цены!$L$46,IF(Q17=Цены!$H$47,Цены!$L$47,IF(Q17=Цены!$H$48,Цены!$L$48,IF(Q17=Цены!$H$49,Цены!$L$49,IF(Q17=Цены!$H$50,Цены!$L$50,IF(Q17=Цены!$H$51,Цены!$L$51,IF(Q17=Цены!$H$52,Цены!$L$52,IF(Q17=Цены!$H$53,Цены!$L$53,IF(Q17=Цены!$H$54,Цены!$L$54,IF(Q17=Цены!$H$55,Цены!$L$55))))))))))))))))))))))))))))))))))))))))))))))))))))))</f>
        <v>0</v>
      </c>
      <c r="T17" s="322"/>
      <c r="U17" s="161" t="b">
        <f>IF(Q17=Цены!$H$3,Цены!$K$3,IF(Q17=Цены!$H$4,Цены!$K$4,IF(Q17=Цены!$H$5,Цены!$K$5,IF(Q17=Цены!$H$6,Цены!$K$6,IF(Q17=Цены!$H$7,Цены!$K$7,IF(Q17=Цены!$H$8,Цены!$K$8,IF(Q17=Цены!$H$9,Цены!$K$9,IF(Q17=Цены!$H$10,Цены!$K$10,IF(Q17=Цены!$H$11,Цены!$K$11,IF(Q17=Цены!$H$12,Цены!$K$12,IF(Q17=Цены!$H$13,Цены!$K$13,IF(Q17=Цены!$H$14,Цены!$K$14,IF(Q17=Цены!$H$14,Цены!$K$14,IF(Q17=Цены!$H$15,Цены!$K$15,IF(Q17=Цены!$H$16,Цены!$K$16,IF(Q17=Цены!$H$17,Цены!$K$17,IF(Q17=Цены!$H$18,Цены!$K$18,IF(Q17=Цены!$H$19,Цены!$K$19,IF(Q17=Цены!$H$20,Цены!$K$20,IF(Q17=Цены!$H$21,Цены!$K$21,IF(Q17=Цены!$H$22,Цены!$K$22,IF(Q17=Цены!$H$23,Цены!$K$23,IF(Q17=Цены!$H$24,Цены!$K$24,IF(Q17=Цены!$H$25,Цены!$K$25,IF(Q17=Цены!$H$26,Цены!$K$26,IF(Q17=Цены!$H$27,Цены!$K$27,IF(Q17=Цены!$H$28,Цены!$K$28,IF(Q17=Цены!$H$29,Цены!$K$29,IF(Q17=Цены!$H$30,Цены!$K$30,IF(Q17=Цены!$H$31,Цены!$K$31,IF(Q17=Цены!$H$32,Цены!$K$32,IF(Q17=Цены!$H$33,Цены!$K$33,IF(Q17=Цены!$H$34,Цены!$K$34,IF(Q17=Цены!$H$35,Цены!$K$35,IF(Q17=Цены!$H$36,Цены!$K$36,IF(Q17=Цены!$H$37,Цены!$K$37,IF(Q17=Цены!$H$38,Цены!$K$38,IF(Q17=Цены!$H$39,Цены!$K$39,IF(Q17=Цены!$H$40,Цены!$K$40,IF(Q17=Цены!$H$41,Цены!$K$41,IF(Q17=Цены!$H$42,Цены!$K$42,IF(Q17=Цены!$H$43,Цены!$K$43,IF(Q17=Цены!$H$44,Цены!$K$44,IF(Q17=Цены!$H$45,Цены!$K$45,IF(Q17=Цены!$H$46,Цены!$K$46,IF(Q17=Цены!$H$47,Цены!$K$47,IF(Q17=Цены!$H$48,Цены!$K$48,IF(Q17=Цены!$H$49,Цены!$K$49,IF(Q17=Цены!$H$50,Цены!$K$50,IF(Q17=Цены!$H$51,Цены!$K$51,IF(Q17=Цены!$H$52,Цены!$K$52,IF(Q17=Цены!$H$53,Цены!$K$53,IF(Q17=Цены!$H$54,Цены!$K$54,IF(Q17=Цены!$H$55,Цены!$K$55))))))))))))))))))))))))))))))))))))))))))))))))))))))</f>
        <v>0</v>
      </c>
      <c r="V17" s="265"/>
      <c r="W17" s="265"/>
      <c r="X17" s="323"/>
      <c r="Y17" s="324"/>
      <c r="Z17" s="324"/>
      <c r="AA17" s="265"/>
      <c r="AB17" s="323"/>
      <c r="AC17" s="325"/>
      <c r="AD17" s="70" t="s">
        <v>95</v>
      </c>
      <c r="AE17" s="67">
        <v>4</v>
      </c>
      <c r="AF17" s="68">
        <f>IF(AD17=Цены!$H$3,Цены!$L$3,IF(AD17=Цены!$H$4,Цены!$L$4,IF(AD17=Цены!$H$5,Цены!$L$5,IF(AD17=Цены!$H$6,Цены!$L$6,IF(AD17=Цены!$H$7,Цены!$L$7,IF(AD17=Цены!$H$8,Цены!$L$8,IF(AD17=Цены!$H$9,Цены!$L$9,IF(AD17=Цены!$H$10,Цены!$L$10,IF(AD17=Цены!$H$11,Цены!$L$11,IF(AD17=Цены!$H$12,Цены!$L$12,IF(AD17=Цены!$H$13,Цены!$L$13,IF(AD17=Цены!$H$14,Цены!$L$14,IF(AD17=Цены!$H$14,Цены!$L$14,IF(AD17=Цены!$H$15,Цены!$L$15,IF(AD17=Цены!$H$16,Цены!$L$16,IF(AD17=Цены!$H$17,Цены!$L$17,IF(AD17=Цены!$H$18,Цены!$L$18,IF(AD17=Цены!$H$19,Цены!$L$19,IF(AD17=Цены!$H$20,Цены!$L$20,IF(AD17=Цены!$H$21,Цены!$L$21,IF(AD17=Цены!$H$22,Цены!$L$22,IF(AD17=Цены!$H$23,Цены!$L$23,IF(AD17=Цены!$H$24,Цены!$L$24,IF(AD17=Цены!$H$25,Цены!$L$25,IF(AD17=Цены!$H$26,Цены!$L$26,IF(AD17=Цены!$H$27,Цены!$L$27,IF(AD17=Цены!$H$28,Цены!$L$28,IF(AD17=Цены!$H$29,Цены!$L$29,IF(AD17=Цены!$H$30,Цены!$L$30,IF(AD17=Цены!$H$31,Цены!$L$31,IF(AD17=Цены!$H$32,Цены!$L$32,IF(AD17=Цены!$H$33,Цены!$L$33,IF(AD17=Цены!$H$34,Цены!$L$34,IF(AD17=Цены!$H$35,Цены!$L$35,IF(AD17=Цены!$H$36,Цены!$L$36,IF(AD17=Цены!$H$37,Цены!$L$37,IF(AD17=Цены!$H$38,Цены!$L$38,IF(AD17=Цены!$H$39,Цены!$L$39,IF(AD17=Цены!$H$40,Цены!$L$40,IF(AD17=Цены!$H$41,Цены!$L$41,IF(AD17=Цены!$H$42,Цены!$L$42,IF(AD17=Цены!$H$43,Цены!$L$43,IF(AD17=Цены!$H$44,Цены!$L$44,IF(AD17=Цены!$H$45,Цены!$L$45,IF(AD17=Цены!$H$46,Цены!$L$46,IF(AD17=Цены!$H$47,Цены!$L$47,IF(AD17=Цены!$H$48,Цены!$L$48,IF(AD17=Цены!$H$49,Цены!$L$49,IF(AD17=Цены!$H$50,Цены!$L$50,IF(AD17=Цены!$H$51,Цены!$L$51,IF(AD17=Цены!$H$52,Цены!$L$52,IF(AD17=Цены!$H$53,Цены!$L$53,IF(AD17=Цены!$H$54,Цены!$L$54,IF(AD17=Цены!$H$55,Цены!$L$55))))))))))))))))))))))))))))))))))))))))))))))))))))))</f>
        <v>2.6</v>
      </c>
      <c r="AG17" s="311"/>
      <c r="AH17" s="69">
        <f>IF(AD17=Цены!$H$3,Цены!$K$3,IF(AD17=Цены!$H$4,Цены!$K$4,IF(AD17=Цены!$H$5,Цены!$K$5,IF(AD17=Цены!$H$6,Цены!$K$6,IF(AD17=Цены!$H$7,Цены!$K$7,IF(AD17=Цены!$H$8,Цены!$K$8,IF(AD17=Цены!$H$9,Цены!$K$9,IF(AD17=Цены!$H$10,Цены!$K$10,IF(AD17=Цены!$H$11,Цены!$K$11,IF(AD17=Цены!$H$12,Цены!$K$12,IF(AD17=Цены!$H$13,Цены!$K$13,IF(AD17=Цены!$H$14,Цены!$K$14,IF(AD17=Цены!$H$14,Цены!$K$14,IF(AD17=Цены!$H$15,Цены!$K$15,IF(AD17=Цены!$H$16,Цены!$K$16,IF(AD17=Цены!$H$17,Цены!$K$17,IF(AD17=Цены!$H$18,Цены!$K$18,IF(AD17=Цены!$H$19,Цены!$K$19,IF(AD17=Цены!$H$20,Цены!$K$20,IF(AD17=Цены!$H$21,Цены!$K$21,IF(AD17=Цены!$H$22,Цены!$K$22,IF(AD17=Цены!$H$23,Цены!$K$23,IF(AD17=Цены!$H$24,Цены!$K$24,IF(AD17=Цены!$H$25,Цены!$K$25,IF(AD17=Цены!$H$26,Цены!$K$26,IF(AD17=Цены!$H$27,Цены!$K$27,IF(AD17=Цены!$H$28,Цены!$K$28,IF(AD17=Цены!$H$29,Цены!$K$29,IF(AD17=Цены!$H$30,Цены!$K$30,IF(AD17=Цены!$H$31,Цены!$K$31,IF(AD17=Цены!$H$32,Цены!$K$32,IF(AD17=Цены!$H$33,Цены!$K$33,IF(AD17=Цены!$H$34,Цены!$K$34,IF(AD17=Цены!$H$35,Цены!$K$35,IF(AD17=Цены!$H$36,Цены!$K$36,IF(AD17=Цены!$H$37,Цены!$K$37,IF(AD17=Цены!$H$38,Цены!$K$38,IF(AD17=Цены!$H$39,Цены!$K$39,IF(AD17=Цены!$H$40,Цены!$K$40,IF(AD17=Цены!$H$41,Цены!$K$41,IF(AD17=Цены!$H$42,Цены!$K$42,IF(AD17=Цены!$H$43,Цены!$K$43,IF(AD17=Цены!$H$44,Цены!$K$44,IF(AD17=Цены!$H$45,Цены!$K$45,IF(AD17=Цены!$H$46,Цены!$K$46,IF(AD17=Цены!$H$47,Цены!$K$47,IF(AD17=Цены!$H$48,Цены!$K$48,IF(AD17=Цены!$H$49,Цены!$K$49,IF(AD17=Цены!$H$50,Цены!$K$50,IF(AD17=Цены!$H$51,Цены!$K$51,IF(AD17=Цены!$H$52,Цены!$K$52,IF(AD17=Цены!$H$53,Цены!$K$53,IF(AD17=Цены!$H$54,Цены!$K$54,IF(AD17=Цены!$H$55,Цены!$K$55))))))))))))))))))))))))))))))))))))))))))))))))))))))</f>
        <v>552</v>
      </c>
      <c r="AI17" s="265"/>
      <c r="AJ17" s="265"/>
      <c r="AK17" s="312"/>
      <c r="AL17" s="314"/>
      <c r="AM17" s="314"/>
      <c r="AN17" s="265"/>
      <c r="AO17" s="312"/>
      <c r="AP17" s="315"/>
      <c r="AQ17" s="82" t="s">
        <v>147</v>
      </c>
      <c r="AR17" s="131">
        <v>2</v>
      </c>
      <c r="AS17" s="80">
        <f>IF(AQ17=Цены!$H$3,Цены!$L$3,IF(AQ17=Цены!$H$4,Цены!$L$4,IF(AQ17=Цены!$H$5,Цены!$L$5,IF(AQ17=Цены!$H$6,Цены!$L$6,IF(AQ17=Цены!$H$7,Цены!$L$7,IF(AQ17=Цены!$H$8,Цены!$L$8,IF(AQ17=Цены!$H$9,Цены!$L$9,IF(AQ17=Цены!$H$10,Цены!$L$10,IF(AQ17=Цены!$H$11,Цены!$L$11,IF(AQ17=Цены!$H$12,Цены!$L$12,IF(AQ17=Цены!$H$13,Цены!$L$13,IF(AQ17=Цены!$H$14,Цены!$L$14,IF(AQ17=Цены!$H$14,Цены!$L$14,IF(AQ17=Цены!$H$15,Цены!$L$15,IF(AQ17=Цены!$H$16,Цены!$L$16,IF(AQ17=Цены!$H$17,Цены!$L$17,IF(AQ17=Цены!$H$18,Цены!$L$18,IF(AQ17=Цены!$H$19,Цены!$L$19,IF(AQ17=Цены!$H$20,Цены!$L$20,IF(AQ17=Цены!$H$21,Цены!$L$21,IF(AQ17=Цены!$H$22,Цены!$L$22,IF(AQ17=Цены!$H$23,Цены!$L$23,IF(AQ17=Цены!$H$24,Цены!$L$24,IF(AQ17=Цены!$H$25,Цены!$L$25,IF(AQ17=Цены!$H$26,Цены!$L$26,IF(AQ17=Цены!$H$27,Цены!$L$27,IF(AQ17=Цены!$H$28,Цены!$L$28,IF(AQ17=Цены!$H$29,Цены!$L$29,IF(AQ17=Цены!$H$30,Цены!$L$30,IF(AQ17=Цены!$H$31,Цены!$L$31,IF(AQ17=Цены!$H$32,Цены!$L$32,IF(AQ17=Цены!$H$33,Цены!$L$33,IF(AQ17=Цены!$H$34,Цены!$L$34,IF(AQ17=Цены!$H$35,Цены!$L$35,IF(AQ17=Цены!$H$36,Цены!$L$36,IF(AQ17=Цены!$H$37,Цены!$L$37,IF(AQ17=Цены!$H$38,Цены!$L$38,IF(AQ17=Цены!$H$39,Цены!$L$39,IF(AQ17=Цены!$H$40,Цены!$L$40,IF(AQ17=Цены!$H$41,Цены!$L$41,IF(AQ17=Цены!$H$42,Цены!$L$42,IF(AQ17=Цены!$H$43,Цены!$L$43,IF(AQ17=Цены!$H$44,Цены!$L$44,IF(AQ17=Цены!$H$45,Цены!$L$45,IF(AQ17=Цены!$H$46,Цены!$L$46,IF(AQ17=Цены!$H$47,Цены!$L$47,IF(AQ17=Цены!$H$48,Цены!$L$48,IF(AQ17=Цены!$H$49,Цены!$L$49,IF(AQ17=Цены!$H$50,Цены!$L$50,IF(AQ17=Цены!$H$51,Цены!$L$51,IF(AQ17=Цены!$H$52,Цены!$L$52,IF(AQ17=Цены!$H$53,Цены!$L$53,IF(AQ17=Цены!$H$54,Цены!$L$54,IF(AQ17=Цены!$H$55,Цены!$L$55))))))))))))))))))))))))))))))))))))))))))))))))))))))</f>
        <v>2.6</v>
      </c>
      <c r="AT17" s="271"/>
      <c r="AU17" s="81">
        <f>IF(AQ17=Цены!$H$3,Цены!$K$3,IF(AQ17=Цены!$H$4,Цены!$K$4,IF(AQ17=Цены!$H$5,Цены!$K$5,IF(AQ17=Цены!$H$6,Цены!$K$6,IF(AQ17=Цены!$H$7,Цены!$K$7,IF(AQ17=Цены!$H$8,Цены!$K$8,IF(AQ17=Цены!$H$9,Цены!$K$9,IF(AQ17=Цены!$H$10,Цены!$K$10,IF(AQ17=Цены!$H$11,Цены!$K$11,IF(AQ17=Цены!$H$12,Цены!$K$12,IF(AQ17=Цены!$H$13,Цены!$K$13,IF(AQ17=Цены!$H$14,Цены!$K$14,IF(AQ17=Цены!$H$14,Цены!$K$14,IF(AQ17=Цены!$H$15,Цены!$K$15,IF(AQ17=Цены!$H$16,Цены!$K$16,IF(AQ17=Цены!$H$17,Цены!$K$17,IF(AQ17=Цены!$H$18,Цены!$K$18,IF(AQ17=Цены!$H$19,Цены!$K$19,IF(AQ17=Цены!$H$20,Цены!$K$20,IF(AQ17=Цены!$H$21,Цены!$K$21,IF(AQ17=Цены!$H$22,Цены!$K$22,IF(AQ17=Цены!$H$23,Цены!$K$23,IF(AQ17=Цены!$H$24,Цены!$K$24,IF(AQ17=Цены!$H$25,Цены!$K$25,IF(AQ17=Цены!$H$26,Цены!$K$26,IF(AQ17=Цены!$H$27,Цены!$K$27,IF(AQ17=Цены!$H$28,Цены!$K$28,IF(AQ17=Цены!$H$29,Цены!$K$29,IF(AQ17=Цены!$H$30,Цены!$K$30,IF(AQ17=Цены!$H$31,Цены!$K$31,IF(AQ17=Цены!$H$32,Цены!$K$32,IF(AQ17=Цены!$H$33,Цены!$K$33,IF(AQ17=Цены!$H$34,Цены!$K$34,IF(AQ17=Цены!$H$35,Цены!$K$35,IF(AQ17=Цены!$H$36,Цены!$K$36,IF(AQ17=Цены!$H$37,Цены!$K$37,IF(AQ17=Цены!$H$38,Цены!$K$38,IF(AQ17=Цены!$H$39,Цены!$K$39,IF(AQ17=Цены!$H$40,Цены!$K$40,IF(AQ17=Цены!$H$41,Цены!$K$41,IF(AQ17=Цены!$H$42,Цены!$K$42,IF(AQ17=Цены!$H$43,Цены!$K$43,IF(AQ17=Цены!$H$44,Цены!$K$44,IF(AQ17=Цены!$H$45,Цены!$K$45,IF(AQ17=Цены!$H$46,Цены!$K$46,IF(AQ17=Цены!$H$47,Цены!$K$47,IF(AQ17=Цены!$H$48,Цены!$K$48,IF(AQ17=Цены!$H$49,Цены!$K$49,IF(AQ17=Цены!$H$50,Цены!$K$50,IF(AQ17=Цены!$H$51,Цены!$K$51,IF(AQ17=Цены!$H$52,Цены!$K$52,IF(AQ17=Цены!$H$53,Цены!$K$53,IF(AQ17=Цены!$H$54,Цены!$K$54,IF(AQ17=Цены!$H$55,Цены!$K$55))))))))))))))))))))))))))))))))))))))))))))))))))))))</f>
        <v>552</v>
      </c>
      <c r="AV17" s="265"/>
      <c r="AW17" s="265"/>
      <c r="AX17" s="274"/>
      <c r="AY17" s="304"/>
      <c r="AZ17" s="304"/>
      <c r="BA17" s="265"/>
      <c r="BB17" s="274"/>
      <c r="BC17" s="305"/>
      <c r="BD17" s="244"/>
      <c r="BE17" s="105"/>
      <c r="BF17" s="106"/>
      <c r="BG17" s="103" t="b">
        <f>IF(BE17=Цены!$H$3,Цены!$L$3,IF(BE17=Цены!$H$4,Цены!$L$4,IF(BE17=Цены!$H$5,Цены!$L$5,IF(BE17=Цены!$H$6,Цены!$L$6,IF(BE17=Цены!$H$7,Цены!$L$7,IF(BE17=Цены!$H$8,Цены!$L$8,IF(BE17=Цены!$H$9,Цены!$L$9,IF(BE17=Цены!$H$10,Цены!$L$10,IF(BE17=Цены!$H$11,Цены!$L$11,IF(BE17=Цены!$H$12,Цены!$L$12,IF(BE17=Цены!$H$13,Цены!$L$13,IF(BE17=Цены!$H$14,Цены!$L$14,IF(BE17=Цены!$H$14,Цены!$L$14,IF(BE17=Цены!$H$15,Цены!$L$15,IF(BE17=Цены!$H$16,Цены!$L$16,IF(BE17=Цены!$H$17,Цены!$L$17,IF(BE17=Цены!$H$18,Цены!$L$18,IF(BE17=Цены!$H$19,Цены!$L$19,IF(BE17=Цены!$H$20,Цены!$L$20,IF(BE17=Цены!$H$21,Цены!$L$21,IF(BE17=Цены!$H$22,Цены!$L$22,IF(BE17=Цены!$H$23,Цены!$L$23,IF(BE17=Цены!$H$24,Цены!$L$24,IF(BE17=Цены!$H$25,Цены!$L$25,IF(BE17=Цены!$H$26,Цены!$L$26,IF(BE17=Цены!$H$27,Цены!$L$27,IF(BE17=Цены!$H$28,Цены!$L$28,IF(BE17=Цены!$H$29,Цены!$L$29,IF(BE17=Цены!$H$30,Цены!$L$30,IF(BE17=Цены!$H$31,Цены!$L$31,IF(BE17=Цены!$H$32,Цены!$L$32,IF(BE17=Цены!$H$33,Цены!$L$33,IF(BE17=Цены!$H$34,Цены!$L$34,IF(BE17=Цены!$H$35,Цены!$L$35,IF(BE17=Цены!$H$36,Цены!$L$36,IF(BE17=Цены!$H$37,Цены!$L$37,IF(BE17=Цены!$H$38,Цены!$L$38,IF(BE17=Цены!$H$39,Цены!$L$39,IF(BE17=Цены!$H$40,Цены!$L$40,IF(BE17=Цены!$H$41,Цены!$L$41,IF(BE17=Цены!$H$42,Цены!$L$42,IF(BE17=Цены!$H$43,Цены!$L$43,IF(BE17=Цены!$H$44,Цены!$L$44,IF(BE17=Цены!$H$45,Цены!$L$45,IF(BE17=Цены!$H$46,Цены!$L$46,IF(BE17=Цены!$H$47,Цены!$L$47,IF(BE17=Цены!$H$48,Цены!$L$48,IF(BE17=Цены!$H$49,Цены!$L$49,IF(BE17=Цены!$H$50,Цены!$L$50,IF(BE17=Цены!$H$51,Цены!$L$51,IF(BE17=Цены!$H$52,Цены!$L$52,IF(BE17=Цены!$H$53,Цены!$L$53,IF(BE17=Цены!$H$54,Цены!$L$54,IF(BE17=Цены!$H$55,Цены!$L$55))))))))))))))))))))))))))))))))))))))))))))))))))))))</f>
        <v>0</v>
      </c>
      <c r="BH17" s="280"/>
      <c r="BI17" s="104" t="b">
        <f>IF(BE17=Цены!$H$3,Цены!$K$3,IF(BE17=Цены!$H$4,Цены!$K$4,IF(BE17=Цены!$H$5,Цены!$K$5,IF(BE17=Цены!$H$6,Цены!$K$6,IF(BE17=Цены!$H$7,Цены!$K$7,IF(BE17=Цены!$H$8,Цены!$K$8,IF(BE17=Цены!$H$9,Цены!$K$9,IF(BE17=Цены!$H$10,Цены!$K$10,IF(BE17=Цены!$H$11,Цены!$K$11,IF(BE17=Цены!$H$12,Цены!$K$12,IF(BE17=Цены!$H$13,Цены!$K$13,IF(BE17=Цены!$H$14,Цены!$K$14,IF(BE17=Цены!$H$14,Цены!$K$14,IF(BE17=Цены!$H$15,Цены!$K$15,IF(BE17=Цены!$H$16,Цены!$K$16,IF(BE17=Цены!$H$17,Цены!$K$17,IF(BE17=Цены!$H$18,Цены!$K$18,IF(BE17=Цены!$H$19,Цены!$K$19,IF(BE17=Цены!$H$20,Цены!$K$20,IF(BE17=Цены!$H$21,Цены!$K$21,IF(BE17=Цены!$H$22,Цены!$K$22,IF(BE17=Цены!$H$23,Цены!$K$23,IF(BE17=Цены!$H$24,Цены!$K$24,IF(BE17=Цены!$H$25,Цены!$K$25,IF(BE17=Цены!$H$26,Цены!$K$26,IF(BE17=Цены!$H$27,Цены!$K$27,IF(BE17=Цены!$H$28,Цены!$K$28,IF(BE17=Цены!$H$29,Цены!$K$29,IF(BE17=Цены!$H$30,Цены!$K$30,IF(BE17=Цены!$H$31,Цены!$K$31,IF(BE17=Цены!$H$32,Цены!$K$32,IF(BE17=Цены!$H$33,Цены!$K$33,IF(BE17=Цены!$H$34,Цены!$K$34,IF(BE17=Цены!$H$35,Цены!$K$35,IF(BE17=Цены!$H$36,Цены!$K$36,IF(BE17=Цены!$H$37,Цены!$K$37,IF(BE17=Цены!$H$38,Цены!$K$38,IF(BE17=Цены!$H$39,Цены!$K$39,IF(BE17=Цены!$H$40,Цены!$K$40,IF(BE17=Цены!$H$41,Цены!$K$41,IF(BE17=Цены!$H$42,Цены!$K$42,IF(BE17=Цены!$H$43,Цены!$K$43,IF(BE17=Цены!$H$44,Цены!$K$44,IF(BE17=Цены!$H$45,Цены!$K$45,IF(BE17=Цены!$H$46,Цены!$K$46,IF(BE17=Цены!$H$47,Цены!$K$47,IF(BE17=Цены!$H$48,Цены!$K$48,IF(BE17=Цены!$H$49,Цены!$K$49,IF(BE17=Цены!$H$50,Цены!$K$50,IF(BE17=Цены!$H$51,Цены!$K$51,IF(BE17=Цены!$H$52,Цены!$K$52,IF(BE17=Цены!$H$53,Цены!$K$53,IF(BE17=Цены!$H$54,Цены!$K$54,IF(BE17=Цены!$H$55,Цены!$K$55))))))))))))))))))))))))))))))))))))))))))))))))))))))</f>
        <v>0</v>
      </c>
      <c r="BJ17" s="265"/>
      <c r="BK17" s="265"/>
      <c r="BL17" s="281"/>
      <c r="BM17" s="292"/>
      <c r="BN17" s="292"/>
      <c r="BO17" s="265"/>
      <c r="BP17" s="281"/>
      <c r="BQ17" s="293"/>
      <c r="BR17" s="111"/>
      <c r="BS17" s="108"/>
      <c r="BT17" s="109" t="b">
        <f>IF(BR17=Цены!$H$3,Цены!$L$3,IF(BR17=Цены!$H$4,Цены!$L$4,IF(BR17=Цены!$H$5,Цены!$L$5,IF(BR17=Цены!$H$6,Цены!$L$6,IF(BR17=Цены!$H$7,Цены!$L$7,IF(BR17=Цены!$H$8,Цены!$L$8,IF(BR17=Цены!$H$9,Цены!$L$9,IF(BR17=Цены!$H$10,Цены!$L$10,IF(BR17=Цены!$H$11,Цены!$L$11,IF(BR17=Цены!$H$12,Цены!$L$12,IF(BR17=Цены!$H$13,Цены!$L$13,IF(BR17=Цены!$H$14,Цены!$L$14,IF(BR17=Цены!$H$14,Цены!$L$14,IF(BR17=Цены!$H$15,Цены!$L$15,IF(BR17=Цены!$H$16,Цены!$L$16,IF(BR17=Цены!$H$17,Цены!$L$17,IF(BR17=Цены!$H$18,Цены!$L$18,IF(BR17=Цены!$H$19,Цены!$L$19,IF(BR17=Цены!$H$20,Цены!$L$20,IF(BR17=Цены!$H$21,Цены!$L$21,IF(BR17=Цены!$H$22,Цены!$L$22,IF(BR17=Цены!$H$23,Цены!$L$23,IF(BR17=Цены!$H$24,Цены!$L$24,IF(BR17=Цены!$H$25,Цены!$L$25,IF(BR17=Цены!$H$26,Цены!$L$26,IF(BR17=Цены!$H$27,Цены!$L$27,IF(BR17=Цены!$H$28,Цены!$L$28,IF(BR17=Цены!$H$29,Цены!$L$29,IF(BR17=Цены!$H$30,Цены!$L$30,IF(BR17=Цены!$H$31,Цены!$L$31,IF(BR17=Цены!$H$32,Цены!$L$32,IF(BR17=Цены!$H$33,Цены!$L$33,IF(BR17=Цены!$H$34,Цены!$L$34,IF(BR17=Цены!$H$35,Цены!$L$35,IF(BR17=Цены!$H$36,Цены!$L$36,IF(BR17=Цены!$H$37,Цены!$L$37,IF(BR17=Цены!$H$38,Цены!$L$38,IF(BR17=Цены!$H$39,Цены!$L$39,IF(BR17=Цены!$H$40,Цены!$L$40,IF(BR17=Цены!$H$41,Цены!$L$41,IF(BR17=Цены!$H$42,Цены!$L$42,IF(BR17=Цены!$H$43,Цены!$L$43,IF(BR17=Цены!$H$44,Цены!$L$44,IF(BR17=Цены!$H$45,Цены!$L$45,IF(BR17=Цены!$H$46,Цены!$L$46,IF(BR17=Цены!$H$47,Цены!$L$47,IF(BR17=Цены!$H$48,Цены!$L$48,IF(BR17=Цены!$H$49,Цены!$L$49,IF(BR17=Цены!$H$50,Цены!$L$50,IF(BR17=Цены!$H$51,Цены!$L$51,IF(BR17=Цены!$H$52,Цены!$L$52,IF(BR17=Цены!$H$53,Цены!$L$53,IF(BR17=Цены!$H$54,Цены!$L$54,IF(BR17=Цены!$H$55,Цены!$L$55))))))))))))))))))))))))))))))))))))))))))))))))))))))</f>
        <v>0</v>
      </c>
      <c r="BU17" s="284"/>
      <c r="BV17" s="110" t="b">
        <f>IF(BR17=Цены!$H$3,Цены!$K$3,IF(BR17=Цены!$H$4,Цены!$K$4,IF(BR17=Цены!$H$5,Цены!$K$5,IF(BR17=Цены!$H$6,Цены!$K$6,IF(BR17=Цены!$H$7,Цены!$K$7,IF(BR17=Цены!$H$8,Цены!$K$8,IF(BR17=Цены!$H$9,Цены!$K$9,IF(BR17=Цены!$H$10,Цены!$K$10,IF(BR17=Цены!$H$11,Цены!$K$11,IF(BR17=Цены!$H$12,Цены!$K$12,IF(BR17=Цены!$H$13,Цены!$K$13,IF(BR17=Цены!$H$14,Цены!$K$14,IF(BR17=Цены!$H$14,Цены!$K$14,IF(BR17=Цены!$H$15,Цены!$K$15,IF(BR17=Цены!$H$16,Цены!$K$16,IF(BR17=Цены!$H$17,Цены!$K$17,IF(BR17=Цены!$H$18,Цены!$K$18,IF(BR17=Цены!$H$19,Цены!$K$19,IF(BR17=Цены!$H$20,Цены!$K$20,IF(BR17=Цены!$H$21,Цены!$K$21,IF(BR17=Цены!$H$22,Цены!$K$22,IF(BR17=Цены!$H$23,Цены!$K$23,IF(BR17=Цены!$H$24,Цены!$K$24,IF(BR17=Цены!$H$25,Цены!$K$25,IF(BR17=Цены!$H$26,Цены!$K$26,IF(BR17=Цены!$H$27,Цены!$K$27,IF(BR17=Цены!$H$28,Цены!$K$28,IF(BR17=Цены!$H$29,Цены!$K$29,IF(BR17=Цены!$H$30,Цены!$K$30,IF(BR17=Цены!$H$31,Цены!$K$31,IF(BR17=Цены!$H$32,Цены!$K$32,IF(BR17=Цены!$H$33,Цены!$K$33,IF(BR17=Цены!$H$34,Цены!$K$34,IF(BR17=Цены!$H$35,Цены!$K$35,IF(BR17=Цены!$H$36,Цены!$K$36,IF(BR17=Цены!$H$37,Цены!$K$37,IF(BR17=Цены!$H$38,Цены!$K$38,IF(BR17=Цены!$H$39,Цены!$K$39,IF(BR17=Цены!$H$40,Цены!$K$40,IF(BR17=Цены!$H$41,Цены!$K$41,IF(BR17=Цены!$H$42,Цены!$K$42,IF(BR17=Цены!$H$43,Цены!$K$43,IF(BR17=Цены!$H$44,Цены!$K$44,IF(BR17=Цены!$H$45,Цены!$K$45,IF(BR17=Цены!$H$46,Цены!$K$46,IF(BR17=Цены!$H$47,Цены!$K$47,IF(BR17=Цены!$H$48,Цены!$K$48,IF(BR17=Цены!$H$49,Цены!$K$49,IF(BR17=Цены!$H$50,Цены!$K$50,IF(BR17=Цены!$H$51,Цены!$K$51,IF(BR17=Цены!$H$52,Цены!$K$52,IF(BR17=Цены!$H$53,Цены!$K$53,IF(BR17=Цены!$H$54,Цены!$K$54,IF(BR17=Цены!$H$55,Цены!$K$55))))))))))))))))))))))))))))))))))))))))))))))))))))))</f>
        <v>0</v>
      </c>
      <c r="BW17" s="265"/>
      <c r="BX17" s="265"/>
      <c r="BY17" s="285"/>
      <c r="BZ17" s="290"/>
      <c r="CA17" s="290"/>
      <c r="CB17" s="265"/>
      <c r="CC17" s="285"/>
      <c r="CD17" s="291"/>
      <c r="CE17" s="115" t="s">
        <v>121</v>
      </c>
      <c r="CF17" s="112">
        <v>1</v>
      </c>
      <c r="CG17" s="113">
        <f>IF(CE17=Цены!$H$3,Цены!$L$3,IF(CE17=Цены!$H$4,Цены!$L$4,IF(CE17=Цены!$H$5,Цены!$L$5,IF(CE17=Цены!$H$6,Цены!$L$6,IF(CE17=Цены!$H$7,Цены!$L$7,IF(CE17=Цены!$H$8,Цены!$L$8,IF(CE17=Цены!$H$9,Цены!$L$9,IF(CE17=Цены!$H$10,Цены!$L$10,IF(CE17=Цены!$H$11,Цены!$L$11,IF(CE17=Цены!$H$12,Цены!$L$12,IF(CE17=Цены!$H$13,Цены!$L$13,IF(CE17=Цены!$H$14,Цены!$L$14,IF(CE17=Цены!$H$14,Цены!$L$14,IF(CE17=Цены!$H$15,Цены!$L$15,IF(CE17=Цены!$H$16,Цены!$L$16,IF(CE17=Цены!$H$17,Цены!$L$17,IF(CE17=Цены!$H$18,Цены!$L$18,IF(CE17=Цены!$H$19,Цены!$L$19,IF(CE17=Цены!$H$20,Цены!$L$20,IF(CE17=Цены!$H$21,Цены!$L$21,IF(CE17=Цены!$H$22,Цены!$L$22,IF(CE17=Цены!$H$23,Цены!$L$23,IF(CE17=Цены!$H$24,Цены!$L$24,IF(CE17=Цены!$H$25,Цены!$L$25,IF(CE17=Цены!$H$26,Цены!$L$26,IF(CE17=Цены!$H$27,Цены!$L$27,IF(CE17=Цены!$H$28,Цены!$L$28,IF(CE17=Цены!$H$29,Цены!$L$29,IF(CE17=Цены!$H$30,Цены!$L$30,IF(CE17=Цены!$H$31,Цены!$L$31,IF(CE17=Цены!$H$32,Цены!$L$32,IF(CE17=Цены!$H$33,Цены!$L$33,IF(CE17=Цены!$H$34,Цены!$L$34,IF(CE17=Цены!$H$35,Цены!$L$35,IF(CE17=Цены!$H$36,Цены!$L$36,IF(CE17=Цены!$H$37,Цены!$L$37,IF(CE17=Цены!$H$38,Цены!$L$38,IF(CE17=Цены!$H$39,Цены!$L$39,IF(CE17=Цены!$H$40,Цены!$L$40,IF(CE17=Цены!$H$41,Цены!$L$41,IF(CE17=Цены!$H$42,Цены!$L$42,IF(CE17=Цены!$H$43,Цены!$L$43,IF(CE17=Цены!$H$44,Цены!$L$44,IF(CE17=Цены!$H$45,Цены!$L$45,IF(CE17=Цены!$H$46,Цены!$L$46,IF(CE17=Цены!$H$47,Цены!$L$47,IF(CE17=Цены!$H$48,Цены!$L$48,IF(CE17=Цены!$H$49,Цены!$L$49,IF(CE17=Цены!$H$50,Цены!$L$50,IF(CE17=Цены!$H$51,Цены!$L$51,IF(CE17=Цены!$H$52,Цены!$L$52,IF(CE17=Цены!$H$53,Цены!$L$53,IF(CE17=Цены!$H$54,Цены!$L$54,IF(CE17=Цены!$H$55,Цены!$L$55))))))))))))))))))))))))))))))))))))))))))))))))))))))</f>
        <v>1.32E-2</v>
      </c>
      <c r="CH17" s="282"/>
      <c r="CI17" s="114">
        <f>IF(CE17=Цены!$H$3,Цены!$K$3,IF(CE17=Цены!$H$4,Цены!$K$4,IF(CE17=Цены!$H$5,Цены!$K$5,IF(CE17=Цены!$H$6,Цены!$K$6,IF(CE17=Цены!$H$7,Цены!$K$7,IF(CE17=Цены!$H$8,Цены!$K$8,IF(CE17=Цены!$H$9,Цены!$K$9,IF(CE17=Цены!$H$10,Цены!$K$10,IF(CE17=Цены!$H$11,Цены!$K$11,IF(CE17=Цены!$H$12,Цены!$K$12,IF(CE17=Цены!$H$13,Цены!$K$13,IF(CE17=Цены!$H$14,Цены!$K$14,IF(CE17=Цены!$H$14,Цены!$K$14,IF(CE17=Цены!$H$15,Цены!$K$15,IF(CE17=Цены!$H$16,Цены!$K$16,IF(CE17=Цены!$H$17,Цены!$K$17,IF(CE17=Цены!$H$18,Цены!$K$18,IF(CE17=Цены!$H$19,Цены!$K$19,IF(CE17=Цены!$H$20,Цены!$K$20,IF(CE17=Цены!$H$21,Цены!$K$21,IF(CE17=Цены!$H$22,Цены!$K$22,IF(CE17=Цены!$H$23,Цены!$K$23,IF(CE17=Цены!$H$24,Цены!$K$24,IF(CE17=Цены!$H$25,Цены!$K$25,IF(CE17=Цены!$H$26,Цены!$K$26,IF(CE17=Цены!$H$27,Цены!$K$27,IF(CE17=Цены!$H$28,Цены!$K$28,IF(CE17=Цены!$H$29,Цены!$K$29,IF(CE17=Цены!$H$30,Цены!$K$30,IF(CE17=Цены!$H$31,Цены!$K$31,IF(CE17=Цены!$H$32,Цены!$K$32,IF(CE17=Цены!$H$33,Цены!$K$33,IF(CE17=Цены!$H$34,Цены!$K$34,IF(CE17=Цены!$H$35,Цены!$K$35,IF(CE17=Цены!$H$36,Цены!$K$36,IF(CE17=Цены!$H$37,Цены!$K$37,IF(CE17=Цены!$H$38,Цены!$K$38,IF(CE17=Цены!$H$39,Цены!$K$39,IF(CE17=Цены!$H$40,Цены!$K$40,IF(CE17=Цены!$H$41,Цены!$K$41,IF(CE17=Цены!$H$42,Цены!$K$42,IF(CE17=Цены!$H$43,Цены!$K$43,IF(CE17=Цены!$H$44,Цены!$K$44,IF(CE17=Цены!$H$45,Цены!$K$45,IF(CE17=Цены!$H$46,Цены!$K$46,IF(CE17=Цены!$H$47,Цены!$K$47,IF(CE17=Цены!$H$48,Цены!$K$48,IF(CE17=Цены!$H$49,Цены!$K$49,IF(CE17=Цены!$H$50,Цены!$K$50,IF(CE17=Цены!$H$51,Цены!$K$51,IF(CE17=Цены!$H$52,Цены!$K$52,IF(CE17=Цены!$H$53,Цены!$K$53,IF(CE17=Цены!$H$54,Цены!$K$54,IF(CE17=Цены!$H$55,Цены!$K$55))))))))))))))))))))))))))))))))))))))))))))))))))))))</f>
        <v>54</v>
      </c>
      <c r="CJ17" s="265"/>
      <c r="CK17" s="265"/>
      <c r="CL17" s="283"/>
      <c r="CM17" s="288"/>
      <c r="CN17" s="288"/>
      <c r="CO17" s="265"/>
      <c r="CP17" s="283"/>
      <c r="CQ17" s="289"/>
    </row>
    <row r="18" spans="1:95" s="40" customFormat="1" ht="15" hidden="1" customHeight="1" x14ac:dyDescent="0.25">
      <c r="A18" s="341"/>
      <c r="B18" s="265"/>
      <c r="C18" s="336"/>
      <c r="D18" s="44" t="s">
        <v>121</v>
      </c>
      <c r="E18" s="45">
        <v>2</v>
      </c>
      <c r="F18" s="46">
        <f>IF(D18=Цены!$H$3,Цены!$L$3,IF(D18=Цены!$H$4,Цены!$L$4,IF(D18=Цены!$H$5,Цены!$L$5,IF(D18=Цены!$H$6,Цены!$L$6,IF(D18=Цены!$H$7,Цены!$L$7,IF(D18=Цены!$H$8,Цены!$L$8,IF(D18=Цены!$H$9,Цены!$L$9,IF(D18=Цены!$H$10,Цены!$L$10,IF(D18=Цены!$H$11,Цены!$L$11,IF(D18=Цены!$H$12,Цены!$L$12,IF(D18=Цены!$H$13,Цены!$L$13,IF(D18=Цены!$H$14,Цены!$L$14,IF(D18=Цены!$H$14,Цены!$L$14,IF(D18=Цены!$H$15,Цены!$L$15,IF(D18=Цены!$H$16,Цены!$L$16,IF(D18=Цены!$H$17,Цены!$L$17,IF(D18=Цены!$H$18,Цены!$L$18,IF(D18=Цены!$H$19,Цены!$L$19,IF(D18=Цены!$H$20,Цены!$L$20,IF(D18=Цены!$H$21,Цены!$L$21,IF(D18=Цены!$H$22,Цены!$L$22,IF(D18=Цены!$H$23,Цены!$L$23,IF(D18=Цены!$H$24,Цены!$L$24,IF(D18=Цены!$H$25,Цены!$L$25,IF(D18=Цены!$H$26,Цены!$L$26,IF(D18=Цены!$H$27,Цены!$L$27,IF(D18=Цены!$H$28,Цены!$L$28,IF(D18=Цены!$H$29,Цены!$L$29,IF(D18=Цены!$H$30,Цены!$L$30,IF(D18=Цены!$H$31,Цены!$L$31,IF(D18=Цены!$H$32,Цены!$L$32,IF(D18=Цены!$H$33,Цены!$L$33,IF(D18=Цены!$H$34,Цены!$L$34,IF(D18=Цены!$H$35,Цены!$L$35,IF(D18=Цены!$H$36,Цены!$L$36,IF(D18=Цены!$H$37,Цены!$L$37,IF(D18=Цены!$H$38,Цены!$L$38,IF(D18=Цены!$H$39,Цены!$L$39,IF(D18=Цены!$H$40,Цены!$L$40,IF(D18=Цены!$H$41,Цены!$L$41,IF(D18=Цены!$H$42,Цены!$L$42,IF(D18=Цены!$H$43,Цены!$L$43,IF(D18=Цены!$H$44,Цены!$L$44,IF(D18=Цены!$H$45,Цены!$L$45,IF(D18=Цены!$H$46,Цены!$L$46,IF(D18=Цены!$H$47,Цены!$L$47,IF(D18=Цены!$H$48,Цены!$L$48,IF(D18=Цены!$H$49,Цены!$L$49,IF(D18=Цены!$H$50,Цены!$L$50,IF(D18=Цены!$H$51,Цены!$L$51,IF(D18=Цены!$H$52,Цены!$L$52,IF(D18=Цены!$H$53,Цены!$L$53,IF(D18=Цены!$H$54,Цены!$L$54,IF(D18=Цены!$H$55,Цены!$L$55))))))))))))))))))))))))))))))))))))))))))))))))))))))</f>
        <v>1.32E-2</v>
      </c>
      <c r="G18" s="339"/>
      <c r="H18" s="47">
        <f>IF(D18=Цены!$H$3,Цены!$K$3,IF(D18=Цены!$H$4,Цены!$K$4,IF(D18=Цены!$H$5,Цены!$K$5,IF(D18=Цены!$H$6,Цены!$K$6,IF(D18=Цены!$H$7,Цены!$K$7,IF(D18=Цены!$H$8,Цены!$K$8,IF(D18=Цены!$H$9,Цены!$K$9,IF(D18=Цены!$H$10,Цены!$K$10,IF(D18=Цены!$H$11,Цены!$K$11,IF(D18=Цены!$H$12,Цены!$K$12,IF(D18=Цены!$H$13,Цены!$K$13,IF(D18=Цены!$H$14,Цены!$K$14,IF(D18=Цены!$H$14,Цены!$K$14,IF(D18=Цены!$H$15,Цены!$K$15,IF(D18=Цены!$H$16,Цены!$K$16,IF(D18=Цены!$H$17,Цены!$K$17,IF(D18=Цены!$H$18,Цены!$K$18,IF(D18=Цены!$H$19,Цены!$K$19,IF(D18=Цены!$H$20,Цены!$K$20,IF(D18=Цены!$H$21,Цены!$K$21,IF(D18=Цены!$H$22,Цены!$K$22,IF(D18=Цены!$H$23,Цены!$K$23,IF(D18=Цены!$H$24,Цены!$K$24,IF(D18=Цены!$H$25,Цены!$K$25,IF(D18=Цены!$H$26,Цены!$K$26,IF(D18=Цены!$H$27,Цены!$K$27,IF(D18=Цены!$H$28,Цены!$K$28,IF(D18=Цены!$H$29,Цены!$K$29,IF(D18=Цены!$H$30,Цены!$K$30,IF(D18=Цены!$H$31,Цены!$K$31,IF(D18=Цены!$H$32,Цены!$K$32,IF(D18=Цены!$H$33,Цены!$K$33,IF(D18=Цены!$H$34,Цены!$K$34,IF(D18=Цены!$H$35,Цены!$K$35,IF(D18=Цены!$H$36,Цены!$K$36,IF(D18=Цены!$H$37,Цены!$K$37,IF(D18=Цены!$H$38,Цены!$K$38,IF(D18=Цены!$H$39,Цены!$K$39,IF(D18=Цены!$H$40,Цены!$K$40,IF(D18=Цены!$H$41,Цены!$K$41,IF(D18=Цены!$H$42,Цены!$K$42,IF(D18=Цены!$H$43,Цены!$K$43,IF(D18=Цены!$H$44,Цены!$K$44,IF(D18=Цены!$H$45,Цены!$K$45,IF(D18=Цены!$H$46,Цены!$K$46,IF(D18=Цены!$H$47,Цены!$K$47,IF(D18=Цены!$H$48,Цены!$K$48,IF(D18=Цены!$H$49,Цены!$K$49,IF(D18=Цены!$H$50,Цены!$K$50,IF(D18=Цены!$H$51,Цены!$K$51,IF(D18=Цены!$H$52,Цены!$K$52,IF(D18=Цены!$H$53,Цены!$K$53,IF(D18=Цены!$H$54,Цены!$K$54,IF(D18=Цены!$H$55,Цены!$K$55))))))))))))))))))))))))))))))))))))))))))))))))))))))</f>
        <v>54</v>
      </c>
      <c r="I18" s="265"/>
      <c r="J18" s="265"/>
      <c r="K18" s="332"/>
      <c r="L18" s="334"/>
      <c r="M18" s="334"/>
      <c r="N18" s="265"/>
      <c r="O18" s="332"/>
      <c r="P18" s="331"/>
      <c r="Q18" s="39"/>
      <c r="R18" s="37"/>
      <c r="S18" s="38" t="b">
        <f>IF(Q18=Цены!$H$3,Цены!$L$3,IF(Q18=Цены!$H$4,Цены!$L$4,IF(Q18=Цены!$H$5,Цены!$L$5,IF(Q18=Цены!$H$6,Цены!$L$6,IF(Q18=Цены!$H$7,Цены!$L$7,IF(Q18=Цены!$H$8,Цены!$L$8,IF(Q18=Цены!$H$9,Цены!$L$9,IF(Q18=Цены!$H$10,Цены!$L$10,IF(Q18=Цены!$H$11,Цены!$L$11,IF(Q18=Цены!$H$12,Цены!$L$12,IF(Q18=Цены!$H$13,Цены!$L$13,IF(Q18=Цены!$H$14,Цены!$L$14,IF(Q18=Цены!$H$14,Цены!$L$14,IF(Q18=Цены!$H$15,Цены!$L$15,IF(Q18=Цены!$H$16,Цены!$L$16,IF(Q18=Цены!$H$17,Цены!$L$17,IF(Q18=Цены!$H$18,Цены!$L$18,IF(Q18=Цены!$H$19,Цены!$L$19,IF(Q18=Цены!$H$20,Цены!$L$20,IF(Q18=Цены!$H$21,Цены!$L$21,IF(Q18=Цены!$H$22,Цены!$L$22,IF(Q18=Цены!$H$23,Цены!$L$23,IF(Q18=Цены!$H$24,Цены!$L$24,IF(Q18=Цены!$H$25,Цены!$L$25,IF(Q18=Цены!$H$26,Цены!$L$26,IF(Q18=Цены!$H$27,Цены!$L$27,IF(Q18=Цены!$H$28,Цены!$L$28,IF(Q18=Цены!$H$29,Цены!$L$29,IF(Q18=Цены!$H$30,Цены!$L$30,IF(Q18=Цены!$H$31,Цены!$L$31,IF(Q18=Цены!$H$32,Цены!$L$32,IF(Q18=Цены!$H$33,Цены!$L$33,IF(Q18=Цены!$H$34,Цены!$L$34,IF(Q18=Цены!$H$35,Цены!$L$35,IF(Q18=Цены!$H$36,Цены!$L$36,IF(Q18=Цены!$H$37,Цены!$L$37,IF(Q18=Цены!$H$38,Цены!$L$38,IF(Q18=Цены!$H$39,Цены!$L$39,IF(Q18=Цены!$H$40,Цены!$L$40,IF(Q18=Цены!$H$41,Цены!$L$41,IF(Q18=Цены!$H$42,Цены!$L$42,IF(Q18=Цены!$H$43,Цены!$L$43,IF(Q18=Цены!$H$44,Цены!$L$44,IF(Q18=Цены!$H$45,Цены!$L$45,IF(Q18=Цены!$H$46,Цены!$L$46,IF(Q18=Цены!$H$47,Цены!$L$47,IF(Q18=Цены!$H$48,Цены!$L$48,IF(Q18=Цены!$H$49,Цены!$L$49,IF(Q18=Цены!$H$50,Цены!$L$50,IF(Q18=Цены!$H$51,Цены!$L$51,IF(Q18=Цены!$H$52,Цены!$L$52,IF(Q18=Цены!$H$53,Цены!$L$53,IF(Q18=Цены!$H$54,Цены!$L$54,IF(Q18=Цены!$H$55,Цены!$L$55))))))))))))))))))))))))))))))))))))))))))))))))))))))</f>
        <v>0</v>
      </c>
      <c r="T18" s="322"/>
      <c r="U18" s="161" t="b">
        <f>IF(Q18=Цены!$H$3,Цены!$K$3,IF(Q18=Цены!$H$4,Цены!$K$4,IF(Q18=Цены!$H$5,Цены!$K$5,IF(Q18=Цены!$H$6,Цены!$K$6,IF(Q18=Цены!$H$7,Цены!$K$7,IF(Q18=Цены!$H$8,Цены!$K$8,IF(Q18=Цены!$H$9,Цены!$K$9,IF(Q18=Цены!$H$10,Цены!$K$10,IF(Q18=Цены!$H$11,Цены!$K$11,IF(Q18=Цены!$H$12,Цены!$K$12,IF(Q18=Цены!$H$13,Цены!$K$13,IF(Q18=Цены!$H$14,Цены!$K$14,IF(Q18=Цены!$H$14,Цены!$K$14,IF(Q18=Цены!$H$15,Цены!$K$15,IF(Q18=Цены!$H$16,Цены!$K$16,IF(Q18=Цены!$H$17,Цены!$K$17,IF(Q18=Цены!$H$18,Цены!$K$18,IF(Q18=Цены!$H$19,Цены!$K$19,IF(Q18=Цены!$H$20,Цены!$K$20,IF(Q18=Цены!$H$21,Цены!$K$21,IF(Q18=Цены!$H$22,Цены!$K$22,IF(Q18=Цены!$H$23,Цены!$K$23,IF(Q18=Цены!$H$24,Цены!$K$24,IF(Q18=Цены!$H$25,Цены!$K$25,IF(Q18=Цены!$H$26,Цены!$K$26,IF(Q18=Цены!$H$27,Цены!$K$27,IF(Q18=Цены!$H$28,Цены!$K$28,IF(Q18=Цены!$H$29,Цены!$K$29,IF(Q18=Цены!$H$30,Цены!$K$30,IF(Q18=Цены!$H$31,Цены!$K$31,IF(Q18=Цены!$H$32,Цены!$K$32,IF(Q18=Цены!$H$33,Цены!$K$33,IF(Q18=Цены!$H$34,Цены!$K$34,IF(Q18=Цены!$H$35,Цены!$K$35,IF(Q18=Цены!$H$36,Цены!$K$36,IF(Q18=Цены!$H$37,Цены!$K$37,IF(Q18=Цены!$H$38,Цены!$K$38,IF(Q18=Цены!$H$39,Цены!$K$39,IF(Q18=Цены!$H$40,Цены!$K$40,IF(Q18=Цены!$H$41,Цены!$K$41,IF(Q18=Цены!$H$42,Цены!$K$42,IF(Q18=Цены!$H$43,Цены!$K$43,IF(Q18=Цены!$H$44,Цены!$K$44,IF(Q18=Цены!$H$45,Цены!$K$45,IF(Q18=Цены!$H$46,Цены!$K$46,IF(Q18=Цены!$H$47,Цены!$K$47,IF(Q18=Цены!$H$48,Цены!$K$48,IF(Q18=Цены!$H$49,Цены!$K$49,IF(Q18=Цены!$H$50,Цены!$K$50,IF(Q18=Цены!$H$51,Цены!$K$51,IF(Q18=Цены!$H$52,Цены!$K$52,IF(Q18=Цены!$H$53,Цены!$K$53,IF(Q18=Цены!$H$54,Цены!$K$54,IF(Q18=Цены!$H$55,Цены!$K$55))))))))))))))))))))))))))))))))))))))))))))))))))))))</f>
        <v>0</v>
      </c>
      <c r="V18" s="265"/>
      <c r="W18" s="265"/>
      <c r="X18" s="323"/>
      <c r="Y18" s="324"/>
      <c r="Z18" s="324"/>
      <c r="AA18" s="265"/>
      <c r="AB18" s="323"/>
      <c r="AC18" s="325"/>
      <c r="AD18" s="66" t="s">
        <v>88</v>
      </c>
      <c r="AE18" s="67">
        <v>7</v>
      </c>
      <c r="AF18" s="68">
        <f>IF(AD18=Цены!$H$3,Цены!$L$3,IF(AD18=Цены!$H$4,Цены!$L$4,IF(AD18=Цены!$H$5,Цены!$L$5,IF(AD18=Цены!$H$6,Цены!$L$6,IF(AD18=Цены!$H$7,Цены!$L$7,IF(AD18=Цены!$H$8,Цены!$L$8,IF(AD18=Цены!$H$9,Цены!$L$9,IF(AD18=Цены!$H$10,Цены!$L$10,IF(AD18=Цены!$H$11,Цены!$L$11,IF(AD18=Цены!$H$12,Цены!$L$12,IF(AD18=Цены!$H$13,Цены!$L$13,IF(AD18=Цены!$H$14,Цены!$L$14,IF(AD18=Цены!$H$14,Цены!$L$14,IF(AD18=Цены!$H$15,Цены!$L$15,IF(AD18=Цены!$H$16,Цены!$L$16,IF(AD18=Цены!$H$17,Цены!$L$17,IF(AD18=Цены!$H$18,Цены!$L$18,IF(AD18=Цены!$H$19,Цены!$L$19,IF(AD18=Цены!$H$20,Цены!$L$20,IF(AD18=Цены!$H$21,Цены!$L$21,IF(AD18=Цены!$H$22,Цены!$L$22,IF(AD18=Цены!$H$23,Цены!$L$23,IF(AD18=Цены!$H$24,Цены!$L$24,IF(AD18=Цены!$H$25,Цены!$L$25,IF(AD18=Цены!$H$26,Цены!$L$26,IF(AD18=Цены!$H$27,Цены!$L$27,IF(AD18=Цены!$H$28,Цены!$L$28,IF(AD18=Цены!$H$29,Цены!$L$29,IF(AD18=Цены!$H$30,Цены!$L$30,IF(AD18=Цены!$H$31,Цены!$L$31,IF(AD18=Цены!$H$32,Цены!$L$32,IF(AD18=Цены!$H$33,Цены!$L$33,IF(AD18=Цены!$H$34,Цены!$L$34,IF(AD18=Цены!$H$35,Цены!$L$35,IF(AD18=Цены!$H$36,Цены!$L$36,IF(AD18=Цены!$H$37,Цены!$L$37,IF(AD18=Цены!$H$38,Цены!$L$38,IF(AD18=Цены!$H$39,Цены!$L$39,IF(AD18=Цены!$H$40,Цены!$L$40,IF(AD18=Цены!$H$41,Цены!$L$41,IF(AD18=Цены!$H$42,Цены!$L$42,IF(AD18=Цены!$H$43,Цены!$L$43,IF(AD18=Цены!$H$44,Цены!$L$44,IF(AD18=Цены!$H$45,Цены!$L$45,IF(AD18=Цены!$H$46,Цены!$L$46,IF(AD18=Цены!$H$47,Цены!$L$47,IF(AD18=Цены!$H$48,Цены!$L$48,IF(AD18=Цены!$H$49,Цены!$L$49,IF(AD18=Цены!$H$50,Цены!$L$50,IF(AD18=Цены!$H$51,Цены!$L$51,IF(AD18=Цены!$H$52,Цены!$L$52,IF(AD18=Цены!$H$53,Цены!$L$53,IF(AD18=Цены!$H$54,Цены!$L$54,IF(AD18=Цены!$H$55,Цены!$L$55))))))))))))))))))))))))))))))))))))))))))))))))))))))</f>
        <v>1.8</v>
      </c>
      <c r="AG18" s="311"/>
      <c r="AH18" s="69">
        <f>IF(AD18=Цены!$H$3,Цены!$K$3,IF(AD18=Цены!$H$4,Цены!$K$4,IF(AD18=Цены!$H$5,Цены!$K$5,IF(AD18=Цены!$H$6,Цены!$K$6,IF(AD18=Цены!$H$7,Цены!$K$7,IF(AD18=Цены!$H$8,Цены!$K$8,IF(AD18=Цены!$H$9,Цены!$K$9,IF(AD18=Цены!$H$10,Цены!$K$10,IF(AD18=Цены!$H$11,Цены!$K$11,IF(AD18=Цены!$H$12,Цены!$K$12,IF(AD18=Цены!$H$13,Цены!$K$13,IF(AD18=Цены!$H$14,Цены!$K$14,IF(AD18=Цены!$H$14,Цены!$K$14,IF(AD18=Цены!$H$15,Цены!$K$15,IF(AD18=Цены!$H$16,Цены!$K$16,IF(AD18=Цены!$H$17,Цены!$K$17,IF(AD18=Цены!$H$18,Цены!$K$18,IF(AD18=Цены!$H$19,Цены!$K$19,IF(AD18=Цены!$H$20,Цены!$K$20,IF(AD18=Цены!$H$21,Цены!$K$21,IF(AD18=Цены!$H$22,Цены!$K$22,IF(AD18=Цены!$H$23,Цены!$K$23,IF(AD18=Цены!$H$24,Цены!$K$24,IF(AD18=Цены!$H$25,Цены!$K$25,IF(AD18=Цены!$H$26,Цены!$K$26,IF(AD18=Цены!$H$27,Цены!$K$27,IF(AD18=Цены!$H$28,Цены!$K$28,IF(AD18=Цены!$H$29,Цены!$K$29,IF(AD18=Цены!$H$30,Цены!$K$30,IF(AD18=Цены!$H$31,Цены!$K$31,IF(AD18=Цены!$H$32,Цены!$K$32,IF(AD18=Цены!$H$33,Цены!$K$33,IF(AD18=Цены!$H$34,Цены!$K$34,IF(AD18=Цены!$H$35,Цены!$K$35,IF(AD18=Цены!$H$36,Цены!$K$36,IF(AD18=Цены!$H$37,Цены!$K$37,IF(AD18=Цены!$H$38,Цены!$K$38,IF(AD18=Цены!$H$39,Цены!$K$39,IF(AD18=Цены!$H$40,Цены!$K$40,IF(AD18=Цены!$H$41,Цены!$K$41,IF(AD18=Цены!$H$42,Цены!$K$42,IF(AD18=Цены!$H$43,Цены!$K$43,IF(AD18=Цены!$H$44,Цены!$K$44,IF(AD18=Цены!$H$45,Цены!$K$45,IF(AD18=Цены!$H$46,Цены!$K$46,IF(AD18=Цены!$H$47,Цены!$K$47,IF(AD18=Цены!$H$48,Цены!$K$48,IF(AD18=Цены!$H$49,Цены!$K$49,IF(AD18=Цены!$H$50,Цены!$K$50,IF(AD18=Цены!$H$51,Цены!$K$51,IF(AD18=Цены!$H$52,Цены!$K$52,IF(AD18=Цены!$H$53,Цены!$K$53,IF(AD18=Цены!$H$54,Цены!$K$54,IF(AD18=Цены!$H$55,Цены!$K$55))))))))))))))))))))))))))))))))))))))))))))))))))))))</f>
        <v>388</v>
      </c>
      <c r="AI18" s="265"/>
      <c r="AJ18" s="265"/>
      <c r="AK18" s="312"/>
      <c r="AL18" s="314"/>
      <c r="AM18" s="314"/>
      <c r="AN18" s="265"/>
      <c r="AO18" s="312"/>
      <c r="AP18" s="315"/>
      <c r="AQ18" s="78"/>
      <c r="AR18" s="131"/>
      <c r="AS18" s="80" t="b">
        <f>IF(AQ18=Цены!$H$3,Цены!$L$3,IF(AQ18=Цены!$H$4,Цены!$L$4,IF(AQ18=Цены!$H$5,Цены!$L$5,IF(AQ18=Цены!$H$6,Цены!$L$6,IF(AQ18=Цены!$H$7,Цены!$L$7,IF(AQ18=Цены!$H$8,Цены!$L$8,IF(AQ18=Цены!$H$9,Цены!$L$9,IF(AQ18=Цены!$H$10,Цены!$L$10,IF(AQ18=Цены!$H$11,Цены!$L$11,IF(AQ18=Цены!$H$12,Цены!$L$12,IF(AQ18=Цены!$H$13,Цены!$L$13,IF(AQ18=Цены!$H$14,Цены!$L$14,IF(AQ18=Цены!$H$14,Цены!$L$14,IF(AQ18=Цены!$H$15,Цены!$L$15,IF(AQ18=Цены!$H$16,Цены!$L$16,IF(AQ18=Цены!$H$17,Цены!$L$17,IF(AQ18=Цены!$H$18,Цены!$L$18,IF(AQ18=Цены!$H$19,Цены!$L$19,IF(AQ18=Цены!$H$20,Цены!$L$20,IF(AQ18=Цены!$H$21,Цены!$L$21,IF(AQ18=Цены!$H$22,Цены!$L$22,IF(AQ18=Цены!$H$23,Цены!$L$23,IF(AQ18=Цены!$H$24,Цены!$L$24,IF(AQ18=Цены!$H$25,Цены!$L$25,IF(AQ18=Цены!$H$26,Цены!$L$26,IF(AQ18=Цены!$H$27,Цены!$L$27,IF(AQ18=Цены!$H$28,Цены!$L$28,IF(AQ18=Цены!$H$29,Цены!$L$29,IF(AQ18=Цены!$H$30,Цены!$L$30,IF(AQ18=Цены!$H$31,Цены!$L$31,IF(AQ18=Цены!$H$32,Цены!$L$32,IF(AQ18=Цены!$H$33,Цены!$L$33,IF(AQ18=Цены!$H$34,Цены!$L$34,IF(AQ18=Цены!$H$35,Цены!$L$35,IF(AQ18=Цены!$H$36,Цены!$L$36,IF(AQ18=Цены!$H$37,Цены!$L$37,IF(AQ18=Цены!$H$38,Цены!$L$38,IF(AQ18=Цены!$H$39,Цены!$L$39,IF(AQ18=Цены!$H$40,Цены!$L$40,IF(AQ18=Цены!$H$41,Цены!$L$41,IF(AQ18=Цены!$H$42,Цены!$L$42,IF(AQ18=Цены!$H$43,Цены!$L$43,IF(AQ18=Цены!$H$44,Цены!$L$44,IF(AQ18=Цены!$H$45,Цены!$L$45,IF(AQ18=Цены!$H$46,Цены!$L$46,IF(AQ18=Цены!$H$47,Цены!$L$47,IF(AQ18=Цены!$H$48,Цены!$L$48,IF(AQ18=Цены!$H$49,Цены!$L$49,IF(AQ18=Цены!$H$50,Цены!$L$50,IF(AQ18=Цены!$H$51,Цены!$L$51,IF(AQ18=Цены!$H$52,Цены!$L$52,IF(AQ18=Цены!$H$53,Цены!$L$53,IF(AQ18=Цены!$H$54,Цены!$L$54,IF(AQ18=Цены!$H$55,Цены!$L$55))))))))))))))))))))))))))))))))))))))))))))))))))))))</f>
        <v>0</v>
      </c>
      <c r="AT18" s="271"/>
      <c r="AU18" s="81" t="b">
        <f>IF(AQ18=Цены!$H$3,Цены!$K$3,IF(AQ18=Цены!$H$4,Цены!$K$4,IF(AQ18=Цены!$H$5,Цены!$K$5,IF(AQ18=Цены!$H$6,Цены!$K$6,IF(AQ18=Цены!$H$7,Цены!$K$7,IF(AQ18=Цены!$H$8,Цены!$K$8,IF(AQ18=Цены!$H$9,Цены!$K$9,IF(AQ18=Цены!$H$10,Цены!$K$10,IF(AQ18=Цены!$H$11,Цены!$K$11,IF(AQ18=Цены!$H$12,Цены!$K$12,IF(AQ18=Цены!$H$13,Цены!$K$13,IF(AQ18=Цены!$H$14,Цены!$K$14,IF(AQ18=Цены!$H$14,Цены!$K$14,IF(AQ18=Цены!$H$15,Цены!$K$15,IF(AQ18=Цены!$H$16,Цены!$K$16,IF(AQ18=Цены!$H$17,Цены!$K$17,IF(AQ18=Цены!$H$18,Цены!$K$18,IF(AQ18=Цены!$H$19,Цены!$K$19,IF(AQ18=Цены!$H$20,Цены!$K$20,IF(AQ18=Цены!$H$21,Цены!$K$21,IF(AQ18=Цены!$H$22,Цены!$K$22,IF(AQ18=Цены!$H$23,Цены!$K$23,IF(AQ18=Цены!$H$24,Цены!$K$24,IF(AQ18=Цены!$H$25,Цены!$K$25,IF(AQ18=Цены!$H$26,Цены!$K$26,IF(AQ18=Цены!$H$27,Цены!$K$27,IF(AQ18=Цены!$H$28,Цены!$K$28,IF(AQ18=Цены!$H$29,Цены!$K$29,IF(AQ18=Цены!$H$30,Цены!$K$30,IF(AQ18=Цены!$H$31,Цены!$K$31,IF(AQ18=Цены!$H$32,Цены!$K$32,IF(AQ18=Цены!$H$33,Цены!$K$33,IF(AQ18=Цены!$H$34,Цены!$K$34,IF(AQ18=Цены!$H$35,Цены!$K$35,IF(AQ18=Цены!$H$36,Цены!$K$36,IF(AQ18=Цены!$H$37,Цены!$K$37,IF(AQ18=Цены!$H$38,Цены!$K$38,IF(AQ18=Цены!$H$39,Цены!$K$39,IF(AQ18=Цены!$H$40,Цены!$K$40,IF(AQ18=Цены!$H$41,Цены!$K$41,IF(AQ18=Цены!$H$42,Цены!$K$42,IF(AQ18=Цены!$H$43,Цены!$K$43,IF(AQ18=Цены!$H$44,Цены!$K$44,IF(AQ18=Цены!$H$45,Цены!$K$45,IF(AQ18=Цены!$H$46,Цены!$K$46,IF(AQ18=Цены!$H$47,Цены!$K$47,IF(AQ18=Цены!$H$48,Цены!$K$48,IF(AQ18=Цены!$H$49,Цены!$K$49,IF(AQ18=Цены!$H$50,Цены!$K$50,IF(AQ18=Цены!$H$51,Цены!$K$51,IF(AQ18=Цены!$H$52,Цены!$K$52,IF(AQ18=Цены!$H$53,Цены!$K$53,IF(AQ18=Цены!$H$54,Цены!$K$54,IF(AQ18=Цены!$H$55,Цены!$K$55))))))))))))))))))))))))))))))))))))))))))))))))))))))</f>
        <v>0</v>
      </c>
      <c r="AV18" s="265"/>
      <c r="AW18" s="265"/>
      <c r="AX18" s="274"/>
      <c r="AY18" s="304"/>
      <c r="AZ18" s="304"/>
      <c r="BA18" s="265"/>
      <c r="BB18" s="274"/>
      <c r="BC18" s="305"/>
      <c r="BD18" s="244"/>
      <c r="BE18" s="101"/>
      <c r="BF18" s="106"/>
      <c r="BG18" s="103" t="b">
        <f>IF(BE18=Цены!$H$3,Цены!$L$3,IF(BE18=Цены!$H$4,Цены!$L$4,IF(BE18=Цены!$H$5,Цены!$L$5,IF(BE18=Цены!$H$6,Цены!$L$6,IF(BE18=Цены!$H$7,Цены!$L$7,IF(BE18=Цены!$H$8,Цены!$L$8,IF(BE18=Цены!$H$9,Цены!$L$9,IF(BE18=Цены!$H$10,Цены!$L$10,IF(BE18=Цены!$H$11,Цены!$L$11,IF(BE18=Цены!$H$12,Цены!$L$12,IF(BE18=Цены!$H$13,Цены!$L$13,IF(BE18=Цены!$H$14,Цены!$L$14,IF(BE18=Цены!$H$14,Цены!$L$14,IF(BE18=Цены!$H$15,Цены!$L$15,IF(BE18=Цены!$H$16,Цены!$L$16,IF(BE18=Цены!$H$17,Цены!$L$17,IF(BE18=Цены!$H$18,Цены!$L$18,IF(BE18=Цены!$H$19,Цены!$L$19,IF(BE18=Цены!$H$20,Цены!$L$20,IF(BE18=Цены!$H$21,Цены!$L$21,IF(BE18=Цены!$H$22,Цены!$L$22,IF(BE18=Цены!$H$23,Цены!$L$23,IF(BE18=Цены!$H$24,Цены!$L$24,IF(BE18=Цены!$H$25,Цены!$L$25,IF(BE18=Цены!$H$26,Цены!$L$26,IF(BE18=Цены!$H$27,Цены!$L$27,IF(BE18=Цены!$H$28,Цены!$L$28,IF(BE18=Цены!$H$29,Цены!$L$29,IF(BE18=Цены!$H$30,Цены!$L$30,IF(BE18=Цены!$H$31,Цены!$L$31,IF(BE18=Цены!$H$32,Цены!$L$32,IF(BE18=Цены!$H$33,Цены!$L$33,IF(BE18=Цены!$H$34,Цены!$L$34,IF(BE18=Цены!$H$35,Цены!$L$35,IF(BE18=Цены!$H$36,Цены!$L$36,IF(BE18=Цены!$H$37,Цены!$L$37,IF(BE18=Цены!$H$38,Цены!$L$38,IF(BE18=Цены!$H$39,Цены!$L$39,IF(BE18=Цены!$H$40,Цены!$L$40,IF(BE18=Цены!$H$41,Цены!$L$41,IF(BE18=Цены!$H$42,Цены!$L$42,IF(BE18=Цены!$H$43,Цены!$L$43,IF(BE18=Цены!$H$44,Цены!$L$44,IF(BE18=Цены!$H$45,Цены!$L$45,IF(BE18=Цены!$H$46,Цены!$L$46,IF(BE18=Цены!$H$47,Цены!$L$47,IF(BE18=Цены!$H$48,Цены!$L$48,IF(BE18=Цены!$H$49,Цены!$L$49,IF(BE18=Цены!$H$50,Цены!$L$50,IF(BE18=Цены!$H$51,Цены!$L$51,IF(BE18=Цены!$H$52,Цены!$L$52,IF(BE18=Цены!$H$53,Цены!$L$53,IF(BE18=Цены!$H$54,Цены!$L$54,IF(BE18=Цены!$H$55,Цены!$L$55))))))))))))))))))))))))))))))))))))))))))))))))))))))</f>
        <v>0</v>
      </c>
      <c r="BH18" s="280"/>
      <c r="BI18" s="104" t="b">
        <f>IF(BE18=Цены!$H$3,Цены!$K$3,IF(BE18=Цены!$H$4,Цены!$K$4,IF(BE18=Цены!$H$5,Цены!$K$5,IF(BE18=Цены!$H$6,Цены!$K$6,IF(BE18=Цены!$H$7,Цены!$K$7,IF(BE18=Цены!$H$8,Цены!$K$8,IF(BE18=Цены!$H$9,Цены!$K$9,IF(BE18=Цены!$H$10,Цены!$K$10,IF(BE18=Цены!$H$11,Цены!$K$11,IF(BE18=Цены!$H$12,Цены!$K$12,IF(BE18=Цены!$H$13,Цены!$K$13,IF(BE18=Цены!$H$14,Цены!$K$14,IF(BE18=Цены!$H$14,Цены!$K$14,IF(BE18=Цены!$H$15,Цены!$K$15,IF(BE18=Цены!$H$16,Цены!$K$16,IF(BE18=Цены!$H$17,Цены!$K$17,IF(BE18=Цены!$H$18,Цены!$K$18,IF(BE18=Цены!$H$19,Цены!$K$19,IF(BE18=Цены!$H$20,Цены!$K$20,IF(BE18=Цены!$H$21,Цены!$K$21,IF(BE18=Цены!$H$22,Цены!$K$22,IF(BE18=Цены!$H$23,Цены!$K$23,IF(BE18=Цены!$H$24,Цены!$K$24,IF(BE18=Цены!$H$25,Цены!$K$25,IF(BE18=Цены!$H$26,Цены!$K$26,IF(BE18=Цены!$H$27,Цены!$K$27,IF(BE18=Цены!$H$28,Цены!$K$28,IF(BE18=Цены!$H$29,Цены!$K$29,IF(BE18=Цены!$H$30,Цены!$K$30,IF(BE18=Цены!$H$31,Цены!$K$31,IF(BE18=Цены!$H$32,Цены!$K$32,IF(BE18=Цены!$H$33,Цены!$K$33,IF(BE18=Цены!$H$34,Цены!$K$34,IF(BE18=Цены!$H$35,Цены!$K$35,IF(BE18=Цены!$H$36,Цены!$K$36,IF(BE18=Цены!$H$37,Цены!$K$37,IF(BE18=Цены!$H$38,Цены!$K$38,IF(BE18=Цены!$H$39,Цены!$K$39,IF(BE18=Цены!$H$40,Цены!$K$40,IF(BE18=Цены!$H$41,Цены!$K$41,IF(BE18=Цены!$H$42,Цены!$K$42,IF(BE18=Цены!$H$43,Цены!$K$43,IF(BE18=Цены!$H$44,Цены!$K$44,IF(BE18=Цены!$H$45,Цены!$K$45,IF(BE18=Цены!$H$46,Цены!$K$46,IF(BE18=Цены!$H$47,Цены!$K$47,IF(BE18=Цены!$H$48,Цены!$K$48,IF(BE18=Цены!$H$49,Цены!$K$49,IF(BE18=Цены!$H$50,Цены!$K$50,IF(BE18=Цены!$H$51,Цены!$K$51,IF(BE18=Цены!$H$52,Цены!$K$52,IF(BE18=Цены!$H$53,Цены!$K$53,IF(BE18=Цены!$H$54,Цены!$K$54,IF(BE18=Цены!$H$55,Цены!$K$55))))))))))))))))))))))))))))))))))))))))))))))))))))))</f>
        <v>0</v>
      </c>
      <c r="BJ18" s="265"/>
      <c r="BK18" s="265"/>
      <c r="BL18" s="281"/>
      <c r="BM18" s="292"/>
      <c r="BN18" s="292"/>
      <c r="BO18" s="265"/>
      <c r="BP18" s="281"/>
      <c r="BQ18" s="293"/>
      <c r="BR18" s="107"/>
      <c r="BS18" s="108"/>
      <c r="BT18" s="109" t="b">
        <f>IF(BR18=Цены!$H$3,Цены!$L$3,IF(BR18=Цены!$H$4,Цены!$L$4,IF(BR18=Цены!$H$5,Цены!$L$5,IF(BR18=Цены!$H$6,Цены!$L$6,IF(BR18=Цены!$H$7,Цены!$L$7,IF(BR18=Цены!$H$8,Цены!$L$8,IF(BR18=Цены!$H$9,Цены!$L$9,IF(BR18=Цены!$H$10,Цены!$L$10,IF(BR18=Цены!$H$11,Цены!$L$11,IF(BR18=Цены!$H$12,Цены!$L$12,IF(BR18=Цены!$H$13,Цены!$L$13,IF(BR18=Цены!$H$14,Цены!$L$14,IF(BR18=Цены!$H$14,Цены!$L$14,IF(BR18=Цены!$H$15,Цены!$L$15,IF(BR18=Цены!$H$16,Цены!$L$16,IF(BR18=Цены!$H$17,Цены!$L$17,IF(BR18=Цены!$H$18,Цены!$L$18,IF(BR18=Цены!$H$19,Цены!$L$19,IF(BR18=Цены!$H$20,Цены!$L$20,IF(BR18=Цены!$H$21,Цены!$L$21,IF(BR18=Цены!$H$22,Цены!$L$22,IF(BR18=Цены!$H$23,Цены!$L$23,IF(BR18=Цены!$H$24,Цены!$L$24,IF(BR18=Цены!$H$25,Цены!$L$25,IF(BR18=Цены!$H$26,Цены!$L$26,IF(BR18=Цены!$H$27,Цены!$L$27,IF(BR18=Цены!$H$28,Цены!$L$28,IF(BR18=Цены!$H$29,Цены!$L$29,IF(BR18=Цены!$H$30,Цены!$L$30,IF(BR18=Цены!$H$31,Цены!$L$31,IF(BR18=Цены!$H$32,Цены!$L$32,IF(BR18=Цены!$H$33,Цены!$L$33,IF(BR18=Цены!$H$34,Цены!$L$34,IF(BR18=Цены!$H$35,Цены!$L$35,IF(BR18=Цены!$H$36,Цены!$L$36,IF(BR18=Цены!$H$37,Цены!$L$37,IF(BR18=Цены!$H$38,Цены!$L$38,IF(BR18=Цены!$H$39,Цены!$L$39,IF(BR18=Цены!$H$40,Цены!$L$40,IF(BR18=Цены!$H$41,Цены!$L$41,IF(BR18=Цены!$H$42,Цены!$L$42,IF(BR18=Цены!$H$43,Цены!$L$43,IF(BR18=Цены!$H$44,Цены!$L$44,IF(BR18=Цены!$H$45,Цены!$L$45,IF(BR18=Цены!$H$46,Цены!$L$46,IF(BR18=Цены!$H$47,Цены!$L$47,IF(BR18=Цены!$H$48,Цены!$L$48,IF(BR18=Цены!$H$49,Цены!$L$49,IF(BR18=Цены!$H$50,Цены!$L$50,IF(BR18=Цены!$H$51,Цены!$L$51,IF(BR18=Цены!$H$52,Цены!$L$52,IF(BR18=Цены!$H$53,Цены!$L$53,IF(BR18=Цены!$H$54,Цены!$L$54,IF(BR18=Цены!$H$55,Цены!$L$55))))))))))))))))))))))))))))))))))))))))))))))))))))))</f>
        <v>0</v>
      </c>
      <c r="BU18" s="284"/>
      <c r="BV18" s="110" t="b">
        <f>IF(BR18=Цены!$H$3,Цены!$K$3,IF(BR18=Цены!$H$4,Цены!$K$4,IF(BR18=Цены!$H$5,Цены!$K$5,IF(BR18=Цены!$H$6,Цены!$K$6,IF(BR18=Цены!$H$7,Цены!$K$7,IF(BR18=Цены!$H$8,Цены!$K$8,IF(BR18=Цены!$H$9,Цены!$K$9,IF(BR18=Цены!$H$10,Цены!$K$10,IF(BR18=Цены!$H$11,Цены!$K$11,IF(BR18=Цены!$H$12,Цены!$K$12,IF(BR18=Цены!$H$13,Цены!$K$13,IF(BR18=Цены!$H$14,Цены!$K$14,IF(BR18=Цены!$H$14,Цены!$K$14,IF(BR18=Цены!$H$15,Цены!$K$15,IF(BR18=Цены!$H$16,Цены!$K$16,IF(BR18=Цены!$H$17,Цены!$K$17,IF(BR18=Цены!$H$18,Цены!$K$18,IF(BR18=Цены!$H$19,Цены!$K$19,IF(BR18=Цены!$H$20,Цены!$K$20,IF(BR18=Цены!$H$21,Цены!$K$21,IF(BR18=Цены!$H$22,Цены!$K$22,IF(BR18=Цены!$H$23,Цены!$K$23,IF(BR18=Цены!$H$24,Цены!$K$24,IF(BR18=Цены!$H$25,Цены!$K$25,IF(BR18=Цены!$H$26,Цены!$K$26,IF(BR18=Цены!$H$27,Цены!$K$27,IF(BR18=Цены!$H$28,Цены!$K$28,IF(BR18=Цены!$H$29,Цены!$K$29,IF(BR18=Цены!$H$30,Цены!$K$30,IF(BR18=Цены!$H$31,Цены!$K$31,IF(BR18=Цены!$H$32,Цены!$K$32,IF(BR18=Цены!$H$33,Цены!$K$33,IF(BR18=Цены!$H$34,Цены!$K$34,IF(BR18=Цены!$H$35,Цены!$K$35,IF(BR18=Цены!$H$36,Цены!$K$36,IF(BR18=Цены!$H$37,Цены!$K$37,IF(BR18=Цены!$H$38,Цены!$K$38,IF(BR18=Цены!$H$39,Цены!$K$39,IF(BR18=Цены!$H$40,Цены!$K$40,IF(BR18=Цены!$H$41,Цены!$K$41,IF(BR18=Цены!$H$42,Цены!$K$42,IF(BR18=Цены!$H$43,Цены!$K$43,IF(BR18=Цены!$H$44,Цены!$K$44,IF(BR18=Цены!$H$45,Цены!$K$45,IF(BR18=Цены!$H$46,Цены!$K$46,IF(BR18=Цены!$H$47,Цены!$K$47,IF(BR18=Цены!$H$48,Цены!$K$48,IF(BR18=Цены!$H$49,Цены!$K$49,IF(BR18=Цены!$H$50,Цены!$K$50,IF(BR18=Цены!$H$51,Цены!$K$51,IF(BR18=Цены!$H$52,Цены!$K$52,IF(BR18=Цены!$H$53,Цены!$K$53,IF(BR18=Цены!$H$54,Цены!$K$54,IF(BR18=Цены!$H$55,Цены!$K$55))))))))))))))))))))))))))))))))))))))))))))))))))))))</f>
        <v>0</v>
      </c>
      <c r="BW18" s="265"/>
      <c r="BX18" s="265"/>
      <c r="BY18" s="285"/>
      <c r="BZ18" s="290"/>
      <c r="CA18" s="290"/>
      <c r="CB18" s="265"/>
      <c r="CC18" s="285"/>
      <c r="CD18" s="291"/>
      <c r="CE18" s="119"/>
      <c r="CF18" s="112"/>
      <c r="CG18" s="113" t="b">
        <f>IF(CE18=Цены!$H$3,Цены!$L$3,IF(CE18=Цены!$H$4,Цены!$L$4,IF(CE18=Цены!$H$5,Цены!$L$5,IF(CE18=Цены!$H$6,Цены!$L$6,IF(CE18=Цены!$H$7,Цены!$L$7,IF(CE18=Цены!$H$8,Цены!$L$8,IF(CE18=Цены!$H$9,Цены!$L$9,IF(CE18=Цены!$H$10,Цены!$L$10,IF(CE18=Цены!$H$11,Цены!$L$11,IF(CE18=Цены!$H$12,Цены!$L$12,IF(CE18=Цены!$H$13,Цены!$L$13,IF(CE18=Цены!$H$14,Цены!$L$14,IF(CE18=Цены!$H$14,Цены!$L$14,IF(CE18=Цены!$H$15,Цены!$L$15,IF(CE18=Цены!$H$16,Цены!$L$16,IF(CE18=Цены!$H$17,Цены!$L$17,IF(CE18=Цены!$H$18,Цены!$L$18,IF(CE18=Цены!$H$19,Цены!$L$19,IF(CE18=Цены!$H$20,Цены!$L$20,IF(CE18=Цены!$H$21,Цены!$L$21,IF(CE18=Цены!$H$22,Цены!$L$22,IF(CE18=Цены!$H$23,Цены!$L$23,IF(CE18=Цены!$H$24,Цены!$L$24,IF(CE18=Цены!$H$25,Цены!$L$25,IF(CE18=Цены!$H$26,Цены!$L$26,IF(CE18=Цены!$H$27,Цены!$L$27,IF(CE18=Цены!$H$28,Цены!$L$28,IF(CE18=Цены!$H$29,Цены!$L$29,IF(CE18=Цены!$H$30,Цены!$L$30,IF(CE18=Цены!$H$31,Цены!$L$31,IF(CE18=Цены!$H$32,Цены!$L$32,IF(CE18=Цены!$H$33,Цены!$L$33,IF(CE18=Цены!$H$34,Цены!$L$34,IF(CE18=Цены!$H$35,Цены!$L$35,IF(CE18=Цены!$H$36,Цены!$L$36,IF(CE18=Цены!$H$37,Цены!$L$37,IF(CE18=Цены!$H$38,Цены!$L$38,IF(CE18=Цены!$H$39,Цены!$L$39,IF(CE18=Цены!$H$40,Цены!$L$40,IF(CE18=Цены!$H$41,Цены!$L$41,IF(CE18=Цены!$H$42,Цены!$L$42,IF(CE18=Цены!$H$43,Цены!$L$43,IF(CE18=Цены!$H$44,Цены!$L$44,IF(CE18=Цены!$H$45,Цены!$L$45,IF(CE18=Цены!$H$46,Цены!$L$46,IF(CE18=Цены!$H$47,Цены!$L$47,IF(CE18=Цены!$H$48,Цены!$L$48,IF(CE18=Цены!$H$49,Цены!$L$49,IF(CE18=Цены!$H$50,Цены!$L$50,IF(CE18=Цены!$H$51,Цены!$L$51,IF(CE18=Цены!$H$52,Цены!$L$52,IF(CE18=Цены!$H$53,Цены!$L$53,IF(CE18=Цены!$H$54,Цены!$L$54,IF(CE18=Цены!$H$55,Цены!$L$55))))))))))))))))))))))))))))))))))))))))))))))))))))))</f>
        <v>0</v>
      </c>
      <c r="CH18" s="282"/>
      <c r="CI18" s="114" t="b">
        <f>IF(CE18=Цены!$H$3,Цены!$K$3,IF(CE18=Цены!$H$4,Цены!$K$4,IF(CE18=Цены!$H$5,Цены!$K$5,IF(CE18=Цены!$H$6,Цены!$K$6,IF(CE18=Цены!$H$7,Цены!$K$7,IF(CE18=Цены!$H$8,Цены!$K$8,IF(CE18=Цены!$H$9,Цены!$K$9,IF(CE18=Цены!$H$10,Цены!$K$10,IF(CE18=Цены!$H$11,Цены!$K$11,IF(CE18=Цены!$H$12,Цены!$K$12,IF(CE18=Цены!$H$13,Цены!$K$13,IF(CE18=Цены!$H$14,Цены!$K$14,IF(CE18=Цены!$H$14,Цены!$K$14,IF(CE18=Цены!$H$15,Цены!$K$15,IF(CE18=Цены!$H$16,Цены!$K$16,IF(CE18=Цены!$H$17,Цены!$K$17,IF(CE18=Цены!$H$18,Цены!$K$18,IF(CE18=Цены!$H$19,Цены!$K$19,IF(CE18=Цены!$H$20,Цены!$K$20,IF(CE18=Цены!$H$21,Цены!$K$21,IF(CE18=Цены!$H$22,Цены!$K$22,IF(CE18=Цены!$H$23,Цены!$K$23,IF(CE18=Цены!$H$24,Цены!$K$24,IF(CE18=Цены!$H$25,Цены!$K$25,IF(CE18=Цены!$H$26,Цены!$K$26,IF(CE18=Цены!$H$27,Цены!$K$27,IF(CE18=Цены!$H$28,Цены!$K$28,IF(CE18=Цены!$H$29,Цены!$K$29,IF(CE18=Цены!$H$30,Цены!$K$30,IF(CE18=Цены!$H$31,Цены!$K$31,IF(CE18=Цены!$H$32,Цены!$K$32,IF(CE18=Цены!$H$33,Цены!$K$33,IF(CE18=Цены!$H$34,Цены!$K$34,IF(CE18=Цены!$H$35,Цены!$K$35,IF(CE18=Цены!$H$36,Цены!$K$36,IF(CE18=Цены!$H$37,Цены!$K$37,IF(CE18=Цены!$H$38,Цены!$K$38,IF(CE18=Цены!$H$39,Цены!$K$39,IF(CE18=Цены!$H$40,Цены!$K$40,IF(CE18=Цены!$H$41,Цены!$K$41,IF(CE18=Цены!$H$42,Цены!$K$42,IF(CE18=Цены!$H$43,Цены!$K$43,IF(CE18=Цены!$H$44,Цены!$K$44,IF(CE18=Цены!$H$45,Цены!$K$45,IF(CE18=Цены!$H$46,Цены!$K$46,IF(CE18=Цены!$H$47,Цены!$K$47,IF(CE18=Цены!$H$48,Цены!$K$48,IF(CE18=Цены!$H$49,Цены!$K$49,IF(CE18=Цены!$H$50,Цены!$K$50,IF(CE18=Цены!$H$51,Цены!$K$51,IF(CE18=Цены!$H$52,Цены!$K$52,IF(CE18=Цены!$H$53,Цены!$K$53,IF(CE18=Цены!$H$54,Цены!$K$54,IF(CE18=Цены!$H$55,Цены!$K$55))))))))))))))))))))))))))))))))))))))))))))))))))))))</f>
        <v>0</v>
      </c>
      <c r="CJ18" s="265"/>
      <c r="CK18" s="265"/>
      <c r="CL18" s="283"/>
      <c r="CM18" s="288"/>
      <c r="CN18" s="288"/>
      <c r="CO18" s="265"/>
      <c r="CP18" s="283"/>
      <c r="CQ18" s="289"/>
    </row>
    <row r="19" spans="1:95" ht="15" customHeight="1" x14ac:dyDescent="0.25">
      <c r="A19" s="337" t="s">
        <v>169</v>
      </c>
      <c r="B19" s="265" t="s">
        <v>112</v>
      </c>
      <c r="C19" s="265" t="s">
        <v>113</v>
      </c>
      <c r="D19" s="171" t="s">
        <v>166</v>
      </c>
      <c r="E19" s="25">
        <v>8</v>
      </c>
      <c r="F19" s="27">
        <f>IF(D19=Цены!$H$3,Цены!$L$3,IF(D19=Цены!$H$4,Цены!$L$4,IF(D19=Цены!$H$5,Цены!$L$5,IF(D19=Цены!$H$6,Цены!$L$6,IF(D19=Цены!$H$7,Цены!$L$7,IF(D19=Цены!$H$8,Цены!$L$8,IF(D19=Цены!$H$9,Цены!$L$9,IF(D19=Цены!$H$10,Цены!$L$10,IF(D19=Цены!$H$11,Цены!$L$11,IF(D19=Цены!$H$12,Цены!$L$12,IF(D19=Цены!$H$13,Цены!$L$13,IF(D19=Цены!$H$14,Цены!$L$14,IF(D19=Цены!$H$14,Цены!$L$14,IF(D19=Цены!$H$15,Цены!$L$15,IF(D19=Цены!$H$16,Цены!$L$16,IF(D19=Цены!$H$17,Цены!$L$17,IF(D19=Цены!$H$18,Цены!$L$18,IF(D19=Цены!$H$19,Цены!$L$19,IF(D19=Цены!$H$20,Цены!$L$20,IF(D19=Цены!$H$21,Цены!$L$21,IF(D19=Цены!$H$22,Цены!$L$22,IF(D19=Цены!$H$23,Цены!$L$23,IF(D19=Цены!$H$24,Цены!$L$24,IF(D19=Цены!$H$25,Цены!$L$25,IF(D19=Цены!$H$26,Цены!$L$26,IF(D19=Цены!$H$27,Цены!$L$27,IF(D19=Цены!$H$28,Цены!$L$28,IF(D19=Цены!$H$29,Цены!$L$29,IF(D19=Цены!$H$30,Цены!$L$30,IF(D19=Цены!$H$31,Цены!$L$31,IF(D19=Цены!$H$32,Цены!$L$32,IF(D19=Цены!$H$33,Цены!$L$33,IF(D19=Цены!$H$34,Цены!$L$34,IF(D19=Цены!$H$35,Цены!$L$35,IF(D19=Цены!$H$36,Цены!$L$36,IF(D19=Цены!$H$37,Цены!$L$37,IF(D19=Цены!$H$38,Цены!$L$38,IF(D19=Цены!$H$39,Цены!$L$39,IF(D19=Цены!$H$40,Цены!$L$40,IF(D19=Цены!$H$41,Цены!$L$41,IF(D19=Цены!$H$42,Цены!$L$42,IF(D19=Цены!$H$43,Цены!$L$43,IF(D19=Цены!$H$44,Цены!$L$44,IF(D19=Цены!$H$45,Цены!$L$45,IF(D19=Цены!$H$46,Цены!$L$46,IF(D19=Цены!$H$47,Цены!$L$47,IF(D19=Цены!$H$48,Цены!$L$48,IF(D19=Цены!$H$49,Цены!$L$49,IF(D19=Цены!$H$50,Цены!$L$50,IF(D19=Цены!$H$51,Цены!$L$51,IF(D19=Цены!$H$52,Цены!$L$52,IF(D19=Цены!$H$53,Цены!$L$53,IF(D19=Цены!$H$54,Цены!$L$54,IF(D19=Цены!$H$55,Цены!$L$55))))))))))))))))))))))))))))))))))))))))))))))))))))))</f>
        <v>1.23</v>
      </c>
      <c r="G19" s="309">
        <f>E19*F19+E20*F20+E21*F21+E22*F22</f>
        <v>11.806400000000002</v>
      </c>
      <c r="H19" s="28">
        <f>IF(D19=Цены!$H$3,Цены!$K$3,IF(D19=Цены!$H$4,Цены!$K$4,IF(D19=Цены!$H$5,Цены!$K$5,IF(D19=Цены!$H$6,Цены!$K$6,IF(D19=Цены!$H$7,Цены!$K$7,IF(D19=Цены!$H$8,Цены!$K$8,IF(D19=Цены!$H$9,Цены!$K$9,IF(D19=Цены!$H$10,Цены!$K$10,IF(D19=Цены!$H$11,Цены!$K$11,IF(D19=Цены!$H$12,Цены!$K$12,IF(D19=Цены!$H$13,Цены!$K$13,IF(D19=Цены!$H$14,Цены!$K$14,IF(D19=Цены!$H$14,Цены!$K$14,IF(D19=Цены!$H$15,Цены!$K$15,IF(D19=Цены!$H$16,Цены!$K$16,IF(D19=Цены!$H$17,Цены!$K$17,IF(D19=Цены!$H$18,Цены!$K$18,IF(D19=Цены!$H$19,Цены!$K$19,IF(D19=Цены!$H$20,Цены!$K$20,IF(D19=Цены!$H$21,Цены!$K$21,IF(D19=Цены!$H$22,Цены!$K$22,IF(D19=Цены!$H$23,Цены!$K$23,IF(D19=Цены!$H$24,Цены!$K$24,IF(D19=Цены!$H$25,Цены!$K$25,IF(D19=Цены!$H$26,Цены!$K$26,IF(D19=Цены!$H$27,Цены!$K$27,IF(D19=Цены!$H$28,Цены!$K$28,IF(D19=Цены!$H$29,Цены!$K$29,IF(D19=Цены!$H$30,Цены!$K$30,IF(D19=Цены!$H$31,Цены!$K$31,IF(D19=Цены!$H$32,Цены!$K$32,IF(D19=Цены!$H$33,Цены!$K$33,IF(D19=Цены!$H$34,Цены!$K$34,IF(D19=Цены!$H$35,Цены!$K$35,IF(D19=Цены!$H$36,Цены!$K$36,IF(D19=Цены!$H$37,Цены!$K$37,IF(D19=Цены!$H$38,Цены!$K$38,IF(D19=Цены!$H$39,Цены!$K$39,IF(D19=Цены!$H$40,Цены!$K$40,IF(D19=Цены!$H$41,Цены!$K$41,IF(D19=Цены!$H$42,Цены!$K$42,IF(D19=Цены!$H$43,Цены!$K$43,IF(D19=Цены!$H$44,Цены!$K$44,IF(D19=Цены!$H$45,Цены!$K$45,IF(D19=Цены!$H$46,Цены!$K$46,IF(D19=Цены!$H$47,Цены!$K$47,IF(D19=Цены!$H$48,Цены!$K$48,IF(D19=Цены!$H$49,Цены!$K$49,IF(D19=Цены!$H$50,Цены!$K$50,IF(D19=Цены!$H$51,Цены!$K$51,IF(D19=Цены!$H$52,Цены!$K$52,IF(D19=Цены!$H$53,Цены!$K$53,IF(D19=Цены!$H$54,Цены!$K$54,IF(D19=Цены!$H$55,Цены!$K$55))))))))))))))))))))))))))))))))))))))))))))))))))))))</f>
        <v>255</v>
      </c>
      <c r="I19" s="286">
        <v>0.35</v>
      </c>
      <c r="J19" s="265">
        <v>800</v>
      </c>
      <c r="K19" s="266">
        <f t="shared" ref="K19" si="27">E19*H19+E20*H20+E21*H21+E22*H22</f>
        <v>5540</v>
      </c>
      <c r="L19" s="326">
        <v>6000</v>
      </c>
      <c r="M19" s="266">
        <f t="shared" ref="M19" si="28">K19+L19</f>
        <v>11540</v>
      </c>
      <c r="N19" s="319">
        <v>8000</v>
      </c>
      <c r="O19" s="310">
        <f>N19/M19*100</f>
        <v>69.324090121317155</v>
      </c>
      <c r="P19" s="270">
        <f>MROUND(M19+N19,500)</f>
        <v>19500</v>
      </c>
      <c r="Q19" s="172" t="s">
        <v>165</v>
      </c>
      <c r="R19" s="30">
        <v>7</v>
      </c>
      <c r="S19" s="27">
        <f>IF(Q19=Цены!$H$3,Цены!$L$3,IF(Q19=Цены!$H$4,Цены!$L$4,IF(Q19=Цены!$H$5,Цены!$L$5,IF(Q19=Цены!$H$6,Цены!$L$6,IF(Q19=Цены!$H$7,Цены!$L$7,IF(Q19=Цены!$H$8,Цены!$L$8,IF(Q19=Цены!$H$9,Цены!$L$9,IF(Q19=Цены!$H$10,Цены!$L$10,IF(Q19=Цены!$H$11,Цены!$L$11,IF(Q19=Цены!$H$12,Цены!$L$12,IF(Q19=Цены!$H$13,Цены!$L$13,IF(Q19=Цены!$H$14,Цены!$L$14,IF(Q19=Цены!$H$14,Цены!$L$14,IF(Q19=Цены!$H$15,Цены!$L$15,IF(Q19=Цены!$H$16,Цены!$L$16,IF(Q19=Цены!$H$17,Цены!$L$17,IF(Q19=Цены!$H$18,Цены!$L$18,IF(Q19=Цены!$H$19,Цены!$L$19,IF(Q19=Цены!$H$20,Цены!$L$20,IF(Q19=Цены!$H$21,Цены!$L$21,IF(Q19=Цены!$H$22,Цены!$L$22,IF(Q19=Цены!$H$23,Цены!$L$23,IF(Q19=Цены!$H$24,Цены!$L$24,IF(Q19=Цены!$H$25,Цены!$L$25,IF(Q19=Цены!$H$26,Цены!$L$26,IF(Q19=Цены!$H$27,Цены!$L$27,IF(Q19=Цены!$H$28,Цены!$L$28,IF(Q19=Цены!$H$29,Цены!$L$29,IF(Q19=Цены!$H$30,Цены!$L$30,IF(Q19=Цены!$H$31,Цены!$L$31,IF(Q19=Цены!$H$32,Цены!$L$32,IF(Q19=Цены!$H$33,Цены!$L$33,IF(Q19=Цены!$H$34,Цены!$L$34,IF(Q19=Цены!$H$35,Цены!$L$35,IF(Q19=Цены!$H$36,Цены!$L$36,IF(Q19=Цены!$H$37,Цены!$L$37,IF(Q19=Цены!$H$38,Цены!$L$38,IF(Q19=Цены!$H$39,Цены!$L$39,IF(Q19=Цены!$H$40,Цены!$L$40,IF(Q19=Цены!$H$41,Цены!$L$41,IF(Q19=Цены!$H$42,Цены!$L$42,IF(Q19=Цены!$H$43,Цены!$L$43,IF(Q19=Цены!$H$44,Цены!$L$44,IF(Q19=Цены!$H$45,Цены!$L$45,IF(Q19=Цены!$H$46,Цены!$L$46,IF(Q19=Цены!$H$47,Цены!$L$47,IF(Q19=Цены!$H$48,Цены!$L$48,IF(Q19=Цены!$H$49,Цены!$L$49,IF(Q19=Цены!$H$50,Цены!$L$50,IF(Q19=Цены!$H$51,Цены!$L$51,IF(Q19=Цены!$H$52,Цены!$L$52,IF(Q19=Цены!$H$53,Цены!$L$53,IF(Q19=Цены!$H$54,Цены!$L$54,IF(Q19=Цены!$H$55,Цены!$L$55))))))))))))))))))))))))))))))))))))))))))))))))))))))</f>
        <v>1.85</v>
      </c>
      <c r="T19" s="309">
        <f>R19*S19+R20*S20+R21*S21+R22*S22</f>
        <v>15.510000000000002</v>
      </c>
      <c r="U19" s="162">
        <f>IF(Q19=Цены!$H$3,Цены!$K$3,IF(Q19=Цены!$H$4,Цены!$K$4,IF(Q19=Цены!$H$5,Цены!$K$5,IF(Q19=Цены!$H$6,Цены!$K$6,IF(Q19=Цены!$H$7,Цены!$K$7,IF(Q19=Цены!$H$8,Цены!$K$8,IF(Q19=Цены!$H$9,Цены!$K$9,IF(Q19=Цены!$H$10,Цены!$K$10,IF(Q19=Цены!$H$11,Цены!$K$11,IF(Q19=Цены!$H$12,Цены!$K$12,IF(Q19=Цены!$H$13,Цены!$K$13,IF(Q19=Цены!$H$14,Цены!$K$14,IF(Q19=Цены!$H$14,Цены!$K$14,IF(Q19=Цены!$H$15,Цены!$K$15,IF(Q19=Цены!$H$16,Цены!$K$16,IF(Q19=Цены!$H$17,Цены!$K$17,IF(Q19=Цены!$H$18,Цены!$K$18,IF(Q19=Цены!$H$19,Цены!$K$19,IF(Q19=Цены!$H$20,Цены!$K$20,IF(Q19=Цены!$H$21,Цены!$K$21,IF(Q19=Цены!$H$22,Цены!$K$22,IF(Q19=Цены!$H$23,Цены!$K$23,IF(Q19=Цены!$H$24,Цены!$K$24,IF(Q19=Цены!$H$25,Цены!$K$25,IF(Q19=Цены!$H$26,Цены!$K$26,IF(Q19=Цены!$H$27,Цены!$K$27,IF(Q19=Цены!$H$28,Цены!$K$28,IF(Q19=Цены!$H$29,Цены!$K$29,IF(Q19=Цены!$H$30,Цены!$K$30,IF(Q19=Цены!$H$31,Цены!$K$31,IF(Q19=Цены!$H$32,Цены!$K$32,IF(Q19=Цены!$H$33,Цены!$K$33,IF(Q19=Цены!$H$34,Цены!$K$34,IF(Q19=Цены!$H$35,Цены!$K$35,IF(Q19=Цены!$H$36,Цены!$K$36,IF(Q19=Цены!$H$37,Цены!$K$37,IF(Q19=Цены!$H$38,Цены!$K$38,IF(Q19=Цены!$H$39,Цены!$K$39,IF(Q19=Цены!$H$40,Цены!$K$40,IF(Q19=Цены!$H$41,Цены!$K$41,IF(Q19=Цены!$H$42,Цены!$K$42,IF(Q19=Цены!$H$43,Цены!$K$43,IF(Q19=Цены!$H$44,Цены!$K$44,IF(Q19=Цены!$H$45,Цены!$K$45,IF(Q19=Цены!$H$46,Цены!$K$46,IF(Q19=Цены!$H$47,Цены!$K$47,IF(Q19=Цены!$H$48,Цены!$K$48,IF(Q19=Цены!$H$49,Цены!$K$49,IF(Q19=Цены!$H$50,Цены!$K$50,IF(Q19=Цены!$H$51,Цены!$K$51,IF(Q19=Цены!$H$52,Цены!$K$52,IF(Q19=Цены!$H$53,Цены!$K$53,IF(Q19=Цены!$H$54,Цены!$K$54,IF(Q19=Цены!$H$55,Цены!$K$55))))))))))))))))))))))))))))))))))))))))))))))))))))))</f>
        <v>318</v>
      </c>
      <c r="V19" s="265">
        <v>0.35</v>
      </c>
      <c r="W19" s="265">
        <v>800</v>
      </c>
      <c r="X19" s="266">
        <f>R19*U19+R20*U20+R21*U21+R22*U22</f>
        <v>3474</v>
      </c>
      <c r="Y19" s="326">
        <v>3000</v>
      </c>
      <c r="Z19" s="266">
        <f>X19+Y19</f>
        <v>6474</v>
      </c>
      <c r="AA19" s="319">
        <v>5000</v>
      </c>
      <c r="AB19" s="310">
        <f>AA19/Z19*100</f>
        <v>77.23200494284832</v>
      </c>
      <c r="AC19" s="270">
        <f>MROUND(X19*3,500)</f>
        <v>10500</v>
      </c>
      <c r="AD19" s="172" t="s">
        <v>165</v>
      </c>
      <c r="AE19" s="30">
        <v>6</v>
      </c>
      <c r="AF19" s="27">
        <f>IF(AD19=Цены!$H$3,Цены!$L$3,IF(AD19=Цены!$H$4,Цены!$L$4,IF(AD19=Цены!$H$5,Цены!$L$5,IF(AD19=Цены!$H$6,Цены!$L$6,IF(AD19=Цены!$H$7,Цены!$L$7,IF(AD19=Цены!$H$8,Цены!$L$8,IF(AD19=Цены!$H$9,Цены!$L$9,IF(AD19=Цены!$H$10,Цены!$L$10,IF(AD19=Цены!$H$11,Цены!$L$11,IF(AD19=Цены!$H$12,Цены!$L$12,IF(AD19=Цены!$H$13,Цены!$L$13,IF(AD19=Цены!$H$14,Цены!$L$14,IF(AD19=Цены!$H$14,Цены!$L$14,IF(AD19=Цены!$H$15,Цены!$L$15,IF(AD19=Цены!$H$16,Цены!$L$16,IF(AD19=Цены!$H$17,Цены!$L$17,IF(AD19=Цены!$H$18,Цены!$L$18,IF(AD19=Цены!$H$19,Цены!$L$19,IF(AD19=Цены!$H$20,Цены!$L$20,IF(AD19=Цены!$H$21,Цены!$L$21,IF(AD19=Цены!$H$22,Цены!$L$22,IF(AD19=Цены!$H$23,Цены!$L$23,IF(AD19=Цены!$H$24,Цены!$L$24,IF(AD19=Цены!$H$25,Цены!$L$25,IF(AD19=Цены!$H$26,Цены!$L$26,IF(AD19=Цены!$H$27,Цены!$L$27,IF(AD19=Цены!$H$28,Цены!$L$28,IF(AD19=Цены!$H$29,Цены!$L$29,IF(AD19=Цены!$H$30,Цены!$L$30,IF(AD19=Цены!$H$31,Цены!$L$31,IF(AD19=Цены!$H$32,Цены!$L$32,IF(AD19=Цены!$H$33,Цены!$L$33,IF(AD19=Цены!$H$34,Цены!$L$34,IF(AD19=Цены!$H$35,Цены!$L$35,IF(AD19=Цены!$H$36,Цены!$L$36,IF(AD19=Цены!$H$37,Цены!$L$37,IF(AD19=Цены!$H$38,Цены!$L$38,IF(AD19=Цены!$H$39,Цены!$L$39,IF(AD19=Цены!$H$40,Цены!$L$40,IF(AD19=Цены!$H$41,Цены!$L$41,IF(AD19=Цены!$H$42,Цены!$L$42,IF(AD19=Цены!$H$43,Цены!$L$43,IF(AD19=Цены!$H$44,Цены!$L$44,IF(AD19=Цены!$H$45,Цены!$L$45,IF(AD19=Цены!$H$46,Цены!$L$46,IF(AD19=Цены!$H$47,Цены!$L$47,IF(AD19=Цены!$H$48,Цены!$L$48,IF(AD19=Цены!$H$49,Цены!$L$49,IF(AD19=Цены!$H$50,Цены!$L$50,IF(AD19=Цены!$H$51,Цены!$L$51,IF(AD19=Цены!$H$52,Цены!$L$52,IF(AD19=Цены!$H$53,Цены!$L$53,IF(AD19=Цены!$H$54,Цены!$L$54,IF(AD19=Цены!$H$55,Цены!$L$55))))))))))))))))))))))))))))))))))))))))))))))))))))))</f>
        <v>1.85</v>
      </c>
      <c r="AG19" s="309">
        <f>AE19*AF19+AE20*AF20+AE21*AF21+AE22*AF22</f>
        <v>30.460000000000004</v>
      </c>
      <c r="AH19" s="28">
        <f>IF(AD19=Цены!$H$3,Цены!$K$3,IF(AD19=Цены!$H$4,Цены!$K$4,IF(AD19=Цены!$H$5,Цены!$K$5,IF(AD19=Цены!$H$6,Цены!$K$6,IF(AD19=Цены!$H$7,Цены!$K$7,IF(AD19=Цены!$H$8,Цены!$K$8,IF(AD19=Цены!$H$9,Цены!$K$9,IF(AD19=Цены!$H$10,Цены!$K$10,IF(AD19=Цены!$H$11,Цены!$K$11,IF(AD19=Цены!$H$12,Цены!$K$12,IF(AD19=Цены!$H$13,Цены!$K$13,IF(AD19=Цены!$H$14,Цены!$K$14,IF(AD19=Цены!$H$14,Цены!$K$14,IF(AD19=Цены!$H$15,Цены!$K$15,IF(AD19=Цены!$H$16,Цены!$K$16,IF(AD19=Цены!$H$17,Цены!$K$17,IF(AD19=Цены!$H$18,Цены!$K$18,IF(AD19=Цены!$H$19,Цены!$K$19,IF(AD19=Цены!$H$20,Цены!$K$20,IF(AD19=Цены!$H$21,Цены!$K$21,IF(AD19=Цены!$H$22,Цены!$K$22,IF(AD19=Цены!$H$23,Цены!$K$23,IF(AD19=Цены!$H$24,Цены!$K$24,IF(AD19=Цены!$H$25,Цены!$K$25,IF(AD19=Цены!$H$26,Цены!$K$26,IF(AD19=Цены!$H$27,Цены!$K$27,IF(AD19=Цены!$H$28,Цены!$K$28,IF(AD19=Цены!$H$29,Цены!$K$29,IF(AD19=Цены!$H$30,Цены!$K$30,IF(AD19=Цены!$H$31,Цены!$K$31,IF(AD19=Цены!$H$32,Цены!$K$32,IF(AD19=Цены!$H$33,Цены!$K$33,IF(AD19=Цены!$H$34,Цены!$K$34,IF(AD19=Цены!$H$35,Цены!$K$35,IF(AD19=Цены!$H$36,Цены!$K$36,IF(AD19=Цены!$H$37,Цены!$K$37,IF(AD19=Цены!$H$38,Цены!$K$38,IF(AD19=Цены!$H$39,Цены!$K$39,IF(AD19=Цены!$H$40,Цены!$K$40,IF(AD19=Цены!$H$41,Цены!$K$41,IF(AD19=Цены!$H$42,Цены!$K$42,IF(AD19=Цены!$H$43,Цены!$K$43,IF(AD19=Цены!$H$44,Цены!$K$44,IF(AD19=Цены!$H$45,Цены!$K$45,IF(AD19=Цены!$H$46,Цены!$K$46,IF(AD19=Цены!$H$47,Цены!$K$47,IF(AD19=Цены!$H$48,Цены!$K$48,IF(AD19=Цены!$H$49,Цены!$K$49,IF(AD19=Цены!$H$50,Цены!$K$50,IF(AD19=Цены!$H$51,Цены!$K$51,IF(AD19=Цены!$H$52,Цены!$K$52,IF(AD19=Цены!$H$53,Цены!$K$53,IF(AD19=Цены!$H$54,Цены!$K$54,IF(AD19=Цены!$H$55,Цены!$K$55))))))))))))))))))))))))))))))))))))))))))))))))))))))</f>
        <v>318</v>
      </c>
      <c r="AI19" s="265">
        <v>5.5</v>
      </c>
      <c r="AJ19" s="265">
        <v>800</v>
      </c>
      <c r="AK19" s="266">
        <f>AE19*AH19+AE20*AH20+AE21*AH21+AE22*AH22</f>
        <v>7516</v>
      </c>
      <c r="AL19" s="267">
        <v>8000</v>
      </c>
      <c r="AM19" s="266">
        <f>AK19+AL19</f>
        <v>15516</v>
      </c>
      <c r="AN19" s="268">
        <v>9000</v>
      </c>
      <c r="AO19" s="310">
        <f>AN19/AM19*100</f>
        <v>58.004640371229698</v>
      </c>
      <c r="AP19" s="270">
        <f>MROUND(AM19+AN19,500)</f>
        <v>24500</v>
      </c>
      <c r="AQ19" s="209" t="s">
        <v>165</v>
      </c>
      <c r="AR19" s="129">
        <v>4</v>
      </c>
      <c r="AS19" s="33">
        <f>IF(AQ19=Цены!$H$3,Цены!$L$3,IF(AQ19=Цены!$H$4,Цены!$L$4,IF(AQ19=Цены!$H$5,Цены!$L$5,IF(AQ19=Цены!$H$6,Цены!$L$6,IF(AQ19=Цены!$H$7,Цены!$L$7,IF(AQ19=Цены!$H$8,Цены!$L$8,IF(AQ19=Цены!$H$9,Цены!$L$9,IF(AQ19=Цены!$H$10,Цены!$L$10,IF(AQ19=Цены!$H$11,Цены!$L$11,IF(AQ19=Цены!$H$12,Цены!$L$12,IF(AQ19=Цены!$H$13,Цены!$L$13,IF(AQ19=Цены!$H$14,Цены!$L$14,IF(AQ19=Цены!$H$14,Цены!$L$14,IF(AQ19=Цены!$H$15,Цены!$L$15,IF(AQ19=Цены!$H$16,Цены!$L$16,IF(AQ19=Цены!$H$17,Цены!$L$17,IF(AQ19=Цены!$H$18,Цены!$L$18,IF(AQ19=Цены!$H$19,Цены!$L$19,IF(AQ19=Цены!$H$20,Цены!$L$20,IF(AQ19=Цены!$H$21,Цены!$L$21,IF(AQ19=Цены!$H$22,Цены!$L$22,IF(AQ19=Цены!$H$23,Цены!$L$23,IF(AQ19=Цены!$H$24,Цены!$L$24,IF(AQ19=Цены!$H$25,Цены!$L$25,IF(AQ19=Цены!$H$26,Цены!$L$26,IF(AQ19=Цены!$H$27,Цены!$L$27,IF(AQ19=Цены!$H$28,Цены!$L$28,IF(AQ19=Цены!$H$29,Цены!$L$29,IF(AQ19=Цены!$H$30,Цены!$L$30,IF(AQ19=Цены!$H$31,Цены!$L$31,IF(AQ19=Цены!$H$32,Цены!$L$32,IF(AQ19=Цены!$H$33,Цены!$L$33,IF(AQ19=Цены!$H$34,Цены!$L$34,IF(AQ19=Цены!$H$35,Цены!$L$35,IF(AQ19=Цены!$H$36,Цены!$L$36,IF(AQ19=Цены!$H$37,Цены!$L$37,IF(AQ19=Цены!$H$38,Цены!$L$38,IF(AQ19=Цены!$H$39,Цены!$L$39,IF(AQ19=Цены!$H$40,Цены!$L$40,IF(AQ19=Цены!$H$41,Цены!$L$41,IF(AQ19=Цены!$H$42,Цены!$L$42,IF(AQ19=Цены!$H$43,Цены!$L$43,IF(AQ19=Цены!$H$44,Цены!$L$44,IF(AQ19=Цены!$H$45,Цены!$L$45,IF(AQ19=Цены!$H$46,Цены!$L$46,IF(AQ19=Цены!$H$47,Цены!$L$47,IF(AQ19=Цены!$H$48,Цены!$L$48,IF(AQ19=Цены!$H$49,Цены!$L$49,IF(AQ19=Цены!$H$50,Цены!$L$50,IF(AQ19=Цены!$H$51,Цены!$L$51,IF(AQ19=Цены!$H$52,Цены!$L$52,IF(AQ19=Цены!$H$53,Цены!$L$53,IF(AQ19=Цены!$H$54,Цены!$L$54,IF(AQ19=Цены!$H$55,Цены!$L$55))))))))))))))))))))))))))))))))))))))))))))))))))))))</f>
        <v>1.85</v>
      </c>
      <c r="AT19" s="276">
        <f>AR19*AS19+AR20*AS20+AR21*AS21+AR22*AS22</f>
        <v>7.9700000000000006</v>
      </c>
      <c r="AU19" s="34">
        <f>IF(AQ19=Цены!$H$3,Цены!$K$3,IF(AQ19=Цены!$H$4,Цены!$K$4,IF(AQ19=Цены!$H$5,Цены!$K$5,IF(AQ19=Цены!$H$6,Цены!$K$6,IF(AQ19=Цены!$H$7,Цены!$K$7,IF(AQ19=Цены!$H$8,Цены!$K$8,IF(AQ19=Цены!$H$9,Цены!$K$9,IF(AQ19=Цены!$H$10,Цены!$K$10,IF(AQ19=Цены!$H$11,Цены!$K$11,IF(AQ19=Цены!$H$12,Цены!$K$12,IF(AQ19=Цены!$H$13,Цены!$K$13,IF(AQ19=Цены!$H$14,Цены!$K$14,IF(AQ19=Цены!$H$14,Цены!$K$14,IF(AQ19=Цены!$H$15,Цены!$K$15,IF(AQ19=Цены!$H$16,Цены!$K$16,IF(AQ19=Цены!$H$17,Цены!$K$17,IF(AQ19=Цены!$H$18,Цены!$K$18,IF(AQ19=Цены!$H$19,Цены!$K$19,IF(AQ19=Цены!$H$20,Цены!$K$20,IF(AQ19=Цены!$H$21,Цены!$K$21,IF(AQ19=Цены!$H$22,Цены!$K$22,IF(AQ19=Цены!$H$23,Цены!$K$23,IF(AQ19=Цены!$H$24,Цены!$K$24,IF(AQ19=Цены!$H$25,Цены!$K$25,IF(AQ19=Цены!$H$26,Цены!$K$26,IF(AQ19=Цены!$H$27,Цены!$K$27,IF(AQ19=Цены!$H$28,Цены!$K$28,IF(AQ19=Цены!$H$29,Цены!$K$29,IF(AQ19=Цены!$H$30,Цены!$K$30,IF(AQ19=Цены!$H$31,Цены!$K$31,IF(AQ19=Цены!$H$32,Цены!$K$32,IF(AQ19=Цены!$H$33,Цены!$K$33,IF(AQ19=Цены!$H$34,Цены!$K$34,IF(AQ19=Цены!$H$35,Цены!$K$35,IF(AQ19=Цены!$H$36,Цены!$K$36,IF(AQ19=Цены!$H$37,Цены!$K$37,IF(AQ19=Цены!$H$38,Цены!$K$38,IF(AQ19=Цены!$H$39,Цены!$K$39,IF(AQ19=Цены!$H$40,Цены!$K$40,IF(AQ19=Цены!$H$41,Цены!$K$41,IF(AQ19=Цены!$H$42,Цены!$K$42,IF(AQ19=Цены!$H$43,Цены!$K$43,IF(AQ19=Цены!$H$44,Цены!$K$44,IF(AQ19=Цены!$H$45,Цены!$K$45,IF(AQ19=Цены!$H$46,Цены!$K$46,IF(AQ19=Цены!$H$47,Цены!$K$47,IF(AQ19=Цены!$H$48,Цены!$K$48,IF(AQ19=Цены!$H$49,Цены!$K$49,IF(AQ19=Цены!$H$50,Цены!$K$50,IF(AQ19=Цены!$H$51,Цены!$K$51,IF(AQ19=Цены!$H$52,Цены!$K$52,IF(AQ19=Цены!$H$53,Цены!$K$53,IF(AQ19=Цены!$H$54,Цены!$K$54,IF(AQ19=Цены!$H$55,Цены!$K$55))))))))))))))))))))))))))))))))))))))))))))))))))))))</f>
        <v>318</v>
      </c>
      <c r="AV19" s="265">
        <v>5.5</v>
      </c>
      <c r="AW19" s="265">
        <v>800</v>
      </c>
      <c r="AX19" s="266">
        <f>AR19*AU19+AR20*AU20+AR21*AU21+AR22*AU22</f>
        <v>2616</v>
      </c>
      <c r="AY19" s="267">
        <v>5000</v>
      </c>
      <c r="AZ19" s="266">
        <f>AX19+AY19</f>
        <v>7616</v>
      </c>
      <c r="BA19" s="268">
        <v>5000</v>
      </c>
      <c r="BB19" s="269">
        <f>BA19/AZ19*100</f>
        <v>65.651260504201687</v>
      </c>
      <c r="BC19" s="270">
        <f>MROUND(AZ19+BA19,500)</f>
        <v>12500</v>
      </c>
      <c r="BD19" s="258">
        <f>BC19+CQ19</f>
        <v>17500</v>
      </c>
      <c r="BE19" s="172" t="s">
        <v>166</v>
      </c>
      <c r="BF19" s="71">
        <v>5</v>
      </c>
      <c r="BG19" s="33">
        <f>IF(BE19=Цены!$H$3,Цены!$L$3,IF(BE19=Цены!$H$4,Цены!$L$4,IF(BE19=Цены!$H$5,Цены!$L$5,IF(BE19=Цены!$H$6,Цены!$L$6,IF(BE19=Цены!$H$7,Цены!$L$7,IF(BE19=Цены!$H$8,Цены!$L$8,IF(BE19=Цены!$H$9,Цены!$L$9,IF(BE19=Цены!$H$10,Цены!$L$10,IF(BE19=Цены!$H$11,Цены!$L$11,IF(BE19=Цены!$H$12,Цены!$L$12,IF(BE19=Цены!$H$13,Цены!$L$13,IF(BE19=Цены!$H$14,Цены!$L$14,IF(BE19=Цены!$H$14,Цены!$L$14,IF(BE19=Цены!$H$15,Цены!$L$15,IF(BE19=Цены!$H$16,Цены!$L$16,IF(BE19=Цены!$H$17,Цены!$L$17,IF(BE19=Цены!$H$18,Цены!$L$18,IF(BE19=Цены!$H$19,Цены!$L$19,IF(BE19=Цены!$H$20,Цены!$L$20,IF(BE19=Цены!$H$21,Цены!$L$21,IF(BE19=Цены!$H$22,Цены!$L$22,IF(BE19=Цены!$H$23,Цены!$L$23,IF(BE19=Цены!$H$24,Цены!$L$24,IF(BE19=Цены!$H$25,Цены!$L$25,IF(BE19=Цены!$H$26,Цены!$L$26,IF(BE19=Цены!$H$27,Цены!$L$27,IF(BE19=Цены!$H$28,Цены!$L$28,IF(BE19=Цены!$H$29,Цены!$L$29,IF(BE19=Цены!$H$30,Цены!$L$30,IF(BE19=Цены!$H$31,Цены!$L$31,IF(BE19=Цены!$H$32,Цены!$L$32,IF(BE19=Цены!$H$33,Цены!$L$33,IF(BE19=Цены!$H$34,Цены!$L$34,IF(BE19=Цены!$H$35,Цены!$L$35,IF(BE19=Цены!$H$36,Цены!$L$36,IF(BE19=Цены!$H$37,Цены!$L$37,IF(BE19=Цены!$H$38,Цены!$L$38,IF(BE19=Цены!$H$39,Цены!$L$39,IF(BE19=Цены!$H$40,Цены!$L$40,IF(BE19=Цены!$H$41,Цены!$L$41,IF(BE19=Цены!$H$42,Цены!$L$42,IF(BE19=Цены!$H$43,Цены!$L$43,IF(BE19=Цены!$H$44,Цены!$L$44,IF(BE19=Цены!$H$45,Цены!$L$45,IF(BE19=Цены!$H$46,Цены!$L$46,IF(BE19=Цены!$H$47,Цены!$L$47,IF(BE19=Цены!$H$48,Цены!$L$48,IF(BE19=Цены!$H$49,Цены!$L$49,IF(BE19=Цены!$H$50,Цены!$L$50,IF(BE19=Цены!$H$51,Цены!$L$51,IF(BE19=Цены!$H$52,Цены!$L$52,IF(BE19=Цены!$H$53,Цены!$L$53,IF(BE19=Цены!$H$54,Цены!$L$54,IF(BE19=Цены!$H$55,Цены!$L$55))))))))))))))))))))))))))))))))))))))))))))))))))))))</f>
        <v>1.23</v>
      </c>
      <c r="BH19" s="276">
        <f>BF19*BG19+BF20*BG20+BF21*BG21+BF22*BG22</f>
        <v>6.7200000000000006</v>
      </c>
      <c r="BI19" s="34">
        <f>IF(BE19=Цены!$H$3,Цены!$K$3,IF(BE19=Цены!$H$4,Цены!$K$4,IF(BE19=Цены!$H$5,Цены!$K$5,IF(BE19=Цены!$H$6,Цены!$K$6,IF(BE19=Цены!$H$7,Цены!$K$7,IF(BE19=Цены!$H$8,Цены!$K$8,IF(BE19=Цены!$H$9,Цены!$K$9,IF(BE19=Цены!$H$10,Цены!$K$10,IF(BE19=Цены!$H$11,Цены!$K$11,IF(BE19=Цены!$H$12,Цены!$K$12,IF(BE19=Цены!$H$13,Цены!$K$13,IF(BE19=Цены!$H$14,Цены!$K$14,IF(BE19=Цены!$H$14,Цены!$K$14,IF(BE19=Цены!$H$15,Цены!$K$15,IF(BE19=Цены!$H$16,Цены!$K$16,IF(BE19=Цены!$H$17,Цены!$K$17,IF(BE19=Цены!$H$18,Цены!$K$18,IF(BE19=Цены!$H$19,Цены!$K$19,IF(BE19=Цены!$H$20,Цены!$K$20,IF(BE19=Цены!$H$21,Цены!$K$21,IF(BE19=Цены!$H$22,Цены!$K$22,IF(BE19=Цены!$H$23,Цены!$K$23,IF(BE19=Цены!$H$24,Цены!$K$24,IF(BE19=Цены!$H$25,Цены!$K$25,IF(BE19=Цены!$H$26,Цены!$K$26,IF(BE19=Цены!$H$27,Цены!$K$27,IF(BE19=Цены!$H$28,Цены!$K$28,IF(BE19=Цены!$H$29,Цены!$K$29,IF(BE19=Цены!$H$30,Цены!$K$30,IF(BE19=Цены!$H$31,Цены!$K$31,IF(BE19=Цены!$H$32,Цены!$K$32,IF(BE19=Цены!$H$33,Цены!$K$33,IF(BE19=Цены!$H$34,Цены!$K$34,IF(BE19=Цены!$H$35,Цены!$K$35,IF(BE19=Цены!$H$36,Цены!$K$36,IF(BE19=Цены!$H$37,Цены!$K$37,IF(BE19=Цены!$H$38,Цены!$K$38,IF(BE19=Цены!$H$39,Цены!$K$39,IF(BE19=Цены!$H$40,Цены!$K$40,IF(BE19=Цены!$H$41,Цены!$K$41,IF(BE19=Цены!$H$42,Цены!$K$42,IF(BE19=Цены!$H$43,Цены!$K$43,IF(BE19=Цены!$H$44,Цены!$K$44,IF(BE19=Цены!$H$45,Цены!$K$45,IF(BE19=Цены!$H$46,Цены!$K$46,IF(BE19=Цены!$H$47,Цены!$K$47,IF(BE19=Цены!$H$48,Цены!$K$48,IF(BE19=Цены!$H$49,Цены!$K$49,IF(BE19=Цены!$H$50,Цены!$K$50,IF(BE19=Цены!$H$51,Цены!$K$51,IF(BE19=Цены!$H$52,Цены!$K$52,IF(BE19=Цены!$H$53,Цены!$K$53,IF(BE19=Цены!$H$54,Цены!$K$54,IF(BE19=Цены!$H$55,Цены!$K$55))))))))))))))))))))))))))))))))))))))))))))))))))))))</f>
        <v>255</v>
      </c>
      <c r="BJ19" s="265">
        <v>4</v>
      </c>
      <c r="BK19" s="265">
        <v>800</v>
      </c>
      <c r="BL19" s="266">
        <f>BF19*BI19+BF20*BI20+BF21*BI21+BF22*BI22</f>
        <v>2619</v>
      </c>
      <c r="BM19" s="267">
        <v>5000</v>
      </c>
      <c r="BN19" s="266">
        <f>BL19+BM19</f>
        <v>7619</v>
      </c>
      <c r="BO19" s="268">
        <v>5000</v>
      </c>
      <c r="BP19" s="269">
        <f>BO19/BN19*100</f>
        <v>65.625410158813494</v>
      </c>
      <c r="BQ19" s="270">
        <f>MROUND(BN19+BO19,500)</f>
        <v>12500</v>
      </c>
      <c r="BR19" s="172" t="s">
        <v>166</v>
      </c>
      <c r="BS19" s="43">
        <v>2</v>
      </c>
      <c r="BT19" s="33">
        <f>IF(BR19=Цены!$H$3,Цены!$L$3,IF(BR19=Цены!$H$4,Цены!$L$4,IF(BR19=Цены!$H$5,Цены!$L$5,IF(BR19=Цены!$H$6,Цены!$L$6,IF(BR19=Цены!$H$7,Цены!$L$7,IF(BR19=Цены!$H$8,Цены!$L$8,IF(BR19=Цены!$H$9,Цены!$L$9,IF(BR19=Цены!$H$10,Цены!$L$10,IF(BR19=Цены!$H$11,Цены!$L$11,IF(BR19=Цены!$H$12,Цены!$L$12,IF(BR19=Цены!$H$13,Цены!$L$13,IF(BR19=Цены!$H$14,Цены!$L$14,IF(BR19=Цены!$H$14,Цены!$L$14,IF(BR19=Цены!$H$15,Цены!$L$15,IF(BR19=Цены!$H$16,Цены!$L$16,IF(BR19=Цены!$H$17,Цены!$L$17,IF(BR19=Цены!$H$18,Цены!$L$18,IF(BR19=Цены!$H$19,Цены!$L$19,IF(BR19=Цены!$H$20,Цены!$L$20,IF(BR19=Цены!$H$21,Цены!$L$21,IF(BR19=Цены!$H$22,Цены!$L$22,IF(BR19=Цены!$H$23,Цены!$L$23,IF(BR19=Цены!$H$24,Цены!$L$24,IF(BR19=Цены!$H$25,Цены!$L$25,IF(BR19=Цены!$H$26,Цены!$L$26,IF(BR19=Цены!$H$27,Цены!$L$27,IF(BR19=Цены!$H$28,Цены!$L$28,IF(BR19=Цены!$H$29,Цены!$L$29,IF(BR19=Цены!$H$30,Цены!$L$30,IF(BR19=Цены!$H$31,Цены!$L$31,IF(BR19=Цены!$H$32,Цены!$L$32,IF(BR19=Цены!$H$33,Цены!$L$33,IF(BR19=Цены!$H$34,Цены!$L$34,IF(BR19=Цены!$H$35,Цены!$L$35,IF(BR19=Цены!$H$36,Цены!$L$36,IF(BR19=Цены!$H$37,Цены!$L$37,IF(BR19=Цены!$H$38,Цены!$L$38,IF(BR19=Цены!$H$39,Цены!$L$39,IF(BR19=Цены!$H$40,Цены!$L$40,IF(BR19=Цены!$H$41,Цены!$L$41,IF(BR19=Цены!$H$42,Цены!$L$42,IF(BR19=Цены!$H$43,Цены!$L$43,IF(BR19=Цены!$H$44,Цены!$L$44,IF(BR19=Цены!$H$45,Цены!$L$45,IF(BR19=Цены!$H$46,Цены!$L$46,IF(BR19=Цены!$H$47,Цены!$L$47,IF(BR19=Цены!$H$48,Цены!$L$48,IF(BR19=Цены!$H$49,Цены!$L$49,IF(BR19=Цены!$H$50,Цены!$L$50,IF(BR19=Цены!$H$51,Цены!$L$51,IF(BR19=Цены!$H$52,Цены!$L$52,IF(BR19=Цены!$H$53,Цены!$L$53,IF(BR19=Цены!$H$54,Цены!$L$54,IF(BR19=Цены!$H$55,Цены!$L$55))))))))))))))))))))))))))))))))))))))))))))))))))))))</f>
        <v>1.23</v>
      </c>
      <c r="BU19" s="276">
        <f>BS19*BT19+BS20*BT20+BS21*BT21+BS22*BT22</f>
        <v>3.66</v>
      </c>
      <c r="BV19" s="34">
        <f>IF(BR19=Цены!$H$3,Цены!$K$3,IF(BR19=Цены!$H$4,Цены!$K$4,IF(BR19=Цены!$H$5,Цены!$K$5,IF(BR19=Цены!$H$6,Цены!$K$6,IF(BR19=Цены!$H$7,Цены!$K$7,IF(BR19=Цены!$H$8,Цены!$K$8,IF(BR19=Цены!$H$9,Цены!$K$9,IF(BR19=Цены!$H$10,Цены!$K$10,IF(BR19=Цены!$H$11,Цены!$K$11,IF(BR19=Цены!$H$12,Цены!$K$12,IF(BR19=Цены!$H$13,Цены!$K$13,IF(BR19=Цены!$H$14,Цены!$K$14,IF(BR19=Цены!$H$14,Цены!$K$14,IF(BR19=Цены!$H$15,Цены!$K$15,IF(BR19=Цены!$H$16,Цены!$K$16,IF(BR19=Цены!$H$17,Цены!$K$17,IF(BR19=Цены!$H$18,Цены!$K$18,IF(BR19=Цены!$H$19,Цены!$K$19,IF(BR19=Цены!$H$20,Цены!$K$20,IF(BR19=Цены!$H$21,Цены!$K$21,IF(BR19=Цены!$H$22,Цены!$K$22,IF(BR19=Цены!$H$23,Цены!$K$23,IF(BR19=Цены!$H$24,Цены!$K$24,IF(BR19=Цены!$H$25,Цены!$K$25,IF(BR19=Цены!$H$26,Цены!$K$26,IF(BR19=Цены!$H$27,Цены!$K$27,IF(BR19=Цены!$H$28,Цены!$K$28,IF(BR19=Цены!$H$29,Цены!$K$29,IF(BR19=Цены!$H$30,Цены!$K$30,IF(BR19=Цены!$H$31,Цены!$K$31,IF(BR19=Цены!$H$32,Цены!$K$32,IF(BR19=Цены!$H$33,Цены!$K$33,IF(BR19=Цены!$H$34,Цены!$K$34,IF(BR19=Цены!$H$35,Цены!$K$35,IF(BR19=Цены!$H$36,Цены!$K$36,IF(BR19=Цены!$H$37,Цены!$K$37,IF(BR19=Цены!$H$38,Цены!$K$38,IF(BR19=Цены!$H$39,Цены!$K$39,IF(BR19=Цены!$H$40,Цены!$K$40,IF(BR19=Цены!$H$41,Цены!$K$41,IF(BR19=Цены!$H$42,Цены!$K$42,IF(BR19=Цены!$H$43,Цены!$K$43,IF(BR19=Цены!$H$44,Цены!$K$44,IF(BR19=Цены!$H$45,Цены!$K$45,IF(BR19=Цены!$H$46,Цены!$K$46,IF(BR19=Цены!$H$47,Цены!$K$47,IF(BR19=Цены!$H$48,Цены!$K$48,IF(BR19=Цены!$H$49,Цены!$K$49,IF(BR19=Цены!$H$50,Цены!$K$50,IF(BR19=Цены!$H$51,Цены!$K$51,IF(BR19=Цены!$H$52,Цены!$K$52,IF(BR19=Цены!$H$53,Цены!$K$53,IF(BR19=Цены!$H$54,Цены!$K$54,IF(BR19=Цены!$H$55,Цены!$K$55))))))))))))))))))))))))))))))))))))))))))))))))))))))</f>
        <v>255</v>
      </c>
      <c r="BW19" s="265">
        <v>1</v>
      </c>
      <c r="BX19" s="265">
        <v>800</v>
      </c>
      <c r="BY19" s="266">
        <f>BS19*BV19+BS20*BV20+BS21*BV21+BS22*BV22</f>
        <v>842</v>
      </c>
      <c r="BZ19" s="267">
        <v>1000</v>
      </c>
      <c r="CA19" s="266">
        <f>BY19+BZ19</f>
        <v>1842</v>
      </c>
      <c r="CB19" s="268">
        <v>2000</v>
      </c>
      <c r="CC19" s="269">
        <f>CB19/CA19*100</f>
        <v>108.57763300760044</v>
      </c>
      <c r="CD19" s="270">
        <f>MROUND(CA19+CB19,500)</f>
        <v>4000</v>
      </c>
      <c r="CE19" s="171" t="s">
        <v>166</v>
      </c>
      <c r="CF19" s="43">
        <v>2</v>
      </c>
      <c r="CG19" s="33">
        <f>IF(CE19=Цены!$H$3,Цены!$L$3,IF(CE19=Цены!$H$4,Цены!$L$4,IF(CE19=Цены!$H$5,Цены!$L$5,IF(CE19=Цены!$H$6,Цены!$L$6,IF(CE19=Цены!$H$7,Цены!$L$7,IF(CE19=Цены!$H$8,Цены!$L$8,IF(CE19=Цены!$H$9,Цены!$L$9,IF(CE19=Цены!$H$10,Цены!$L$10,IF(CE19=Цены!$H$11,Цены!$L$11,IF(CE19=Цены!$H$12,Цены!$L$12,IF(CE19=Цены!$H$13,Цены!$L$13,IF(CE19=Цены!$H$14,Цены!$L$14,IF(CE19=Цены!$H$14,Цены!$L$14,IF(CE19=Цены!$H$15,Цены!$L$15,IF(CE19=Цены!$H$16,Цены!$L$16,IF(CE19=Цены!$H$17,Цены!$L$17,IF(CE19=Цены!$H$18,Цены!$L$18,IF(CE19=Цены!$H$19,Цены!$L$19,IF(CE19=Цены!$H$20,Цены!$L$20,IF(CE19=Цены!$H$21,Цены!$L$21,IF(CE19=Цены!$H$22,Цены!$L$22,IF(CE19=Цены!$H$23,Цены!$L$23,IF(CE19=Цены!$H$24,Цены!$L$24,IF(CE19=Цены!$H$25,Цены!$L$25,IF(CE19=Цены!$H$26,Цены!$L$26,IF(CE19=Цены!$H$27,Цены!$L$27,IF(CE19=Цены!$H$28,Цены!$L$28,IF(CE19=Цены!$H$29,Цены!$L$29,IF(CE19=Цены!$H$30,Цены!$L$30,IF(CE19=Цены!$H$31,Цены!$L$31,IF(CE19=Цены!$H$32,Цены!$L$32,IF(CE19=Цены!$H$33,Цены!$L$33,IF(CE19=Цены!$H$34,Цены!$L$34,IF(CE19=Цены!$H$35,Цены!$L$35,IF(CE19=Цены!$H$36,Цены!$L$36,IF(CE19=Цены!$H$37,Цены!$L$37,IF(CE19=Цены!$H$38,Цены!$L$38,IF(CE19=Цены!$H$39,Цены!$L$39,IF(CE19=Цены!$H$40,Цены!$L$40,IF(CE19=Цены!$H$41,Цены!$L$41,IF(CE19=Цены!$H$42,Цены!$L$42,IF(CE19=Цены!$H$43,Цены!$L$43,IF(CE19=Цены!$H$44,Цены!$L$44,IF(CE19=Цены!$H$45,Цены!$L$45,IF(CE19=Цены!$H$46,Цены!$L$46,IF(CE19=Цены!$H$47,Цены!$L$47,IF(CE19=Цены!$H$48,Цены!$L$48,IF(CE19=Цены!$H$49,Цены!$L$49,IF(CE19=Цены!$H$50,Цены!$L$50,IF(CE19=Цены!$H$51,Цены!$L$51,IF(CE19=Цены!$H$52,Цены!$L$52,IF(CE19=Цены!$H$53,Цены!$L$53,IF(CE19=Цены!$H$54,Цены!$L$54,IF(CE19=Цены!$H$55,Цены!$L$55))))))))))))))))))))))))))))))))))))))))))))))))))))))</f>
        <v>1.23</v>
      </c>
      <c r="CH19" s="276">
        <f>CF19*CG19+CF20*CG20+CF21*CG21+CF22*CG22</f>
        <v>3.0664000000000002</v>
      </c>
      <c r="CI19" s="34">
        <f>IF(CE19=Цены!$H$3,Цены!$K$3,IF(CE19=Цены!$H$4,Цены!$K$4,IF(CE19=Цены!$H$5,Цены!$K$5,IF(CE19=Цены!$H$6,Цены!$K$6,IF(CE19=Цены!$H$7,Цены!$K$7,IF(CE19=Цены!$H$8,Цены!$K$8,IF(CE19=Цены!$H$9,Цены!$K$9,IF(CE19=Цены!$H$10,Цены!$K$10,IF(CE19=Цены!$H$11,Цены!$K$11,IF(CE19=Цены!$H$12,Цены!$K$12,IF(CE19=Цены!$H$13,Цены!$K$13,IF(CE19=Цены!$H$14,Цены!$K$14,IF(CE19=Цены!$H$14,Цены!$K$14,IF(CE19=Цены!$H$15,Цены!$K$15,IF(CE19=Цены!$H$16,Цены!$K$16,IF(CE19=Цены!$H$17,Цены!$K$17,IF(CE19=Цены!$H$18,Цены!$K$18,IF(CE19=Цены!$H$19,Цены!$K$19,IF(CE19=Цены!$H$20,Цены!$K$20,IF(CE19=Цены!$H$21,Цены!$K$21,IF(CE19=Цены!$H$22,Цены!$K$22,IF(CE19=Цены!$H$23,Цены!$K$23,IF(CE19=Цены!$H$24,Цены!$K$24,IF(CE19=Цены!$H$25,Цены!$K$25,IF(CE19=Цены!$H$26,Цены!$K$26,IF(CE19=Цены!$H$27,Цены!$K$27,IF(CE19=Цены!$H$28,Цены!$K$28,IF(CE19=Цены!$H$29,Цены!$K$29,IF(CE19=Цены!$H$30,Цены!$K$30,IF(CE19=Цены!$H$31,Цены!$K$31,IF(CE19=Цены!$H$32,Цены!$K$32,IF(CE19=Цены!$H$33,Цены!$K$33,IF(CE19=Цены!$H$34,Цены!$K$34,IF(CE19=Цены!$H$35,Цены!$K$35,IF(CE19=Цены!$H$36,Цены!$K$36,IF(CE19=Цены!$H$37,Цены!$K$37,IF(CE19=Цены!$H$38,Цены!$K$38,IF(CE19=Цены!$H$39,Цены!$K$39,IF(CE19=Цены!$H$40,Цены!$K$40,IF(CE19=Цены!$H$41,Цены!$K$41,IF(CE19=Цены!$H$42,Цены!$K$42,IF(CE19=Цены!$H$43,Цены!$K$43,IF(CE19=Цены!$H$44,Цены!$K$44,IF(CE19=Цены!$H$45,Цены!$K$45,IF(CE19=Цены!$H$46,Цены!$K$46,IF(CE19=Цены!$H$47,Цены!$K$47,IF(CE19=Цены!$H$48,Цены!$K$48,IF(CE19=Цены!$H$49,Цены!$K$49,IF(CE19=Цены!$H$50,Цены!$K$50,IF(CE19=Цены!$H$51,Цены!$K$51,IF(CE19=Цены!$H$52,Цены!$K$52,IF(CE19=Цены!$H$53,Цены!$K$53,IF(CE19=Цены!$H$54,Цены!$K$54,IF(CE19=Цены!$H$55,Цены!$K$55))))))))))))))))))))))))))))))))))))))))))))))))))))))</f>
        <v>255</v>
      </c>
      <c r="CJ19" s="265">
        <v>1.5</v>
      </c>
      <c r="CK19" s="265">
        <v>800</v>
      </c>
      <c r="CL19" s="266">
        <f>CF19*CI19+CF20*CI20+CF21*CI21+CF22*CI22</f>
        <v>1690</v>
      </c>
      <c r="CM19" s="267">
        <v>1500</v>
      </c>
      <c r="CN19" s="266">
        <f>CL19+CM19</f>
        <v>3190</v>
      </c>
      <c r="CO19" s="268">
        <v>2000</v>
      </c>
      <c r="CP19" s="269">
        <f>CO19/CN19*100</f>
        <v>62.695924764890286</v>
      </c>
      <c r="CQ19" s="270">
        <f>MROUND(CN19+CO19,500)</f>
        <v>5000</v>
      </c>
    </row>
    <row r="20" spans="1:95" ht="15" customHeight="1" x14ac:dyDescent="0.25">
      <c r="A20" s="267"/>
      <c r="B20" s="265"/>
      <c r="C20" s="265"/>
      <c r="D20" s="171" t="s">
        <v>91</v>
      </c>
      <c r="E20" s="25">
        <v>2</v>
      </c>
      <c r="F20" s="27">
        <f>IF(D20=Цены!$H$3,Цены!$L$3,IF(D20=Цены!$H$4,Цены!$L$4,IF(D20=Цены!$H$5,Цены!$L$5,IF(D20=Цены!$H$6,Цены!$L$6,IF(D20=Цены!$H$7,Цены!$L$7,IF(D20=Цены!$H$8,Цены!$L$8,IF(D20=Цены!$H$9,Цены!$L$9,IF(D20=Цены!$H$10,Цены!$L$10,IF(D20=Цены!$H$11,Цены!$L$11,IF(D20=Цены!$H$12,Цены!$L$12,IF(D20=Цены!$H$13,Цены!$L$13,IF(D20=Цены!$H$14,Цены!$L$14,IF(D20=Цены!$H$14,Цены!$L$14,IF(D20=Цены!$H$15,Цены!$L$15,IF(D20=Цены!$H$16,Цены!$L$16,IF(D20=Цены!$H$17,Цены!$L$17,IF(D20=Цены!$H$18,Цены!$L$18,IF(D20=Цены!$H$19,Цены!$L$19,IF(D20=Цены!$H$20,Цены!$L$20,IF(D20=Цены!$H$21,Цены!$L$21,IF(D20=Цены!$H$22,Цены!$L$22,IF(D20=Цены!$H$23,Цены!$L$23,IF(D20=Цены!$H$24,Цены!$L$24,IF(D20=Цены!$H$25,Цены!$L$25,IF(D20=Цены!$H$26,Цены!$L$26,IF(D20=Цены!$H$27,Цены!$L$27,IF(D20=Цены!$H$28,Цены!$L$28,IF(D20=Цены!$H$29,Цены!$L$29,IF(D20=Цены!$H$30,Цены!$L$30,IF(D20=Цены!$H$31,Цены!$L$31,IF(D20=Цены!$H$32,Цены!$L$32,IF(D20=Цены!$H$33,Цены!$L$33,IF(D20=Цены!$H$34,Цены!$L$34,IF(D20=Цены!$H$35,Цены!$L$35,IF(D20=Цены!$H$36,Цены!$L$36,IF(D20=Цены!$H$37,Цены!$L$37,IF(D20=Цены!$H$38,Цены!$L$38,IF(D20=Цены!$H$39,Цены!$L$39,IF(D20=Цены!$H$40,Цены!$L$40,IF(D20=Цены!$H$41,Цены!$L$41,IF(D20=Цены!$H$42,Цены!$L$42,IF(D20=Цены!$H$43,Цены!$L$43,IF(D20=Цены!$H$44,Цены!$L$44,IF(D20=Цены!$H$45,Цены!$L$45,IF(D20=Цены!$H$46,Цены!$L$46,IF(D20=Цены!$H$47,Цены!$L$47,IF(D20=Цены!$H$48,Цены!$L$48,IF(D20=Цены!$H$49,Цены!$L$49,IF(D20=Цены!$H$50,Цены!$L$50,IF(D20=Цены!$H$51,Цены!$L$51,IF(D20=Цены!$H$52,Цены!$L$52,IF(D20=Цены!$H$53,Цены!$L$53,IF(D20=Цены!$H$54,Цены!$L$54,IF(D20=Цены!$H$55,Цены!$L$55))))))))))))))))))))))))))))))))))))))))))))))))))))))</f>
        <v>0.19</v>
      </c>
      <c r="G20" s="309"/>
      <c r="H20" s="28">
        <f>IF(D20=Цены!$H$3,Цены!$K$3,IF(D20=Цены!$H$4,Цены!$K$4,IF(D20=Цены!$H$5,Цены!$K$5,IF(D20=Цены!$H$6,Цены!$K$6,IF(D20=Цены!$H$7,Цены!$K$7,IF(D20=Цены!$H$8,Цены!$K$8,IF(D20=Цены!$H$9,Цены!$K$9,IF(D20=Цены!$H$10,Цены!$K$10,IF(D20=Цены!$H$11,Цены!$K$11,IF(D20=Цены!$H$12,Цены!$K$12,IF(D20=Цены!$H$13,Цены!$K$13,IF(D20=Цены!$H$14,Цены!$K$14,IF(D20=Цены!$H$14,Цены!$K$14,IF(D20=Цены!$H$15,Цены!$K$15,IF(D20=Цены!$H$16,Цены!$K$16,IF(D20=Цены!$H$17,Цены!$K$17,IF(D20=Цены!$H$18,Цены!$K$18,IF(D20=Цены!$H$19,Цены!$K$19,IF(D20=Цены!$H$20,Цены!$K$20,IF(D20=Цены!$H$21,Цены!$K$21,IF(D20=Цены!$H$22,Цены!$K$22,IF(D20=Цены!$H$23,Цены!$K$23,IF(D20=Цены!$H$24,Цены!$K$24,IF(D20=Цены!$H$25,Цены!$K$25,IF(D20=Цены!$H$26,Цены!$K$26,IF(D20=Цены!$H$27,Цены!$K$27,IF(D20=Цены!$H$28,Цены!$K$28,IF(D20=Цены!$H$29,Цены!$K$29,IF(D20=Цены!$H$30,Цены!$K$30,IF(D20=Цены!$H$31,Цены!$K$31,IF(D20=Цены!$H$32,Цены!$K$32,IF(D20=Цены!$H$33,Цены!$K$33,IF(D20=Цены!$H$34,Цены!$K$34,IF(D20=Цены!$H$35,Цены!$K$35,IF(D20=Цены!$H$36,Цены!$K$36,IF(D20=Цены!$H$37,Цены!$K$37,IF(D20=Цены!$H$38,Цены!$K$38,IF(D20=Цены!$H$39,Цены!$K$39,IF(D20=Цены!$H$40,Цены!$K$40,IF(D20=Цены!$H$41,Цены!$K$41,IF(D20=Цены!$H$42,Цены!$K$42,IF(D20=Цены!$H$43,Цены!$K$43,IF(D20=Цены!$H$44,Цены!$K$44,IF(D20=Цены!$H$45,Цены!$K$45,IF(D20=Цены!$H$46,Цены!$K$46,IF(D20=Цены!$H$47,Цены!$K$47,IF(D20=Цены!$H$48,Цены!$K$48,IF(D20=Цены!$H$49,Цены!$K$49,IF(D20=Цены!$H$50,Цены!$K$50,IF(D20=Цены!$H$51,Цены!$K$51,IF(D20=Цены!$H$52,Цены!$K$52,IF(D20=Цены!$H$53,Цены!$K$53,IF(D20=Цены!$H$54,Цены!$K$54,IF(D20=Цены!$H$55,Цены!$K$55))))))))))))))))))))))))))))))))))))))))))))))))))))))</f>
        <v>448</v>
      </c>
      <c r="I20" s="286"/>
      <c r="J20" s="265"/>
      <c r="K20" s="266"/>
      <c r="L20" s="267"/>
      <c r="M20" s="267"/>
      <c r="N20" s="320"/>
      <c r="O20" s="310"/>
      <c r="P20" s="270"/>
      <c r="Q20" s="209" t="s">
        <v>80</v>
      </c>
      <c r="R20" s="30">
        <v>4</v>
      </c>
      <c r="S20" s="27">
        <f>IF(Q20=Цены!$H$3,Цены!$L$3,IF(Q20=Цены!$H$4,Цены!$L$4,IF(Q20=Цены!$H$5,Цены!$L$5,IF(Q20=Цены!$H$6,Цены!$L$6,IF(Q20=Цены!$H$7,Цены!$L$7,IF(Q20=Цены!$H$8,Цены!$L$8,IF(Q20=Цены!$H$9,Цены!$L$9,IF(Q20=Цены!$H$10,Цены!$L$10,IF(Q20=Цены!$H$11,Цены!$L$11,IF(Q20=Цены!$H$12,Цены!$L$12,IF(Q20=Цены!$H$13,Цены!$L$13,IF(Q20=Цены!$H$14,Цены!$L$14,IF(Q20=Цены!$H$14,Цены!$L$14,IF(Q20=Цены!$H$15,Цены!$L$15,IF(Q20=Цены!$H$16,Цены!$L$16,IF(Q20=Цены!$H$17,Цены!$L$17,IF(Q20=Цены!$H$18,Цены!$L$18,IF(Q20=Цены!$H$19,Цены!$L$19,IF(Q20=Цены!$H$20,Цены!$L$20,IF(Q20=Цены!$H$21,Цены!$L$21,IF(Q20=Цены!$H$22,Цены!$L$22,IF(Q20=Цены!$H$23,Цены!$L$23,IF(Q20=Цены!$H$24,Цены!$L$24,IF(Q20=Цены!$H$25,Цены!$L$25,IF(Q20=Цены!$H$26,Цены!$L$26,IF(Q20=Цены!$H$27,Цены!$L$27,IF(Q20=Цены!$H$28,Цены!$L$28,IF(Q20=Цены!$H$29,Цены!$L$29,IF(Q20=Цены!$H$30,Цены!$L$30,IF(Q20=Цены!$H$31,Цены!$L$31,IF(Q20=Цены!$H$32,Цены!$L$32,IF(Q20=Цены!$H$33,Цены!$L$33,IF(Q20=Цены!$H$34,Цены!$L$34,IF(Q20=Цены!$H$35,Цены!$L$35,IF(Q20=Цены!$H$36,Цены!$L$36,IF(Q20=Цены!$H$37,Цены!$L$37,IF(Q20=Цены!$H$38,Цены!$L$38,IF(Q20=Цены!$H$39,Цены!$L$39,IF(Q20=Цены!$H$40,Цены!$L$40,IF(Q20=Цены!$H$41,Цены!$L$41,IF(Q20=Цены!$H$42,Цены!$L$42,IF(Q20=Цены!$H$43,Цены!$L$43,IF(Q20=Цены!$H$44,Цены!$L$44,IF(Q20=Цены!$H$45,Цены!$L$45,IF(Q20=Цены!$H$46,Цены!$L$46,IF(Q20=Цены!$H$47,Цены!$L$47,IF(Q20=Цены!$H$48,Цены!$L$48,IF(Q20=Цены!$H$49,Цены!$L$49,IF(Q20=Цены!$H$50,Цены!$L$50,IF(Q20=Цены!$H$51,Цены!$L$51,IF(Q20=Цены!$H$52,Цены!$L$52,IF(Q20=Цены!$H$53,Цены!$L$53,IF(Q20=Цены!$H$54,Цены!$L$54,IF(Q20=Цены!$H$55,Цены!$L$55))))))))))))))))))))))))))))))))))))))))))))))))))))))</f>
        <v>0.64</v>
      </c>
      <c r="T20" s="309"/>
      <c r="U20" s="162">
        <f>IF(Q20=Цены!$H$3,Цены!$K$3,IF(Q20=Цены!$H$4,Цены!$K$4,IF(Q20=Цены!$H$5,Цены!$K$5,IF(Q20=Цены!$H$6,Цены!$K$6,IF(Q20=Цены!$H$7,Цены!$K$7,IF(Q20=Цены!$H$8,Цены!$K$8,IF(Q20=Цены!$H$9,Цены!$K$9,IF(Q20=Цены!$H$10,Цены!$K$10,IF(Q20=Цены!$H$11,Цены!$K$11,IF(Q20=Цены!$H$12,Цены!$K$12,IF(Q20=Цены!$H$13,Цены!$K$13,IF(Q20=Цены!$H$14,Цены!$K$14,IF(Q20=Цены!$H$14,Цены!$K$14,IF(Q20=Цены!$H$15,Цены!$K$15,IF(Q20=Цены!$H$16,Цены!$K$16,IF(Q20=Цены!$H$17,Цены!$K$17,IF(Q20=Цены!$H$18,Цены!$K$18,IF(Q20=Цены!$H$19,Цены!$K$19,IF(Q20=Цены!$H$20,Цены!$K$20,IF(Q20=Цены!$H$21,Цены!$K$21,IF(Q20=Цены!$H$22,Цены!$K$22,IF(Q20=Цены!$H$23,Цены!$K$23,IF(Q20=Цены!$H$24,Цены!$K$24,IF(Q20=Цены!$H$25,Цены!$K$25,IF(Q20=Цены!$H$26,Цены!$K$26,IF(Q20=Цены!$H$27,Цены!$K$27,IF(Q20=Цены!$H$28,Цены!$K$28,IF(Q20=Цены!$H$29,Цены!$K$29,IF(Q20=Цены!$H$30,Цены!$K$30,IF(Q20=Цены!$H$31,Цены!$K$31,IF(Q20=Цены!$H$32,Цены!$K$32,IF(Q20=Цены!$H$33,Цены!$K$33,IF(Q20=Цены!$H$34,Цены!$K$34,IF(Q20=Цены!$H$35,Цены!$K$35,IF(Q20=Цены!$H$36,Цены!$K$36,IF(Q20=Цены!$H$37,Цены!$K$37,IF(Q20=Цены!$H$38,Цены!$K$38,IF(Q20=Цены!$H$39,Цены!$K$39,IF(Q20=Цены!$H$40,Цены!$K$40,IF(Q20=Цены!$H$41,Цены!$K$41,IF(Q20=Цены!$H$42,Цены!$K$42,IF(Q20=Цены!$H$43,Цены!$K$43,IF(Q20=Цены!$H$44,Цены!$K$44,IF(Q20=Цены!$H$45,Цены!$K$45,IF(Q20=Цены!$H$46,Цены!$K$46,IF(Q20=Цены!$H$47,Цены!$K$47,IF(Q20=Цены!$H$48,Цены!$K$48,IF(Q20=Цены!$H$49,Цены!$K$49,IF(Q20=Цены!$H$50,Цены!$K$50,IF(Q20=Цены!$H$51,Цены!$K$51,IF(Q20=Цены!$H$52,Цены!$K$52,IF(Q20=Цены!$H$53,Цены!$K$53,IF(Q20=Цены!$H$54,Цены!$K$54,IF(Q20=Цены!$H$55,Цены!$K$55))))))))))))))))))))))))))))))))))))))))))))))))))))))</f>
        <v>312</v>
      </c>
      <c r="V20" s="265"/>
      <c r="W20" s="265"/>
      <c r="X20" s="266"/>
      <c r="Y20" s="267"/>
      <c r="Z20" s="267"/>
      <c r="AA20" s="320"/>
      <c r="AB20" s="310"/>
      <c r="AC20" s="270"/>
      <c r="AD20" s="172" t="s">
        <v>70</v>
      </c>
      <c r="AE20" s="30">
        <v>4</v>
      </c>
      <c r="AF20" s="27">
        <f>IF(AD20=Цены!$H$3,Цены!$L$3,IF(AD20=Цены!$H$4,Цены!$L$4,IF(AD20=Цены!$H$5,Цены!$L$5,IF(AD20=Цены!$H$6,Цены!$L$6,IF(AD20=Цены!$H$7,Цены!$L$7,IF(AD20=Цены!$H$8,Цены!$L$8,IF(AD20=Цены!$H$9,Цены!$L$9,IF(AD20=Цены!$H$10,Цены!$L$10,IF(AD20=Цены!$H$11,Цены!$L$11,IF(AD20=Цены!$H$12,Цены!$L$12,IF(AD20=Цены!$H$13,Цены!$L$13,IF(AD20=Цены!$H$14,Цены!$L$14,IF(AD20=Цены!$H$14,Цены!$L$14,IF(AD20=Цены!$H$15,Цены!$L$15,IF(AD20=Цены!$H$16,Цены!$L$16,IF(AD20=Цены!$H$17,Цены!$L$17,IF(AD20=Цены!$H$18,Цены!$L$18,IF(AD20=Цены!$H$19,Цены!$L$19,IF(AD20=Цены!$H$20,Цены!$L$20,IF(AD20=Цены!$H$21,Цены!$L$21,IF(AD20=Цены!$H$22,Цены!$L$22,IF(AD20=Цены!$H$23,Цены!$L$23,IF(AD20=Цены!$H$24,Цены!$L$24,IF(AD20=Цены!$H$25,Цены!$L$25,IF(AD20=Цены!$H$26,Цены!$L$26,IF(AD20=Цены!$H$27,Цены!$L$27,IF(AD20=Цены!$H$28,Цены!$L$28,IF(AD20=Цены!$H$29,Цены!$L$29,IF(AD20=Цены!$H$30,Цены!$L$30,IF(AD20=Цены!$H$31,Цены!$L$31,IF(AD20=Цены!$H$32,Цены!$L$32,IF(AD20=Цены!$H$33,Цены!$L$33,IF(AD20=Цены!$H$34,Цены!$L$34,IF(AD20=Цены!$H$35,Цены!$L$35,IF(AD20=Цены!$H$36,Цены!$L$36,IF(AD20=Цены!$H$37,Цены!$L$37,IF(AD20=Цены!$H$38,Цены!$L$38,IF(AD20=Цены!$H$39,Цены!$L$39,IF(AD20=Цены!$H$40,Цены!$L$40,IF(AD20=Цены!$H$41,Цены!$L$41,IF(AD20=Цены!$H$42,Цены!$L$42,IF(AD20=Цены!$H$43,Цены!$L$43,IF(AD20=Цены!$H$44,Цены!$L$44,IF(AD20=Цены!$H$45,Цены!$L$45,IF(AD20=Цены!$H$46,Цены!$L$46,IF(AD20=Цены!$H$47,Цены!$L$47,IF(AD20=Цены!$H$48,Цены!$L$48,IF(AD20=Цены!$H$49,Цены!$L$49,IF(AD20=Цены!$H$50,Цены!$L$50,IF(AD20=Цены!$H$51,Цены!$L$51,IF(AD20=Цены!$H$52,Цены!$L$52,IF(AD20=Цены!$H$53,Цены!$L$53,IF(AD20=Цены!$H$54,Цены!$L$54,IF(AD20=Цены!$H$55,Цены!$L$55))))))))))))))))))))))))))))))))))))))))))))))))))))))</f>
        <v>2.4</v>
      </c>
      <c r="AG20" s="309"/>
      <c r="AH20" s="28">
        <f>IF(AD20=Цены!$H$3,Цены!$K$3,IF(AD20=Цены!$H$4,Цены!$K$4,IF(AD20=Цены!$H$5,Цены!$K$5,IF(AD20=Цены!$H$6,Цены!$K$6,IF(AD20=Цены!$H$7,Цены!$K$7,IF(AD20=Цены!$H$8,Цены!$K$8,IF(AD20=Цены!$H$9,Цены!$K$9,IF(AD20=Цены!$H$10,Цены!$K$10,IF(AD20=Цены!$H$11,Цены!$K$11,IF(AD20=Цены!$H$12,Цены!$K$12,IF(AD20=Цены!$H$13,Цены!$K$13,IF(AD20=Цены!$H$14,Цены!$K$14,IF(AD20=Цены!$H$14,Цены!$K$14,IF(AD20=Цены!$H$15,Цены!$K$15,IF(AD20=Цены!$H$16,Цены!$K$16,IF(AD20=Цены!$H$17,Цены!$K$17,IF(AD20=Цены!$H$18,Цены!$K$18,IF(AD20=Цены!$H$19,Цены!$K$19,IF(AD20=Цены!$H$20,Цены!$K$20,IF(AD20=Цены!$H$21,Цены!$K$21,IF(AD20=Цены!$H$22,Цены!$K$22,IF(AD20=Цены!$H$23,Цены!$K$23,IF(AD20=Цены!$H$24,Цены!$K$24,IF(AD20=Цены!$H$25,Цены!$K$25,IF(AD20=Цены!$H$26,Цены!$K$26,IF(AD20=Цены!$H$27,Цены!$K$27,IF(AD20=Цены!$H$28,Цены!$K$28,IF(AD20=Цены!$H$29,Цены!$K$29,IF(AD20=Цены!$H$30,Цены!$K$30,IF(AD20=Цены!$H$31,Цены!$K$31,IF(AD20=Цены!$H$32,Цены!$K$32,IF(AD20=Цены!$H$33,Цены!$K$33,IF(AD20=Цены!$H$34,Цены!$K$34,IF(AD20=Цены!$H$35,Цены!$K$35,IF(AD20=Цены!$H$36,Цены!$K$36,IF(AD20=Цены!$H$37,Цены!$K$37,IF(AD20=Цены!$H$38,Цены!$K$38,IF(AD20=Цены!$H$39,Цены!$K$39,IF(AD20=Цены!$H$40,Цены!$K$40,IF(AD20=Цены!$H$41,Цены!$K$41,IF(AD20=Цены!$H$42,Цены!$K$42,IF(AD20=Цены!$H$43,Цены!$K$43,IF(AD20=Цены!$H$44,Цены!$K$44,IF(AD20=Цены!$H$45,Цены!$K$45,IF(AD20=Цены!$H$46,Цены!$K$46,IF(AD20=Цены!$H$47,Цены!$K$47,IF(AD20=Цены!$H$48,Цены!$K$48,IF(AD20=Цены!$H$49,Цены!$K$49,IF(AD20=Цены!$H$50,Цены!$K$50,IF(AD20=Цены!$H$51,Цены!$K$51,IF(AD20=Цены!$H$52,Цены!$K$52,IF(AD20=Цены!$H$53,Цены!$K$53,IF(AD20=Цены!$H$54,Цены!$K$54,IF(AD20=Цены!$H$55,Цены!$K$55))))))))))))))))))))))))))))))))))))))))))))))))))))))</f>
        <v>469</v>
      </c>
      <c r="AI20" s="265"/>
      <c r="AJ20" s="265"/>
      <c r="AK20" s="266"/>
      <c r="AL20" s="267"/>
      <c r="AM20" s="267"/>
      <c r="AN20" s="268"/>
      <c r="AO20" s="310"/>
      <c r="AP20" s="270"/>
      <c r="AQ20" s="209" t="s">
        <v>144</v>
      </c>
      <c r="AR20" s="129">
        <v>3</v>
      </c>
      <c r="AS20" s="33">
        <f>IF(AQ20=Цены!$H$3,Цены!$L$3,IF(AQ20=Цены!$H$4,Цены!$L$4,IF(AQ20=Цены!$H$5,Цены!$L$5,IF(AQ20=Цены!$H$6,Цены!$L$6,IF(AQ20=Цены!$H$7,Цены!$L$7,IF(AQ20=Цены!$H$8,Цены!$L$8,IF(AQ20=Цены!$H$9,Цены!$L$9,IF(AQ20=Цены!$H$10,Цены!$L$10,IF(AQ20=Цены!$H$11,Цены!$L$11,IF(AQ20=Цены!$H$12,Цены!$L$12,IF(AQ20=Цены!$H$13,Цены!$L$13,IF(AQ20=Цены!$H$14,Цены!$L$14,IF(AQ20=Цены!$H$14,Цены!$L$14,IF(AQ20=Цены!$H$15,Цены!$L$15,IF(AQ20=Цены!$H$16,Цены!$L$16,IF(AQ20=Цены!$H$17,Цены!$L$17,IF(AQ20=Цены!$H$18,Цены!$L$18,IF(AQ20=Цены!$H$19,Цены!$L$19,IF(AQ20=Цены!$H$20,Цены!$L$20,IF(AQ20=Цены!$H$21,Цены!$L$21,IF(AQ20=Цены!$H$22,Цены!$L$22,IF(AQ20=Цены!$H$23,Цены!$L$23,IF(AQ20=Цены!$H$24,Цены!$L$24,IF(AQ20=Цены!$H$25,Цены!$L$25,IF(AQ20=Цены!$H$26,Цены!$L$26,IF(AQ20=Цены!$H$27,Цены!$L$27,IF(AQ20=Цены!$H$28,Цены!$L$28,IF(AQ20=Цены!$H$29,Цены!$L$29,IF(AQ20=Цены!$H$30,Цены!$L$30,IF(AQ20=Цены!$H$31,Цены!$L$31,IF(AQ20=Цены!$H$32,Цены!$L$32,IF(AQ20=Цены!$H$33,Цены!$L$33,IF(AQ20=Цены!$H$34,Цены!$L$34,IF(AQ20=Цены!$H$35,Цены!$L$35,IF(AQ20=Цены!$H$36,Цены!$L$36,IF(AQ20=Цены!$H$37,Цены!$L$37,IF(AQ20=Цены!$H$38,Цены!$L$38,IF(AQ20=Цены!$H$39,Цены!$L$39,IF(AQ20=Цены!$H$40,Цены!$L$40,IF(AQ20=Цены!$H$41,Цены!$L$41,IF(AQ20=Цены!$H$42,Цены!$L$42,IF(AQ20=Цены!$H$43,Цены!$L$43,IF(AQ20=Цены!$H$44,Цены!$L$44,IF(AQ20=Цены!$H$45,Цены!$L$45,IF(AQ20=Цены!$H$46,Цены!$L$46,IF(AQ20=Цены!$H$47,Цены!$L$47,IF(AQ20=Цены!$H$48,Цены!$L$48,IF(AQ20=Цены!$H$49,Цены!$L$49,IF(AQ20=Цены!$H$50,Цены!$L$50,IF(AQ20=Цены!$H$51,Цены!$L$51,IF(AQ20=Цены!$H$52,Цены!$L$52,IF(AQ20=Цены!$H$53,Цены!$L$53,IF(AQ20=Цены!$H$54,Цены!$L$54,IF(AQ20=Цены!$H$55,Цены!$L$55))))))))))))))))))))))))))))))))))))))))))))))))))))))</f>
        <v>0.19</v>
      </c>
      <c r="AT20" s="276"/>
      <c r="AU20" s="34">
        <f>IF(AQ20=Цены!$H$3,Цены!$K$3,IF(AQ20=Цены!$H$4,Цены!$K$4,IF(AQ20=Цены!$H$5,Цены!$K$5,IF(AQ20=Цены!$H$6,Цены!$K$6,IF(AQ20=Цены!$H$7,Цены!$K$7,IF(AQ20=Цены!$H$8,Цены!$K$8,IF(AQ20=Цены!$H$9,Цены!$K$9,IF(AQ20=Цены!$H$10,Цены!$K$10,IF(AQ20=Цены!$H$11,Цены!$K$11,IF(AQ20=Цены!$H$12,Цены!$K$12,IF(AQ20=Цены!$H$13,Цены!$K$13,IF(AQ20=Цены!$H$14,Цены!$K$14,IF(AQ20=Цены!$H$14,Цены!$K$14,IF(AQ20=Цены!$H$15,Цены!$K$15,IF(AQ20=Цены!$H$16,Цены!$K$16,IF(AQ20=Цены!$H$17,Цены!$K$17,IF(AQ20=Цены!$H$18,Цены!$K$18,IF(AQ20=Цены!$H$19,Цены!$K$19,IF(AQ20=Цены!$H$20,Цены!$K$20,IF(AQ20=Цены!$H$21,Цены!$K$21,IF(AQ20=Цены!$H$22,Цены!$K$22,IF(AQ20=Цены!$H$23,Цены!$K$23,IF(AQ20=Цены!$H$24,Цены!$K$24,IF(AQ20=Цены!$H$25,Цены!$K$25,IF(AQ20=Цены!$H$26,Цены!$K$26,IF(AQ20=Цены!$H$27,Цены!$K$27,IF(AQ20=Цены!$H$28,Цены!$K$28,IF(AQ20=Цены!$H$29,Цены!$K$29,IF(AQ20=Цены!$H$30,Цены!$K$30,IF(AQ20=Цены!$H$31,Цены!$K$31,IF(AQ20=Цены!$H$32,Цены!$K$32,IF(AQ20=Цены!$H$33,Цены!$K$33,IF(AQ20=Цены!$H$34,Цены!$K$34,IF(AQ20=Цены!$H$35,Цены!$K$35,IF(AQ20=Цены!$H$36,Цены!$K$36,IF(AQ20=Цены!$H$37,Цены!$K$37,IF(AQ20=Цены!$H$38,Цены!$K$38,IF(AQ20=Цены!$H$39,Цены!$K$39,IF(AQ20=Цены!$H$40,Цены!$K$40,IF(AQ20=Цены!$H$41,Цены!$K$41,IF(AQ20=Цены!$H$42,Цены!$K$42,IF(AQ20=Цены!$H$43,Цены!$K$43,IF(AQ20=Цены!$H$44,Цены!$K$44,IF(AQ20=Цены!$H$45,Цены!$K$45,IF(AQ20=Цены!$H$46,Цены!$K$46,IF(AQ20=Цены!$H$47,Цены!$K$47,IF(AQ20=Цены!$H$48,Цены!$K$48,IF(AQ20=Цены!$H$49,Цены!$K$49,IF(AQ20=Цены!$H$50,Цены!$K$50,IF(AQ20=Цены!$H$51,Цены!$K$51,IF(AQ20=Цены!$H$52,Цены!$K$52,IF(AQ20=Цены!$H$53,Цены!$K$53,IF(AQ20=Цены!$H$54,Цены!$K$54,IF(AQ20=Цены!$H$55,Цены!$K$55))))))))))))))))))))))))))))))))))))))))))))))))))))))</f>
        <v>448</v>
      </c>
      <c r="AV20" s="265"/>
      <c r="AW20" s="265"/>
      <c r="AX20" s="266"/>
      <c r="AY20" s="267"/>
      <c r="AZ20" s="267"/>
      <c r="BA20" s="268"/>
      <c r="BB20" s="269"/>
      <c r="BC20" s="270"/>
      <c r="BD20" s="259"/>
      <c r="BE20" s="209" t="s">
        <v>144</v>
      </c>
      <c r="BF20" s="71">
        <v>3</v>
      </c>
      <c r="BG20" s="33">
        <f>IF(BE20=Цены!$H$3,Цены!$L$3,IF(BE20=Цены!$H$4,Цены!$L$4,IF(BE20=Цены!$H$5,Цены!$L$5,IF(BE20=Цены!$H$6,Цены!$L$6,IF(BE20=Цены!$H$7,Цены!$L$7,IF(BE20=Цены!$H$8,Цены!$L$8,IF(BE20=Цены!$H$9,Цены!$L$9,IF(BE20=Цены!$H$10,Цены!$L$10,IF(BE20=Цены!$H$11,Цены!$L$11,IF(BE20=Цены!$H$12,Цены!$L$12,IF(BE20=Цены!$H$13,Цены!$L$13,IF(BE20=Цены!$H$14,Цены!$L$14,IF(BE20=Цены!$H$14,Цены!$L$14,IF(BE20=Цены!$H$15,Цены!$L$15,IF(BE20=Цены!$H$16,Цены!$L$16,IF(BE20=Цены!$H$17,Цены!$L$17,IF(BE20=Цены!$H$18,Цены!$L$18,IF(BE20=Цены!$H$19,Цены!$L$19,IF(BE20=Цены!$H$20,Цены!$L$20,IF(BE20=Цены!$H$21,Цены!$L$21,IF(BE20=Цены!$H$22,Цены!$L$22,IF(BE20=Цены!$H$23,Цены!$L$23,IF(BE20=Цены!$H$24,Цены!$L$24,IF(BE20=Цены!$H$25,Цены!$L$25,IF(BE20=Цены!$H$26,Цены!$L$26,IF(BE20=Цены!$H$27,Цены!$L$27,IF(BE20=Цены!$H$28,Цены!$L$28,IF(BE20=Цены!$H$29,Цены!$L$29,IF(BE20=Цены!$H$30,Цены!$L$30,IF(BE20=Цены!$H$31,Цены!$L$31,IF(BE20=Цены!$H$32,Цены!$L$32,IF(BE20=Цены!$H$33,Цены!$L$33,IF(BE20=Цены!$H$34,Цены!$L$34,IF(BE20=Цены!$H$35,Цены!$L$35,IF(BE20=Цены!$H$36,Цены!$L$36,IF(BE20=Цены!$H$37,Цены!$L$37,IF(BE20=Цены!$H$38,Цены!$L$38,IF(BE20=Цены!$H$39,Цены!$L$39,IF(BE20=Цены!$H$40,Цены!$L$40,IF(BE20=Цены!$H$41,Цены!$L$41,IF(BE20=Цены!$H$42,Цены!$L$42,IF(BE20=Цены!$H$43,Цены!$L$43,IF(BE20=Цены!$H$44,Цены!$L$44,IF(BE20=Цены!$H$45,Цены!$L$45,IF(BE20=Цены!$H$46,Цены!$L$46,IF(BE20=Цены!$H$47,Цены!$L$47,IF(BE20=Цены!$H$48,Цены!$L$48,IF(BE20=Цены!$H$49,Цены!$L$49,IF(BE20=Цены!$H$50,Цены!$L$50,IF(BE20=Цены!$H$51,Цены!$L$51,IF(BE20=Цены!$H$52,Цены!$L$52,IF(BE20=Цены!$H$53,Цены!$L$53,IF(BE20=Цены!$H$54,Цены!$L$54,IF(BE20=Цены!$H$55,Цены!$L$55))))))))))))))))))))))))))))))))))))))))))))))))))))))</f>
        <v>0.19</v>
      </c>
      <c r="BH20" s="276"/>
      <c r="BI20" s="34">
        <f>IF(BE20=Цены!$H$3,Цены!$K$3,IF(BE20=Цены!$H$4,Цены!$K$4,IF(BE20=Цены!$H$5,Цены!$K$5,IF(BE20=Цены!$H$6,Цены!$K$6,IF(BE20=Цены!$H$7,Цены!$K$7,IF(BE20=Цены!$H$8,Цены!$K$8,IF(BE20=Цены!$H$9,Цены!$K$9,IF(BE20=Цены!$H$10,Цены!$K$10,IF(BE20=Цены!$H$11,Цены!$K$11,IF(BE20=Цены!$H$12,Цены!$K$12,IF(BE20=Цены!$H$13,Цены!$K$13,IF(BE20=Цены!$H$14,Цены!$K$14,IF(BE20=Цены!$H$14,Цены!$K$14,IF(BE20=Цены!$H$15,Цены!$K$15,IF(BE20=Цены!$H$16,Цены!$K$16,IF(BE20=Цены!$H$17,Цены!$K$17,IF(BE20=Цены!$H$18,Цены!$K$18,IF(BE20=Цены!$H$19,Цены!$K$19,IF(BE20=Цены!$H$20,Цены!$K$20,IF(BE20=Цены!$H$21,Цены!$K$21,IF(BE20=Цены!$H$22,Цены!$K$22,IF(BE20=Цены!$H$23,Цены!$K$23,IF(BE20=Цены!$H$24,Цены!$K$24,IF(BE20=Цены!$H$25,Цены!$K$25,IF(BE20=Цены!$H$26,Цены!$K$26,IF(BE20=Цены!$H$27,Цены!$K$27,IF(BE20=Цены!$H$28,Цены!$K$28,IF(BE20=Цены!$H$29,Цены!$K$29,IF(BE20=Цены!$H$30,Цены!$K$30,IF(BE20=Цены!$H$31,Цены!$K$31,IF(BE20=Цены!$H$32,Цены!$K$32,IF(BE20=Цены!$H$33,Цены!$K$33,IF(BE20=Цены!$H$34,Цены!$K$34,IF(BE20=Цены!$H$35,Цены!$K$35,IF(BE20=Цены!$H$36,Цены!$K$36,IF(BE20=Цены!$H$37,Цены!$K$37,IF(BE20=Цены!$H$38,Цены!$K$38,IF(BE20=Цены!$H$39,Цены!$K$39,IF(BE20=Цены!$H$40,Цены!$K$40,IF(BE20=Цены!$H$41,Цены!$K$41,IF(BE20=Цены!$H$42,Цены!$K$42,IF(BE20=Цены!$H$43,Цены!$K$43,IF(BE20=Цены!$H$44,Цены!$K$44,IF(BE20=Цены!$H$45,Цены!$K$45,IF(BE20=Цены!$H$46,Цены!$K$46,IF(BE20=Цены!$H$47,Цены!$K$47,IF(BE20=Цены!$H$48,Цены!$K$48,IF(BE20=Цены!$H$49,Цены!$K$49,IF(BE20=Цены!$H$50,Цены!$K$50,IF(BE20=Цены!$H$51,Цены!$K$51,IF(BE20=Цены!$H$52,Цены!$K$52,IF(BE20=Цены!$H$53,Цены!$K$53,IF(BE20=Цены!$H$54,Цены!$K$54,IF(BE20=Цены!$H$55,Цены!$K$55))))))))))))))))))))))))))))))))))))))))))))))))))))))</f>
        <v>448</v>
      </c>
      <c r="BJ20" s="265"/>
      <c r="BK20" s="265"/>
      <c r="BL20" s="266"/>
      <c r="BM20" s="267"/>
      <c r="BN20" s="267"/>
      <c r="BO20" s="268"/>
      <c r="BP20" s="269"/>
      <c r="BQ20" s="270"/>
      <c r="BR20" s="213" t="s">
        <v>122</v>
      </c>
      <c r="BS20" s="43">
        <v>2</v>
      </c>
      <c r="BT20" s="33">
        <f>IF(BR20=Цены!$H$3,Цены!$L$3,IF(BR20=Цены!$H$4,Цены!$L$4,IF(BR20=Цены!$H$5,Цены!$L$5,IF(BR20=Цены!$H$6,Цены!$L$6,IF(BR20=Цены!$H$7,Цены!$L$7,IF(BR20=Цены!$H$8,Цены!$L$8,IF(BR20=Цены!$H$9,Цены!$L$9,IF(BR20=Цены!$H$10,Цены!$L$10,IF(BR20=Цены!$H$11,Цены!$L$11,IF(BR20=Цены!$H$12,Цены!$L$12,IF(BR20=Цены!$H$13,Цены!$L$13,IF(BR20=Цены!$H$14,Цены!$L$14,IF(BR20=Цены!$H$14,Цены!$L$14,IF(BR20=Цены!$H$15,Цены!$L$15,IF(BR20=Цены!$H$16,Цены!$L$16,IF(BR20=Цены!$H$17,Цены!$L$17,IF(BR20=Цены!$H$18,Цены!$L$18,IF(BR20=Цены!$H$19,Цены!$L$19,IF(BR20=Цены!$H$20,Цены!$L$20,IF(BR20=Цены!$H$21,Цены!$L$21,IF(BR20=Цены!$H$22,Цены!$L$22,IF(BR20=Цены!$H$23,Цены!$L$23,IF(BR20=Цены!$H$24,Цены!$L$24,IF(BR20=Цены!$H$25,Цены!$L$25,IF(BR20=Цены!$H$26,Цены!$L$26,IF(BR20=Цены!$H$27,Цены!$L$27,IF(BR20=Цены!$H$28,Цены!$L$28,IF(BR20=Цены!$H$29,Цены!$L$29,IF(BR20=Цены!$H$30,Цены!$L$30,IF(BR20=Цены!$H$31,Цены!$L$31,IF(BR20=Цены!$H$32,Цены!$L$32,IF(BR20=Цены!$H$33,Цены!$L$33,IF(BR20=Цены!$H$34,Цены!$L$34,IF(BR20=Цены!$H$35,Цены!$L$35,IF(BR20=Цены!$H$36,Цены!$L$36,IF(BR20=Цены!$H$37,Цены!$L$37,IF(BR20=Цены!$H$38,Цены!$L$38,IF(BR20=Цены!$H$39,Цены!$L$39,IF(BR20=Цены!$H$40,Цены!$L$40,IF(BR20=Цены!$H$41,Цены!$L$41,IF(BR20=Цены!$H$42,Цены!$L$42,IF(BR20=Цены!$H$43,Цены!$L$43,IF(BR20=Цены!$H$44,Цены!$L$44,IF(BR20=Цены!$H$45,Цены!$L$45,IF(BR20=Цены!$H$46,Цены!$L$46,IF(BR20=Цены!$H$47,Цены!$L$47,IF(BR20=Цены!$H$48,Цены!$L$48,IF(BR20=Цены!$H$49,Цены!$L$49,IF(BR20=Цены!$H$50,Цены!$L$50,IF(BR20=Цены!$H$51,Цены!$L$51,IF(BR20=Цены!$H$52,Цены!$L$52,IF(BR20=Цены!$H$53,Цены!$L$53,IF(BR20=Цены!$H$54,Цены!$L$54,IF(BR20=Цены!$H$55,Цены!$L$55))))))))))))))))))))))))))))))))))))))))))))))))))))))</f>
        <v>0.6</v>
      </c>
      <c r="BU20" s="276"/>
      <c r="BV20" s="34">
        <f>IF(BR20=Цены!$H$3,Цены!$K$3,IF(BR20=Цены!$H$4,Цены!$K$4,IF(BR20=Цены!$H$5,Цены!$K$5,IF(BR20=Цены!$H$6,Цены!$K$6,IF(BR20=Цены!$H$7,Цены!$K$7,IF(BR20=Цены!$H$8,Цены!$K$8,IF(BR20=Цены!$H$9,Цены!$K$9,IF(BR20=Цены!$H$10,Цены!$K$10,IF(BR20=Цены!$H$11,Цены!$K$11,IF(BR20=Цены!$H$12,Цены!$K$12,IF(BR20=Цены!$H$13,Цены!$K$13,IF(BR20=Цены!$H$14,Цены!$K$14,IF(BR20=Цены!$H$14,Цены!$K$14,IF(BR20=Цены!$H$15,Цены!$K$15,IF(BR20=Цены!$H$16,Цены!$K$16,IF(BR20=Цены!$H$17,Цены!$K$17,IF(BR20=Цены!$H$18,Цены!$K$18,IF(BR20=Цены!$H$19,Цены!$K$19,IF(BR20=Цены!$H$20,Цены!$K$20,IF(BR20=Цены!$H$21,Цены!$K$21,IF(BR20=Цены!$H$22,Цены!$K$22,IF(BR20=Цены!$H$23,Цены!$K$23,IF(BR20=Цены!$H$24,Цены!$K$24,IF(BR20=Цены!$H$25,Цены!$K$25,IF(BR20=Цены!$H$26,Цены!$K$26,IF(BR20=Цены!$H$27,Цены!$K$27,IF(BR20=Цены!$H$28,Цены!$K$28,IF(BR20=Цены!$H$29,Цены!$K$29,IF(BR20=Цены!$H$30,Цены!$K$30,IF(BR20=Цены!$H$31,Цены!$K$31,IF(BR20=Цены!$H$32,Цены!$K$32,IF(BR20=Цены!$H$33,Цены!$K$33,IF(BR20=Цены!$H$34,Цены!$K$34,IF(BR20=Цены!$H$35,Цены!$K$35,IF(BR20=Цены!$H$36,Цены!$K$36,IF(BR20=Цены!$H$37,Цены!$K$37,IF(BR20=Цены!$H$38,Цены!$K$38,IF(BR20=Цены!$H$39,Цены!$K$39,IF(BR20=Цены!$H$40,Цены!$K$40,IF(BR20=Цены!$H$41,Цены!$K$41,IF(BR20=Цены!$H$42,Цены!$K$42,IF(BR20=Цены!$H$43,Цены!$K$43,IF(BR20=Цены!$H$44,Цены!$K$44,IF(BR20=Цены!$H$45,Цены!$K$45,IF(BR20=Цены!$H$46,Цены!$K$46,IF(BR20=Цены!$H$47,Цены!$K$47,IF(BR20=Цены!$H$48,Цены!$K$48,IF(BR20=Цены!$H$49,Цены!$K$49,IF(BR20=Цены!$H$50,Цены!$K$50,IF(BR20=Цены!$H$51,Цены!$K$51,IF(BR20=Цены!$H$52,Цены!$K$52,IF(BR20=Цены!$H$53,Цены!$K$53,IF(BR20=Цены!$H$54,Цены!$K$54,IF(BR20=Цены!$H$55,Цены!$K$55))))))))))))))))))))))))))))))))))))))))))))))))))))))</f>
        <v>166</v>
      </c>
      <c r="BW20" s="265"/>
      <c r="BX20" s="265"/>
      <c r="BY20" s="266"/>
      <c r="BZ20" s="267"/>
      <c r="CA20" s="267"/>
      <c r="CB20" s="268"/>
      <c r="CC20" s="269"/>
      <c r="CD20" s="270"/>
      <c r="CE20" s="171" t="s">
        <v>91</v>
      </c>
      <c r="CF20" s="43">
        <v>1</v>
      </c>
      <c r="CG20" s="33">
        <f>IF(CE20=Цены!$H$3,Цены!$L$3,IF(CE20=Цены!$H$4,Цены!$L$4,IF(CE20=Цены!$H$5,Цены!$L$5,IF(CE20=Цены!$H$6,Цены!$L$6,IF(CE20=Цены!$H$7,Цены!$L$7,IF(CE20=Цены!$H$8,Цены!$L$8,IF(CE20=Цены!$H$9,Цены!$L$9,IF(CE20=Цены!$H$10,Цены!$L$10,IF(CE20=Цены!$H$11,Цены!$L$11,IF(CE20=Цены!$H$12,Цены!$L$12,IF(CE20=Цены!$H$13,Цены!$L$13,IF(CE20=Цены!$H$14,Цены!$L$14,IF(CE20=Цены!$H$14,Цены!$L$14,IF(CE20=Цены!$H$15,Цены!$L$15,IF(CE20=Цены!$H$16,Цены!$L$16,IF(CE20=Цены!$H$17,Цены!$L$17,IF(CE20=Цены!$H$18,Цены!$L$18,IF(CE20=Цены!$H$19,Цены!$L$19,IF(CE20=Цены!$H$20,Цены!$L$20,IF(CE20=Цены!$H$21,Цены!$L$21,IF(CE20=Цены!$H$22,Цены!$L$22,IF(CE20=Цены!$H$23,Цены!$L$23,IF(CE20=Цены!$H$24,Цены!$L$24,IF(CE20=Цены!$H$25,Цены!$L$25,IF(CE20=Цены!$H$26,Цены!$L$26,IF(CE20=Цены!$H$27,Цены!$L$27,IF(CE20=Цены!$H$28,Цены!$L$28,IF(CE20=Цены!$H$29,Цены!$L$29,IF(CE20=Цены!$H$30,Цены!$L$30,IF(CE20=Цены!$H$31,Цены!$L$31,IF(CE20=Цены!$H$32,Цены!$L$32,IF(CE20=Цены!$H$33,Цены!$L$33,IF(CE20=Цены!$H$34,Цены!$L$34,IF(CE20=Цены!$H$35,Цены!$L$35,IF(CE20=Цены!$H$36,Цены!$L$36,IF(CE20=Цены!$H$37,Цены!$L$37,IF(CE20=Цены!$H$38,Цены!$L$38,IF(CE20=Цены!$H$39,Цены!$L$39,IF(CE20=Цены!$H$40,Цены!$L$40,IF(CE20=Цены!$H$41,Цены!$L$41,IF(CE20=Цены!$H$42,Цены!$L$42,IF(CE20=Цены!$H$43,Цены!$L$43,IF(CE20=Цены!$H$44,Цены!$L$44,IF(CE20=Цены!$H$45,Цены!$L$45,IF(CE20=Цены!$H$46,Цены!$L$46,IF(CE20=Цены!$H$47,Цены!$L$47,IF(CE20=Цены!$H$48,Цены!$L$48,IF(CE20=Цены!$H$49,Цены!$L$49,IF(CE20=Цены!$H$50,Цены!$L$50,IF(CE20=Цены!$H$51,Цены!$L$51,IF(CE20=Цены!$H$52,Цены!$L$52,IF(CE20=Цены!$H$53,Цены!$L$53,IF(CE20=Цены!$H$54,Цены!$L$54,IF(CE20=Цены!$H$55,Цены!$L$55))))))))))))))))))))))))))))))))))))))))))))))))))))))</f>
        <v>0.19</v>
      </c>
      <c r="CH20" s="276"/>
      <c r="CI20" s="34">
        <f>IF(CE20=Цены!$H$3,Цены!$K$3,IF(CE20=Цены!$H$4,Цены!$K$4,IF(CE20=Цены!$H$5,Цены!$K$5,IF(CE20=Цены!$H$6,Цены!$K$6,IF(CE20=Цены!$H$7,Цены!$K$7,IF(CE20=Цены!$H$8,Цены!$K$8,IF(CE20=Цены!$H$9,Цены!$K$9,IF(CE20=Цены!$H$10,Цены!$K$10,IF(CE20=Цены!$H$11,Цены!$K$11,IF(CE20=Цены!$H$12,Цены!$K$12,IF(CE20=Цены!$H$13,Цены!$K$13,IF(CE20=Цены!$H$14,Цены!$K$14,IF(CE20=Цены!$H$14,Цены!$K$14,IF(CE20=Цены!$H$15,Цены!$K$15,IF(CE20=Цены!$H$16,Цены!$K$16,IF(CE20=Цены!$H$17,Цены!$K$17,IF(CE20=Цены!$H$18,Цены!$K$18,IF(CE20=Цены!$H$19,Цены!$K$19,IF(CE20=Цены!$H$20,Цены!$K$20,IF(CE20=Цены!$H$21,Цены!$K$21,IF(CE20=Цены!$H$22,Цены!$K$22,IF(CE20=Цены!$H$23,Цены!$K$23,IF(CE20=Цены!$H$24,Цены!$K$24,IF(CE20=Цены!$H$25,Цены!$K$25,IF(CE20=Цены!$H$26,Цены!$K$26,IF(CE20=Цены!$H$27,Цены!$K$27,IF(CE20=Цены!$H$28,Цены!$K$28,IF(CE20=Цены!$H$29,Цены!$K$29,IF(CE20=Цены!$H$30,Цены!$K$30,IF(CE20=Цены!$H$31,Цены!$K$31,IF(CE20=Цены!$H$32,Цены!$K$32,IF(CE20=Цены!$H$33,Цены!$K$33,IF(CE20=Цены!$H$34,Цены!$K$34,IF(CE20=Цены!$H$35,Цены!$K$35,IF(CE20=Цены!$H$36,Цены!$K$36,IF(CE20=Цены!$H$37,Цены!$K$37,IF(CE20=Цены!$H$38,Цены!$K$38,IF(CE20=Цены!$H$39,Цены!$K$39,IF(CE20=Цены!$H$40,Цены!$K$40,IF(CE20=Цены!$H$41,Цены!$K$41,IF(CE20=Цены!$H$42,Цены!$K$42,IF(CE20=Цены!$H$43,Цены!$K$43,IF(CE20=Цены!$H$44,Цены!$K$44,IF(CE20=Цены!$H$45,Цены!$K$45,IF(CE20=Цены!$H$46,Цены!$K$46,IF(CE20=Цены!$H$47,Цены!$K$47,IF(CE20=Цены!$H$48,Цены!$K$48,IF(CE20=Цены!$H$49,Цены!$K$49,IF(CE20=Цены!$H$50,Цены!$K$50,IF(CE20=Цены!$H$51,Цены!$K$51,IF(CE20=Цены!$H$52,Цены!$K$52,IF(CE20=Цены!$H$53,Цены!$K$53,IF(CE20=Цены!$H$54,Цены!$K$54,IF(CE20=Цены!$H$55,Цены!$K$55))))))))))))))))))))))))))))))))))))))))))))))))))))))</f>
        <v>448</v>
      </c>
      <c r="CJ20" s="265"/>
      <c r="CK20" s="265"/>
      <c r="CL20" s="266"/>
      <c r="CM20" s="267"/>
      <c r="CN20" s="267"/>
      <c r="CO20" s="268"/>
      <c r="CP20" s="269"/>
      <c r="CQ20" s="270"/>
    </row>
    <row r="21" spans="1:95" ht="15" customHeight="1" x14ac:dyDescent="0.25">
      <c r="A21" s="267"/>
      <c r="B21" s="265"/>
      <c r="C21" s="265"/>
      <c r="D21" s="171" t="s">
        <v>123</v>
      </c>
      <c r="E21" s="25">
        <v>4</v>
      </c>
      <c r="F21" s="27">
        <f>IF(D21=Цены!$H$3,Цены!$L$3,IF(D21=Цены!$H$4,Цены!$L$4,IF(D21=Цены!$H$5,Цены!$L$5,IF(D21=Цены!$H$6,Цены!$L$6,IF(D21=Цены!$H$7,Цены!$L$7,IF(D21=Цены!$H$8,Цены!$L$8,IF(D21=Цены!$H$9,Цены!$L$9,IF(D21=Цены!$H$10,Цены!$L$10,IF(D21=Цены!$H$11,Цены!$L$11,IF(D21=Цены!$H$12,Цены!$L$12,IF(D21=Цены!$H$13,Цены!$L$13,IF(D21=Цены!$H$14,Цены!$L$14,IF(D21=Цены!$H$14,Цены!$L$14,IF(D21=Цены!$H$15,Цены!$L$15,IF(D21=Цены!$H$16,Цены!$L$16,IF(D21=Цены!$H$17,Цены!$L$17,IF(D21=Цены!$H$18,Цены!$L$18,IF(D21=Цены!$H$19,Цены!$L$19,IF(D21=Цены!$H$20,Цены!$L$20,IF(D21=Цены!$H$21,Цены!$L$21,IF(D21=Цены!$H$22,Цены!$L$22,IF(D21=Цены!$H$23,Цены!$L$23,IF(D21=Цены!$H$24,Цены!$L$24,IF(D21=Цены!$H$25,Цены!$L$25,IF(D21=Цены!$H$26,Цены!$L$26,IF(D21=Цены!$H$27,Цены!$L$27,IF(D21=Цены!$H$28,Цены!$L$28,IF(D21=Цены!$H$29,Цены!$L$29,IF(D21=Цены!$H$30,Цены!$L$30,IF(D21=Цены!$H$31,Цены!$L$31,IF(D21=Цены!$H$32,Цены!$L$32,IF(D21=Цены!$H$33,Цены!$L$33,IF(D21=Цены!$H$34,Цены!$L$34,IF(D21=Цены!$H$35,Цены!$L$35,IF(D21=Цены!$H$36,Цены!$L$36,IF(D21=Цены!$H$37,Цены!$L$37,IF(D21=Цены!$H$38,Цены!$L$38,IF(D21=Цены!$H$39,Цены!$L$39,IF(D21=Цены!$H$40,Цены!$L$40,IF(D21=Цены!$H$41,Цены!$L$41,IF(D21=Цены!$H$42,Цены!$L$42,IF(D21=Цены!$H$43,Цены!$L$43,IF(D21=Цены!$H$44,Цены!$L$44,IF(D21=Цены!$H$45,Цены!$L$45,IF(D21=Цены!$H$46,Цены!$L$46,IF(D21=Цены!$H$47,Цены!$L$47,IF(D21=Цены!$H$48,Цены!$L$48,IF(D21=Цены!$H$49,Цены!$L$49,IF(D21=Цены!$H$50,Цены!$L$50,IF(D21=Цены!$H$51,Цены!$L$51,IF(D21=Цены!$H$52,Цены!$L$52,IF(D21=Цены!$H$53,Цены!$L$53,IF(D21=Цены!$H$54,Цены!$L$54,IF(D21=Цены!$H$55,Цены!$L$55))))))))))))))))))))))))))))))))))))))))))))))))))))))</f>
        <v>0.39</v>
      </c>
      <c r="G21" s="309"/>
      <c r="H21" s="28">
        <f>IF(D21=Цены!$H$3,Цены!$K$3,IF(D21=Цены!$H$4,Цены!$K$4,IF(D21=Цены!$H$5,Цены!$K$5,IF(D21=Цены!$H$6,Цены!$K$6,IF(D21=Цены!$H$7,Цены!$K$7,IF(D21=Цены!$H$8,Цены!$K$8,IF(D21=Цены!$H$9,Цены!$K$9,IF(D21=Цены!$H$10,Цены!$K$10,IF(D21=Цены!$H$11,Цены!$K$11,IF(D21=Цены!$H$12,Цены!$K$12,IF(D21=Цены!$H$13,Цены!$K$13,IF(D21=Цены!$H$14,Цены!$K$14,IF(D21=Цены!$H$14,Цены!$K$14,IF(D21=Цены!$H$15,Цены!$K$15,IF(D21=Цены!$H$16,Цены!$K$16,IF(D21=Цены!$H$17,Цены!$K$17,IF(D21=Цены!$H$18,Цены!$K$18,IF(D21=Цены!$H$19,Цены!$K$19,IF(D21=Цены!$H$20,Цены!$K$20,IF(D21=Цены!$H$21,Цены!$K$21,IF(D21=Цены!$H$22,Цены!$K$22,IF(D21=Цены!$H$23,Цены!$K$23,IF(D21=Цены!$H$24,Цены!$K$24,IF(D21=Цены!$H$25,Цены!$K$25,IF(D21=Цены!$H$26,Цены!$K$26,IF(D21=Цены!$H$27,Цены!$K$27,IF(D21=Цены!$H$28,Цены!$K$28,IF(D21=Цены!$H$29,Цены!$K$29,IF(D21=Цены!$H$30,Цены!$K$30,IF(D21=Цены!$H$31,Цены!$K$31,IF(D21=Цены!$H$32,Цены!$K$32,IF(D21=Цены!$H$33,Цены!$K$33,IF(D21=Цены!$H$34,Цены!$K$34,IF(D21=Цены!$H$35,Цены!$K$35,IF(D21=Цены!$H$36,Цены!$K$36,IF(D21=Цены!$H$37,Цены!$K$37,IF(D21=Цены!$H$38,Цены!$K$38,IF(D21=Цены!$H$39,Цены!$K$39,IF(D21=Цены!$H$40,Цены!$K$40,IF(D21=Цены!$H$41,Цены!$K$41,IF(D21=Цены!$H$42,Цены!$K$42,IF(D21=Цены!$H$43,Цены!$K$43,IF(D21=Цены!$H$44,Цены!$K$44,IF(D21=Цены!$H$45,Цены!$K$45,IF(D21=Цены!$H$46,Цены!$K$46,IF(D21=Цены!$H$47,Цены!$K$47,IF(D21=Цены!$H$48,Цены!$K$48,IF(D21=Цены!$H$49,Цены!$K$49,IF(D21=Цены!$H$50,Цены!$K$50,IF(D21=Цены!$H$51,Цены!$K$51,IF(D21=Цены!$H$52,Цены!$K$52,IF(D21=Цены!$H$53,Цены!$K$53,IF(D21=Цены!$H$54,Цены!$K$54,IF(D21=Цены!$H$55,Цены!$K$55))))))))))))))))))))))))))))))))))))))))))))))))))))))</f>
        <v>624</v>
      </c>
      <c r="I21" s="286"/>
      <c r="J21" s="265"/>
      <c r="K21" s="266"/>
      <c r="L21" s="267"/>
      <c r="M21" s="267"/>
      <c r="N21" s="320"/>
      <c r="O21" s="310"/>
      <c r="P21" s="270"/>
      <c r="Q21" s="210"/>
      <c r="R21" s="30"/>
      <c r="S21" s="27" t="b">
        <f>IF(Q21=Цены!$H$3,Цены!$L$3,IF(Q21=Цены!$H$4,Цены!$L$4,IF(Q21=Цены!$H$5,Цены!$L$5,IF(Q21=Цены!$H$6,Цены!$L$6,IF(Q21=Цены!$H$7,Цены!$L$7,IF(Q21=Цены!$H$8,Цены!$L$8,IF(Q21=Цены!$H$9,Цены!$L$9,IF(Q21=Цены!$H$10,Цены!$L$10,IF(Q21=Цены!$H$11,Цены!$L$11,IF(Q21=Цены!$H$12,Цены!$L$12,IF(Q21=Цены!$H$13,Цены!$L$13,IF(Q21=Цены!$H$14,Цены!$L$14,IF(Q21=Цены!$H$14,Цены!$L$14,IF(Q21=Цены!$H$15,Цены!$L$15,IF(Q21=Цены!$H$16,Цены!$L$16,IF(Q21=Цены!$H$17,Цены!$L$17,IF(Q21=Цены!$H$18,Цены!$L$18,IF(Q21=Цены!$H$19,Цены!$L$19,IF(Q21=Цены!$H$20,Цены!$L$20,IF(Q21=Цены!$H$21,Цены!$L$21,IF(Q21=Цены!$H$22,Цены!$L$22,IF(Q21=Цены!$H$23,Цены!$L$23,IF(Q21=Цены!$H$24,Цены!$L$24,IF(Q21=Цены!$H$25,Цены!$L$25,IF(Q21=Цены!$H$26,Цены!$L$26,IF(Q21=Цены!$H$27,Цены!$L$27,IF(Q21=Цены!$H$28,Цены!$L$28,IF(Q21=Цены!$H$29,Цены!$L$29,IF(Q21=Цены!$H$30,Цены!$L$30,IF(Q21=Цены!$H$31,Цены!$L$31,IF(Q21=Цены!$H$32,Цены!$L$32,IF(Q21=Цены!$H$33,Цены!$L$33,IF(Q21=Цены!$H$34,Цены!$L$34,IF(Q21=Цены!$H$35,Цены!$L$35,IF(Q21=Цены!$H$36,Цены!$L$36,IF(Q21=Цены!$H$37,Цены!$L$37,IF(Q21=Цены!$H$38,Цены!$L$38,IF(Q21=Цены!$H$39,Цены!$L$39,IF(Q21=Цены!$H$40,Цены!$L$40,IF(Q21=Цены!$H$41,Цены!$L$41,IF(Q21=Цены!$H$42,Цены!$L$42,IF(Q21=Цены!$H$43,Цены!$L$43,IF(Q21=Цены!$H$44,Цены!$L$44,IF(Q21=Цены!$H$45,Цены!$L$45,IF(Q21=Цены!$H$46,Цены!$L$46,IF(Q21=Цены!$H$47,Цены!$L$47,IF(Q21=Цены!$H$48,Цены!$L$48,IF(Q21=Цены!$H$49,Цены!$L$49,IF(Q21=Цены!$H$50,Цены!$L$50,IF(Q21=Цены!$H$51,Цены!$L$51,IF(Q21=Цены!$H$52,Цены!$L$52,IF(Q21=Цены!$H$53,Цены!$L$53,IF(Q21=Цены!$H$54,Цены!$L$54,IF(Q21=Цены!$H$55,Цены!$L$55))))))))))))))))))))))))))))))))))))))))))))))))))))))</f>
        <v>0</v>
      </c>
      <c r="T21" s="309"/>
      <c r="U21" s="162" t="b">
        <f>IF(Q21=Цены!$H$3,Цены!$K$3,IF(Q21=Цены!$H$4,Цены!$K$4,IF(Q21=Цены!$H$5,Цены!$K$5,IF(Q21=Цены!$H$6,Цены!$K$6,IF(Q21=Цены!$H$7,Цены!$K$7,IF(Q21=Цены!$H$8,Цены!$K$8,IF(Q21=Цены!$H$9,Цены!$K$9,IF(Q21=Цены!$H$10,Цены!$K$10,IF(Q21=Цены!$H$11,Цены!$K$11,IF(Q21=Цены!$H$12,Цены!$K$12,IF(Q21=Цены!$H$13,Цены!$K$13,IF(Q21=Цены!$H$14,Цены!$K$14,IF(Q21=Цены!$H$14,Цены!$K$14,IF(Q21=Цены!$H$15,Цены!$K$15,IF(Q21=Цены!$H$16,Цены!$K$16,IF(Q21=Цены!$H$17,Цены!$K$17,IF(Q21=Цены!$H$18,Цены!$K$18,IF(Q21=Цены!$H$19,Цены!$K$19,IF(Q21=Цены!$H$20,Цены!$K$20,IF(Q21=Цены!$H$21,Цены!$K$21,IF(Q21=Цены!$H$22,Цены!$K$22,IF(Q21=Цены!$H$23,Цены!$K$23,IF(Q21=Цены!$H$24,Цены!$K$24,IF(Q21=Цены!$H$25,Цены!$K$25,IF(Q21=Цены!$H$26,Цены!$K$26,IF(Q21=Цены!$H$27,Цены!$K$27,IF(Q21=Цены!$H$28,Цены!$K$28,IF(Q21=Цены!$H$29,Цены!$K$29,IF(Q21=Цены!$H$30,Цены!$K$30,IF(Q21=Цены!$H$31,Цены!$K$31,IF(Q21=Цены!$H$32,Цены!$K$32,IF(Q21=Цены!$H$33,Цены!$K$33,IF(Q21=Цены!$H$34,Цены!$K$34,IF(Q21=Цены!$H$35,Цены!$K$35,IF(Q21=Цены!$H$36,Цены!$K$36,IF(Q21=Цены!$H$37,Цены!$K$37,IF(Q21=Цены!$H$38,Цены!$K$38,IF(Q21=Цены!$H$39,Цены!$K$39,IF(Q21=Цены!$H$40,Цены!$K$40,IF(Q21=Цены!$H$41,Цены!$K$41,IF(Q21=Цены!$H$42,Цены!$K$42,IF(Q21=Цены!$H$43,Цены!$K$43,IF(Q21=Цены!$H$44,Цены!$K$44,IF(Q21=Цены!$H$45,Цены!$K$45,IF(Q21=Цены!$H$46,Цены!$K$46,IF(Q21=Цены!$H$47,Цены!$K$47,IF(Q21=Цены!$H$48,Цены!$K$48,IF(Q21=Цены!$H$49,Цены!$K$49,IF(Q21=Цены!$H$50,Цены!$K$50,IF(Q21=Цены!$H$51,Цены!$K$51,IF(Q21=Цены!$H$52,Цены!$K$52,IF(Q21=Цены!$H$53,Цены!$K$53,IF(Q21=Цены!$H$54,Цены!$K$54,IF(Q21=Цены!$H$55,Цены!$K$55))))))))))))))))))))))))))))))))))))))))))))))))))))))</f>
        <v>0</v>
      </c>
      <c r="V21" s="265"/>
      <c r="W21" s="265"/>
      <c r="X21" s="266"/>
      <c r="Y21" s="267"/>
      <c r="Z21" s="267"/>
      <c r="AA21" s="320"/>
      <c r="AB21" s="310"/>
      <c r="AC21" s="270"/>
      <c r="AD21" s="209" t="s">
        <v>88</v>
      </c>
      <c r="AE21" s="30">
        <v>5</v>
      </c>
      <c r="AF21" s="27">
        <f>IF(AD21=Цены!$H$3,Цены!$L$3,IF(AD21=Цены!$H$4,Цены!$L$4,IF(AD21=Цены!$H$5,Цены!$L$5,IF(AD21=Цены!$H$6,Цены!$L$6,IF(AD21=Цены!$H$7,Цены!$L$7,IF(AD21=Цены!$H$8,Цены!$L$8,IF(AD21=Цены!$H$9,Цены!$L$9,IF(AD21=Цены!$H$10,Цены!$L$10,IF(AD21=Цены!$H$11,Цены!$L$11,IF(AD21=Цены!$H$12,Цены!$L$12,IF(AD21=Цены!$H$13,Цены!$L$13,IF(AD21=Цены!$H$14,Цены!$L$14,IF(AD21=Цены!$H$14,Цены!$L$14,IF(AD21=Цены!$H$15,Цены!$L$15,IF(AD21=Цены!$H$16,Цены!$L$16,IF(AD21=Цены!$H$17,Цены!$L$17,IF(AD21=Цены!$H$18,Цены!$L$18,IF(AD21=Цены!$H$19,Цены!$L$19,IF(AD21=Цены!$H$20,Цены!$L$20,IF(AD21=Цены!$H$21,Цены!$L$21,IF(AD21=Цены!$H$22,Цены!$L$22,IF(AD21=Цены!$H$23,Цены!$L$23,IF(AD21=Цены!$H$24,Цены!$L$24,IF(AD21=Цены!$H$25,Цены!$L$25,IF(AD21=Цены!$H$26,Цены!$L$26,IF(AD21=Цены!$H$27,Цены!$L$27,IF(AD21=Цены!$H$28,Цены!$L$28,IF(AD21=Цены!$H$29,Цены!$L$29,IF(AD21=Цены!$H$30,Цены!$L$30,IF(AD21=Цены!$H$31,Цены!$L$31,IF(AD21=Цены!$H$32,Цены!$L$32,IF(AD21=Цены!$H$33,Цены!$L$33,IF(AD21=Цены!$H$34,Цены!$L$34,IF(AD21=Цены!$H$35,Цены!$L$35,IF(AD21=Цены!$H$36,Цены!$L$36,IF(AD21=Цены!$H$37,Цены!$L$37,IF(AD21=Цены!$H$38,Цены!$L$38,IF(AD21=Цены!$H$39,Цены!$L$39,IF(AD21=Цены!$H$40,Цены!$L$40,IF(AD21=Цены!$H$41,Цены!$L$41,IF(AD21=Цены!$H$42,Цены!$L$42,IF(AD21=Цены!$H$43,Цены!$L$43,IF(AD21=Цены!$H$44,Цены!$L$44,IF(AD21=Цены!$H$45,Цены!$L$45,IF(AD21=Цены!$H$46,Цены!$L$46,IF(AD21=Цены!$H$47,Цены!$L$47,IF(AD21=Цены!$H$48,Цены!$L$48,IF(AD21=Цены!$H$49,Цены!$L$49,IF(AD21=Цены!$H$50,Цены!$L$50,IF(AD21=Цены!$H$51,Цены!$L$51,IF(AD21=Цены!$H$52,Цены!$L$52,IF(AD21=Цены!$H$53,Цены!$L$53,IF(AD21=Цены!$H$54,Цены!$L$54,IF(AD21=Цены!$H$55,Цены!$L$55))))))))))))))))))))))))))))))))))))))))))))))))))))))</f>
        <v>1.8</v>
      </c>
      <c r="AG21" s="309"/>
      <c r="AH21" s="28">
        <f>IF(AD21=Цены!$H$3,Цены!$K$3,IF(AD21=Цены!$H$4,Цены!$K$4,IF(AD21=Цены!$H$5,Цены!$K$5,IF(AD21=Цены!$H$6,Цены!$K$6,IF(AD21=Цены!$H$7,Цены!$K$7,IF(AD21=Цены!$H$8,Цены!$K$8,IF(AD21=Цены!$H$9,Цены!$K$9,IF(AD21=Цены!$H$10,Цены!$K$10,IF(AD21=Цены!$H$11,Цены!$K$11,IF(AD21=Цены!$H$12,Цены!$K$12,IF(AD21=Цены!$H$13,Цены!$K$13,IF(AD21=Цены!$H$14,Цены!$K$14,IF(AD21=Цены!$H$14,Цены!$K$14,IF(AD21=Цены!$H$15,Цены!$K$15,IF(AD21=Цены!$H$16,Цены!$K$16,IF(AD21=Цены!$H$17,Цены!$K$17,IF(AD21=Цены!$H$18,Цены!$K$18,IF(AD21=Цены!$H$19,Цены!$K$19,IF(AD21=Цены!$H$20,Цены!$K$20,IF(AD21=Цены!$H$21,Цены!$K$21,IF(AD21=Цены!$H$22,Цены!$K$22,IF(AD21=Цены!$H$23,Цены!$K$23,IF(AD21=Цены!$H$24,Цены!$K$24,IF(AD21=Цены!$H$25,Цены!$K$25,IF(AD21=Цены!$H$26,Цены!$K$26,IF(AD21=Цены!$H$27,Цены!$K$27,IF(AD21=Цены!$H$28,Цены!$K$28,IF(AD21=Цены!$H$29,Цены!$K$29,IF(AD21=Цены!$H$30,Цены!$K$30,IF(AD21=Цены!$H$31,Цены!$K$31,IF(AD21=Цены!$H$32,Цены!$K$32,IF(AD21=Цены!$H$33,Цены!$K$33,IF(AD21=Цены!$H$34,Цены!$K$34,IF(AD21=Цены!$H$35,Цены!$K$35,IF(AD21=Цены!$H$36,Цены!$K$36,IF(AD21=Цены!$H$37,Цены!$K$37,IF(AD21=Цены!$H$38,Цены!$K$38,IF(AD21=Цены!$H$39,Цены!$K$39,IF(AD21=Цены!$H$40,Цены!$K$40,IF(AD21=Цены!$H$41,Цены!$K$41,IF(AD21=Цены!$H$42,Цены!$K$42,IF(AD21=Цены!$H$43,Цены!$K$43,IF(AD21=Цены!$H$44,Цены!$K$44,IF(AD21=Цены!$H$45,Цены!$K$45,IF(AD21=Цены!$H$46,Цены!$K$46,IF(AD21=Цены!$H$47,Цены!$K$47,IF(AD21=Цены!$H$48,Цены!$K$48,IF(AD21=Цены!$H$49,Цены!$K$49,IF(AD21=Цены!$H$50,Цены!$K$50,IF(AD21=Цены!$H$51,Цены!$K$51,IF(AD21=Цены!$H$52,Цены!$K$52,IF(AD21=Цены!$H$53,Цены!$K$53,IF(AD21=Цены!$H$54,Цены!$K$54,IF(AD21=Цены!$H$55,Цены!$K$55))))))))))))))))))))))))))))))))))))))))))))))))))))))</f>
        <v>388</v>
      </c>
      <c r="AI21" s="265"/>
      <c r="AJ21" s="265"/>
      <c r="AK21" s="266"/>
      <c r="AL21" s="267"/>
      <c r="AM21" s="267"/>
      <c r="AN21" s="268"/>
      <c r="AO21" s="310"/>
      <c r="AP21" s="270"/>
      <c r="AQ21" s="209"/>
      <c r="AR21" s="129"/>
      <c r="AS21" s="33" t="b">
        <f>IF(AQ21=Цены!$H$3,Цены!$L$3,IF(AQ21=Цены!$H$4,Цены!$L$4,IF(AQ21=Цены!$H$5,Цены!$L$5,IF(AQ21=Цены!$H$6,Цены!$L$6,IF(AQ21=Цены!$H$7,Цены!$L$7,IF(AQ21=Цены!$H$8,Цены!$L$8,IF(AQ21=Цены!$H$9,Цены!$L$9,IF(AQ21=Цены!$H$10,Цены!$L$10,IF(AQ21=Цены!$H$11,Цены!$L$11,IF(AQ21=Цены!$H$12,Цены!$L$12,IF(AQ21=Цены!$H$13,Цены!$L$13,IF(AQ21=Цены!$H$14,Цены!$L$14,IF(AQ21=Цены!$H$14,Цены!$L$14,IF(AQ21=Цены!$H$15,Цены!$L$15,IF(AQ21=Цены!$H$16,Цены!$L$16,IF(AQ21=Цены!$H$17,Цены!$L$17,IF(AQ21=Цены!$H$18,Цены!$L$18,IF(AQ21=Цены!$H$19,Цены!$L$19,IF(AQ21=Цены!$H$20,Цены!$L$20,IF(AQ21=Цены!$H$21,Цены!$L$21,IF(AQ21=Цены!$H$22,Цены!$L$22,IF(AQ21=Цены!$H$23,Цены!$L$23,IF(AQ21=Цены!$H$24,Цены!$L$24,IF(AQ21=Цены!$H$25,Цены!$L$25,IF(AQ21=Цены!$H$26,Цены!$L$26,IF(AQ21=Цены!$H$27,Цены!$L$27,IF(AQ21=Цены!$H$28,Цены!$L$28,IF(AQ21=Цены!$H$29,Цены!$L$29,IF(AQ21=Цены!$H$30,Цены!$L$30,IF(AQ21=Цены!$H$31,Цены!$L$31,IF(AQ21=Цены!$H$32,Цены!$L$32,IF(AQ21=Цены!$H$33,Цены!$L$33,IF(AQ21=Цены!$H$34,Цены!$L$34,IF(AQ21=Цены!$H$35,Цены!$L$35,IF(AQ21=Цены!$H$36,Цены!$L$36,IF(AQ21=Цены!$H$37,Цены!$L$37,IF(AQ21=Цены!$H$38,Цены!$L$38,IF(AQ21=Цены!$H$39,Цены!$L$39,IF(AQ21=Цены!$H$40,Цены!$L$40,IF(AQ21=Цены!$H$41,Цены!$L$41,IF(AQ21=Цены!$H$42,Цены!$L$42,IF(AQ21=Цены!$H$43,Цены!$L$43,IF(AQ21=Цены!$H$44,Цены!$L$44,IF(AQ21=Цены!$H$45,Цены!$L$45,IF(AQ21=Цены!$H$46,Цены!$L$46,IF(AQ21=Цены!$H$47,Цены!$L$47,IF(AQ21=Цены!$H$48,Цены!$L$48,IF(AQ21=Цены!$H$49,Цены!$L$49,IF(AQ21=Цены!$H$50,Цены!$L$50,IF(AQ21=Цены!$H$51,Цены!$L$51,IF(AQ21=Цены!$H$52,Цены!$L$52,IF(AQ21=Цены!$H$53,Цены!$L$53,IF(AQ21=Цены!$H$54,Цены!$L$54,IF(AQ21=Цены!$H$55,Цены!$L$55))))))))))))))))))))))))))))))))))))))))))))))))))))))</f>
        <v>0</v>
      </c>
      <c r="AT21" s="276"/>
      <c r="AU21" s="34" t="b">
        <f>IF(AQ21=Цены!$H$3,Цены!$K$3,IF(AQ21=Цены!$H$4,Цены!$K$4,IF(AQ21=Цены!$H$5,Цены!$K$5,IF(AQ21=Цены!$H$6,Цены!$K$6,IF(AQ21=Цены!$H$7,Цены!$K$7,IF(AQ21=Цены!$H$8,Цены!$K$8,IF(AQ21=Цены!$H$9,Цены!$K$9,IF(AQ21=Цены!$H$10,Цены!$K$10,IF(AQ21=Цены!$H$11,Цены!$K$11,IF(AQ21=Цены!$H$12,Цены!$K$12,IF(AQ21=Цены!$H$13,Цены!$K$13,IF(AQ21=Цены!$H$14,Цены!$K$14,IF(AQ21=Цены!$H$14,Цены!$K$14,IF(AQ21=Цены!$H$15,Цены!$K$15,IF(AQ21=Цены!$H$16,Цены!$K$16,IF(AQ21=Цены!$H$17,Цены!$K$17,IF(AQ21=Цены!$H$18,Цены!$K$18,IF(AQ21=Цены!$H$19,Цены!$K$19,IF(AQ21=Цены!$H$20,Цены!$K$20,IF(AQ21=Цены!$H$21,Цены!$K$21,IF(AQ21=Цены!$H$22,Цены!$K$22,IF(AQ21=Цены!$H$23,Цены!$K$23,IF(AQ21=Цены!$H$24,Цены!$K$24,IF(AQ21=Цены!$H$25,Цены!$K$25,IF(AQ21=Цены!$H$26,Цены!$K$26,IF(AQ21=Цены!$H$27,Цены!$K$27,IF(AQ21=Цены!$H$28,Цены!$K$28,IF(AQ21=Цены!$H$29,Цены!$K$29,IF(AQ21=Цены!$H$30,Цены!$K$30,IF(AQ21=Цены!$H$31,Цены!$K$31,IF(AQ21=Цены!$H$32,Цены!$K$32,IF(AQ21=Цены!$H$33,Цены!$K$33,IF(AQ21=Цены!$H$34,Цены!$K$34,IF(AQ21=Цены!$H$35,Цены!$K$35,IF(AQ21=Цены!$H$36,Цены!$K$36,IF(AQ21=Цены!$H$37,Цены!$K$37,IF(AQ21=Цены!$H$38,Цены!$K$38,IF(AQ21=Цены!$H$39,Цены!$K$39,IF(AQ21=Цены!$H$40,Цены!$K$40,IF(AQ21=Цены!$H$41,Цены!$K$41,IF(AQ21=Цены!$H$42,Цены!$K$42,IF(AQ21=Цены!$H$43,Цены!$K$43,IF(AQ21=Цены!$H$44,Цены!$K$44,IF(AQ21=Цены!$H$45,Цены!$K$45,IF(AQ21=Цены!$H$46,Цены!$K$46,IF(AQ21=Цены!$H$47,Цены!$K$47,IF(AQ21=Цены!$H$48,Цены!$K$48,IF(AQ21=Цены!$H$49,Цены!$K$49,IF(AQ21=Цены!$H$50,Цены!$K$50,IF(AQ21=Цены!$H$51,Цены!$K$51,IF(AQ21=Цены!$H$52,Цены!$K$52,IF(AQ21=Цены!$H$53,Цены!$K$53,IF(AQ21=Цены!$H$54,Цены!$K$54,IF(AQ21=Цены!$H$55,Цены!$K$55))))))))))))))))))))))))))))))))))))))))))))))))))))))</f>
        <v>0</v>
      </c>
      <c r="AV21" s="265"/>
      <c r="AW21" s="265"/>
      <c r="AX21" s="266"/>
      <c r="AY21" s="267"/>
      <c r="AZ21" s="267"/>
      <c r="BA21" s="268"/>
      <c r="BB21" s="269"/>
      <c r="BC21" s="270"/>
      <c r="BD21" s="259"/>
      <c r="BE21" s="210"/>
      <c r="BF21" s="71"/>
      <c r="BG21" s="33" t="b">
        <f>IF(BE21=Цены!$H$3,Цены!$L$3,IF(BE21=Цены!$H$4,Цены!$L$4,IF(BE21=Цены!$H$5,Цены!$L$5,IF(BE21=Цены!$H$6,Цены!$L$6,IF(BE21=Цены!$H$7,Цены!$L$7,IF(BE21=Цены!$H$8,Цены!$L$8,IF(BE21=Цены!$H$9,Цены!$L$9,IF(BE21=Цены!$H$10,Цены!$L$10,IF(BE21=Цены!$H$11,Цены!$L$11,IF(BE21=Цены!$H$12,Цены!$L$12,IF(BE21=Цены!$H$13,Цены!$L$13,IF(BE21=Цены!$H$14,Цены!$L$14,IF(BE21=Цены!$H$14,Цены!$L$14,IF(BE21=Цены!$H$15,Цены!$L$15,IF(BE21=Цены!$H$16,Цены!$L$16,IF(BE21=Цены!$H$17,Цены!$L$17,IF(BE21=Цены!$H$18,Цены!$L$18,IF(BE21=Цены!$H$19,Цены!$L$19,IF(BE21=Цены!$H$20,Цены!$L$20,IF(BE21=Цены!$H$21,Цены!$L$21,IF(BE21=Цены!$H$22,Цены!$L$22,IF(BE21=Цены!$H$23,Цены!$L$23,IF(BE21=Цены!$H$24,Цены!$L$24,IF(BE21=Цены!$H$25,Цены!$L$25,IF(BE21=Цены!$H$26,Цены!$L$26,IF(BE21=Цены!$H$27,Цены!$L$27,IF(BE21=Цены!$H$28,Цены!$L$28,IF(BE21=Цены!$H$29,Цены!$L$29,IF(BE21=Цены!$H$30,Цены!$L$30,IF(BE21=Цены!$H$31,Цены!$L$31,IF(BE21=Цены!$H$32,Цены!$L$32,IF(BE21=Цены!$H$33,Цены!$L$33,IF(BE21=Цены!$H$34,Цены!$L$34,IF(BE21=Цены!$H$35,Цены!$L$35,IF(BE21=Цены!$H$36,Цены!$L$36,IF(BE21=Цены!$H$37,Цены!$L$37,IF(BE21=Цены!$H$38,Цены!$L$38,IF(BE21=Цены!$H$39,Цены!$L$39,IF(BE21=Цены!$H$40,Цены!$L$40,IF(BE21=Цены!$H$41,Цены!$L$41,IF(BE21=Цены!$H$42,Цены!$L$42,IF(BE21=Цены!$H$43,Цены!$L$43,IF(BE21=Цены!$H$44,Цены!$L$44,IF(BE21=Цены!$H$45,Цены!$L$45,IF(BE21=Цены!$H$46,Цены!$L$46,IF(BE21=Цены!$H$47,Цены!$L$47,IF(BE21=Цены!$H$48,Цены!$L$48,IF(BE21=Цены!$H$49,Цены!$L$49,IF(BE21=Цены!$H$50,Цены!$L$50,IF(BE21=Цены!$H$51,Цены!$L$51,IF(BE21=Цены!$H$52,Цены!$L$52,IF(BE21=Цены!$H$53,Цены!$L$53,IF(BE21=Цены!$H$54,Цены!$L$54,IF(BE21=Цены!$H$55,Цены!$L$55))))))))))))))))))))))))))))))))))))))))))))))))))))))</f>
        <v>0</v>
      </c>
      <c r="BH21" s="276"/>
      <c r="BI21" s="34" t="b">
        <f>IF(BE21=Цены!$H$3,Цены!$K$3,IF(BE21=Цены!$H$4,Цены!$K$4,IF(BE21=Цены!$H$5,Цены!$K$5,IF(BE21=Цены!$H$6,Цены!$K$6,IF(BE21=Цены!$H$7,Цены!$K$7,IF(BE21=Цены!$H$8,Цены!$K$8,IF(BE21=Цены!$H$9,Цены!$K$9,IF(BE21=Цены!$H$10,Цены!$K$10,IF(BE21=Цены!$H$11,Цены!$K$11,IF(BE21=Цены!$H$12,Цены!$K$12,IF(BE21=Цены!$H$13,Цены!$K$13,IF(BE21=Цены!$H$14,Цены!$K$14,IF(BE21=Цены!$H$14,Цены!$K$14,IF(BE21=Цены!$H$15,Цены!$K$15,IF(BE21=Цены!$H$16,Цены!$K$16,IF(BE21=Цены!$H$17,Цены!$K$17,IF(BE21=Цены!$H$18,Цены!$K$18,IF(BE21=Цены!$H$19,Цены!$K$19,IF(BE21=Цены!$H$20,Цены!$K$20,IF(BE21=Цены!$H$21,Цены!$K$21,IF(BE21=Цены!$H$22,Цены!$K$22,IF(BE21=Цены!$H$23,Цены!$K$23,IF(BE21=Цены!$H$24,Цены!$K$24,IF(BE21=Цены!$H$25,Цены!$K$25,IF(BE21=Цены!$H$26,Цены!$K$26,IF(BE21=Цены!$H$27,Цены!$K$27,IF(BE21=Цены!$H$28,Цены!$K$28,IF(BE21=Цены!$H$29,Цены!$K$29,IF(BE21=Цены!$H$30,Цены!$K$30,IF(BE21=Цены!$H$31,Цены!$K$31,IF(BE21=Цены!$H$32,Цены!$K$32,IF(BE21=Цены!$H$33,Цены!$K$33,IF(BE21=Цены!$H$34,Цены!$K$34,IF(BE21=Цены!$H$35,Цены!$K$35,IF(BE21=Цены!$H$36,Цены!$K$36,IF(BE21=Цены!$H$37,Цены!$K$37,IF(BE21=Цены!$H$38,Цены!$K$38,IF(BE21=Цены!$H$39,Цены!$K$39,IF(BE21=Цены!$H$40,Цены!$K$40,IF(BE21=Цены!$H$41,Цены!$K$41,IF(BE21=Цены!$H$42,Цены!$K$42,IF(BE21=Цены!$H$43,Цены!$K$43,IF(BE21=Цены!$H$44,Цены!$K$44,IF(BE21=Цены!$H$45,Цены!$K$45,IF(BE21=Цены!$H$46,Цены!$K$46,IF(BE21=Цены!$H$47,Цены!$K$47,IF(BE21=Цены!$H$48,Цены!$K$48,IF(BE21=Цены!$H$49,Цены!$K$49,IF(BE21=Цены!$H$50,Цены!$K$50,IF(BE21=Цены!$H$51,Цены!$K$51,IF(BE21=Цены!$H$52,Цены!$K$52,IF(BE21=Цены!$H$53,Цены!$K$53,IF(BE21=Цены!$H$54,Цены!$K$54,IF(BE21=Цены!$H$55,Цены!$K$55))))))))))))))))))))))))))))))))))))))))))))))))))))))</f>
        <v>0</v>
      </c>
      <c r="BJ21" s="265"/>
      <c r="BK21" s="265"/>
      <c r="BL21" s="266"/>
      <c r="BM21" s="267"/>
      <c r="BN21" s="267"/>
      <c r="BO21" s="268"/>
      <c r="BP21" s="269"/>
      <c r="BQ21" s="270"/>
      <c r="BR21" s="210"/>
      <c r="BS21" s="43"/>
      <c r="BT21" s="33" t="b">
        <f>IF(BR21=Цены!$H$3,Цены!$L$3,IF(BR21=Цены!$H$4,Цены!$L$4,IF(BR21=Цены!$H$5,Цены!$L$5,IF(BR21=Цены!$H$6,Цены!$L$6,IF(BR21=Цены!$H$7,Цены!$L$7,IF(BR21=Цены!$H$8,Цены!$L$8,IF(BR21=Цены!$H$9,Цены!$L$9,IF(BR21=Цены!$H$10,Цены!$L$10,IF(BR21=Цены!$H$11,Цены!$L$11,IF(BR21=Цены!$H$12,Цены!$L$12,IF(BR21=Цены!$H$13,Цены!$L$13,IF(BR21=Цены!$H$14,Цены!$L$14,IF(BR21=Цены!$H$14,Цены!$L$14,IF(BR21=Цены!$H$15,Цены!$L$15,IF(BR21=Цены!$H$16,Цены!$L$16,IF(BR21=Цены!$H$17,Цены!$L$17,IF(BR21=Цены!$H$18,Цены!$L$18,IF(BR21=Цены!$H$19,Цены!$L$19,IF(BR21=Цены!$H$20,Цены!$L$20,IF(BR21=Цены!$H$21,Цены!$L$21,IF(BR21=Цены!$H$22,Цены!$L$22,IF(BR21=Цены!$H$23,Цены!$L$23,IF(BR21=Цены!$H$24,Цены!$L$24,IF(BR21=Цены!$H$25,Цены!$L$25,IF(BR21=Цены!$H$26,Цены!$L$26,IF(BR21=Цены!$H$27,Цены!$L$27,IF(BR21=Цены!$H$28,Цены!$L$28,IF(BR21=Цены!$H$29,Цены!$L$29,IF(BR21=Цены!$H$30,Цены!$L$30,IF(BR21=Цены!$H$31,Цены!$L$31,IF(BR21=Цены!$H$32,Цены!$L$32,IF(BR21=Цены!$H$33,Цены!$L$33,IF(BR21=Цены!$H$34,Цены!$L$34,IF(BR21=Цены!$H$35,Цены!$L$35,IF(BR21=Цены!$H$36,Цены!$L$36,IF(BR21=Цены!$H$37,Цены!$L$37,IF(BR21=Цены!$H$38,Цены!$L$38,IF(BR21=Цены!$H$39,Цены!$L$39,IF(BR21=Цены!$H$40,Цены!$L$40,IF(BR21=Цены!$H$41,Цены!$L$41,IF(BR21=Цены!$H$42,Цены!$L$42,IF(BR21=Цены!$H$43,Цены!$L$43,IF(BR21=Цены!$H$44,Цены!$L$44,IF(BR21=Цены!$H$45,Цены!$L$45,IF(BR21=Цены!$H$46,Цены!$L$46,IF(BR21=Цены!$H$47,Цены!$L$47,IF(BR21=Цены!$H$48,Цены!$L$48,IF(BR21=Цены!$H$49,Цены!$L$49,IF(BR21=Цены!$H$50,Цены!$L$50,IF(BR21=Цены!$H$51,Цены!$L$51,IF(BR21=Цены!$H$52,Цены!$L$52,IF(BR21=Цены!$H$53,Цены!$L$53,IF(BR21=Цены!$H$54,Цены!$L$54,IF(BR21=Цены!$H$55,Цены!$L$55))))))))))))))))))))))))))))))))))))))))))))))))))))))</f>
        <v>0</v>
      </c>
      <c r="BU21" s="276"/>
      <c r="BV21" s="34" t="b">
        <f>IF(BR21=Цены!$H$3,Цены!$K$3,IF(BR21=Цены!$H$4,Цены!$K$4,IF(BR21=Цены!$H$5,Цены!$K$5,IF(BR21=Цены!$H$6,Цены!$K$6,IF(BR21=Цены!$H$7,Цены!$K$7,IF(BR21=Цены!$H$8,Цены!$K$8,IF(BR21=Цены!$H$9,Цены!$K$9,IF(BR21=Цены!$H$10,Цены!$K$10,IF(BR21=Цены!$H$11,Цены!$K$11,IF(BR21=Цены!$H$12,Цены!$K$12,IF(BR21=Цены!$H$13,Цены!$K$13,IF(BR21=Цены!$H$14,Цены!$K$14,IF(BR21=Цены!$H$14,Цены!$K$14,IF(BR21=Цены!$H$15,Цены!$K$15,IF(BR21=Цены!$H$16,Цены!$K$16,IF(BR21=Цены!$H$17,Цены!$K$17,IF(BR21=Цены!$H$18,Цены!$K$18,IF(BR21=Цены!$H$19,Цены!$K$19,IF(BR21=Цены!$H$20,Цены!$K$20,IF(BR21=Цены!$H$21,Цены!$K$21,IF(BR21=Цены!$H$22,Цены!$K$22,IF(BR21=Цены!$H$23,Цены!$K$23,IF(BR21=Цены!$H$24,Цены!$K$24,IF(BR21=Цены!$H$25,Цены!$K$25,IF(BR21=Цены!$H$26,Цены!$K$26,IF(BR21=Цены!$H$27,Цены!$K$27,IF(BR21=Цены!$H$28,Цены!$K$28,IF(BR21=Цены!$H$29,Цены!$K$29,IF(BR21=Цены!$H$30,Цены!$K$30,IF(BR21=Цены!$H$31,Цены!$K$31,IF(BR21=Цены!$H$32,Цены!$K$32,IF(BR21=Цены!$H$33,Цены!$K$33,IF(BR21=Цены!$H$34,Цены!$K$34,IF(BR21=Цены!$H$35,Цены!$K$35,IF(BR21=Цены!$H$36,Цены!$K$36,IF(BR21=Цены!$H$37,Цены!$K$37,IF(BR21=Цены!$H$38,Цены!$K$38,IF(BR21=Цены!$H$39,Цены!$K$39,IF(BR21=Цены!$H$40,Цены!$K$40,IF(BR21=Цены!$H$41,Цены!$K$41,IF(BR21=Цены!$H$42,Цены!$K$42,IF(BR21=Цены!$H$43,Цены!$K$43,IF(BR21=Цены!$H$44,Цены!$K$44,IF(BR21=Цены!$H$45,Цены!$K$45,IF(BR21=Цены!$H$46,Цены!$K$46,IF(BR21=Цены!$H$47,Цены!$K$47,IF(BR21=Цены!$H$48,Цены!$K$48,IF(BR21=Цены!$H$49,Цены!$K$49,IF(BR21=Цены!$H$50,Цены!$K$50,IF(BR21=Цены!$H$51,Цены!$K$51,IF(BR21=Цены!$H$52,Цены!$K$52,IF(BR21=Цены!$H$53,Цены!$K$53,IF(BR21=Цены!$H$54,Цены!$K$54,IF(BR21=Цены!$H$55,Цены!$K$55))))))))))))))))))))))))))))))))))))))))))))))))))))))</f>
        <v>0</v>
      </c>
      <c r="BW21" s="265"/>
      <c r="BX21" s="265"/>
      <c r="BY21" s="266"/>
      <c r="BZ21" s="267"/>
      <c r="CA21" s="267"/>
      <c r="CB21" s="268"/>
      <c r="CC21" s="269"/>
      <c r="CD21" s="270"/>
      <c r="CE21" s="171" t="s">
        <v>123</v>
      </c>
      <c r="CF21" s="43">
        <v>1</v>
      </c>
      <c r="CG21" s="33">
        <f>IF(CE21=Цены!$H$3,Цены!$L$3,IF(CE21=Цены!$H$4,Цены!$L$4,IF(CE21=Цены!$H$5,Цены!$L$5,IF(CE21=Цены!$H$6,Цены!$L$6,IF(CE21=Цены!$H$7,Цены!$L$7,IF(CE21=Цены!$H$8,Цены!$L$8,IF(CE21=Цены!$H$9,Цены!$L$9,IF(CE21=Цены!$H$10,Цены!$L$10,IF(CE21=Цены!$H$11,Цены!$L$11,IF(CE21=Цены!$H$12,Цены!$L$12,IF(CE21=Цены!$H$13,Цены!$L$13,IF(CE21=Цены!$H$14,Цены!$L$14,IF(CE21=Цены!$H$14,Цены!$L$14,IF(CE21=Цены!$H$15,Цены!$L$15,IF(CE21=Цены!$H$16,Цены!$L$16,IF(CE21=Цены!$H$17,Цены!$L$17,IF(CE21=Цены!$H$18,Цены!$L$18,IF(CE21=Цены!$H$19,Цены!$L$19,IF(CE21=Цены!$H$20,Цены!$L$20,IF(CE21=Цены!$H$21,Цены!$L$21,IF(CE21=Цены!$H$22,Цены!$L$22,IF(CE21=Цены!$H$23,Цены!$L$23,IF(CE21=Цены!$H$24,Цены!$L$24,IF(CE21=Цены!$H$25,Цены!$L$25,IF(CE21=Цены!$H$26,Цены!$L$26,IF(CE21=Цены!$H$27,Цены!$L$27,IF(CE21=Цены!$H$28,Цены!$L$28,IF(CE21=Цены!$H$29,Цены!$L$29,IF(CE21=Цены!$H$30,Цены!$L$30,IF(CE21=Цены!$H$31,Цены!$L$31,IF(CE21=Цены!$H$32,Цены!$L$32,IF(CE21=Цены!$H$33,Цены!$L$33,IF(CE21=Цены!$H$34,Цены!$L$34,IF(CE21=Цены!$H$35,Цены!$L$35,IF(CE21=Цены!$H$36,Цены!$L$36,IF(CE21=Цены!$H$37,Цены!$L$37,IF(CE21=Цены!$H$38,Цены!$L$38,IF(CE21=Цены!$H$39,Цены!$L$39,IF(CE21=Цены!$H$40,Цены!$L$40,IF(CE21=Цены!$H$41,Цены!$L$41,IF(CE21=Цены!$H$42,Цены!$L$42,IF(CE21=Цены!$H$43,Цены!$L$43,IF(CE21=Цены!$H$44,Цены!$L$44,IF(CE21=Цены!$H$45,Цены!$L$45,IF(CE21=Цены!$H$46,Цены!$L$46,IF(CE21=Цены!$H$47,Цены!$L$47,IF(CE21=Цены!$H$48,Цены!$L$48,IF(CE21=Цены!$H$49,Цены!$L$49,IF(CE21=Цены!$H$50,Цены!$L$50,IF(CE21=Цены!$H$51,Цены!$L$51,IF(CE21=Цены!$H$52,Цены!$L$52,IF(CE21=Цены!$H$53,Цены!$L$53,IF(CE21=Цены!$H$54,Цены!$L$54,IF(CE21=Цены!$H$55,Цены!$L$55))))))))))))))))))))))))))))))))))))))))))))))))))))))</f>
        <v>0.39</v>
      </c>
      <c r="CH21" s="276"/>
      <c r="CI21" s="34">
        <f>IF(CE21=Цены!$H$3,Цены!$K$3,IF(CE21=Цены!$H$4,Цены!$K$4,IF(CE21=Цены!$H$5,Цены!$K$5,IF(CE21=Цены!$H$6,Цены!$K$6,IF(CE21=Цены!$H$7,Цены!$K$7,IF(CE21=Цены!$H$8,Цены!$K$8,IF(CE21=Цены!$H$9,Цены!$K$9,IF(CE21=Цены!$H$10,Цены!$K$10,IF(CE21=Цены!$H$11,Цены!$K$11,IF(CE21=Цены!$H$12,Цены!$K$12,IF(CE21=Цены!$H$13,Цены!$K$13,IF(CE21=Цены!$H$14,Цены!$K$14,IF(CE21=Цены!$H$14,Цены!$K$14,IF(CE21=Цены!$H$15,Цены!$K$15,IF(CE21=Цены!$H$16,Цены!$K$16,IF(CE21=Цены!$H$17,Цены!$K$17,IF(CE21=Цены!$H$18,Цены!$K$18,IF(CE21=Цены!$H$19,Цены!$K$19,IF(CE21=Цены!$H$20,Цены!$K$20,IF(CE21=Цены!$H$21,Цены!$K$21,IF(CE21=Цены!$H$22,Цены!$K$22,IF(CE21=Цены!$H$23,Цены!$K$23,IF(CE21=Цены!$H$24,Цены!$K$24,IF(CE21=Цены!$H$25,Цены!$K$25,IF(CE21=Цены!$H$26,Цены!$K$26,IF(CE21=Цены!$H$27,Цены!$K$27,IF(CE21=Цены!$H$28,Цены!$K$28,IF(CE21=Цены!$H$29,Цены!$K$29,IF(CE21=Цены!$H$30,Цены!$K$30,IF(CE21=Цены!$H$31,Цены!$K$31,IF(CE21=Цены!$H$32,Цены!$K$32,IF(CE21=Цены!$H$33,Цены!$K$33,IF(CE21=Цены!$H$34,Цены!$K$34,IF(CE21=Цены!$H$35,Цены!$K$35,IF(CE21=Цены!$H$36,Цены!$K$36,IF(CE21=Цены!$H$37,Цены!$K$37,IF(CE21=Цены!$H$38,Цены!$K$38,IF(CE21=Цены!$H$39,Цены!$K$39,IF(CE21=Цены!$H$40,Цены!$K$40,IF(CE21=Цены!$H$41,Цены!$K$41,IF(CE21=Цены!$H$42,Цены!$K$42,IF(CE21=Цены!$H$43,Цены!$K$43,IF(CE21=Цены!$H$44,Цены!$K$44,IF(CE21=Цены!$H$45,Цены!$K$45,IF(CE21=Цены!$H$46,Цены!$K$46,IF(CE21=Цены!$H$47,Цены!$K$47,IF(CE21=Цены!$H$48,Цены!$K$48,IF(CE21=Цены!$H$49,Цены!$K$49,IF(CE21=Цены!$H$50,Цены!$K$50,IF(CE21=Цены!$H$51,Цены!$K$51,IF(CE21=Цены!$H$52,Цены!$K$52,IF(CE21=Цены!$H$53,Цены!$K$53,IF(CE21=Цены!$H$54,Цены!$K$54,IF(CE21=Цены!$H$55,Цены!$K$55))))))))))))))))))))))))))))))))))))))))))))))))))))))</f>
        <v>624</v>
      </c>
      <c r="CJ21" s="265"/>
      <c r="CK21" s="265"/>
      <c r="CL21" s="266"/>
      <c r="CM21" s="267"/>
      <c r="CN21" s="267"/>
      <c r="CO21" s="268"/>
      <c r="CP21" s="269"/>
      <c r="CQ21" s="270"/>
    </row>
    <row r="22" spans="1:95" ht="15" customHeight="1" x14ac:dyDescent="0.25">
      <c r="A22" s="267"/>
      <c r="B22" s="265"/>
      <c r="C22" s="265"/>
      <c r="D22" s="171" t="s">
        <v>121</v>
      </c>
      <c r="E22" s="25">
        <v>2</v>
      </c>
      <c r="F22" s="27">
        <f>IF(D22=Цены!$H$3,Цены!$L$3,IF(D22=Цены!$H$4,Цены!$L$4,IF(D22=Цены!$H$5,Цены!$L$5,IF(D22=Цены!$H$6,Цены!$L$6,IF(D22=Цены!$H$7,Цены!$L$7,IF(D22=Цены!$H$8,Цены!$L$8,IF(D22=Цены!$H$9,Цены!$L$9,IF(D22=Цены!$H$10,Цены!$L$10,IF(D22=Цены!$H$11,Цены!$L$11,IF(D22=Цены!$H$12,Цены!$L$12,IF(D22=Цены!$H$13,Цены!$L$13,IF(D22=Цены!$H$14,Цены!$L$14,IF(D22=Цены!$H$14,Цены!$L$14,IF(D22=Цены!$H$15,Цены!$L$15,IF(D22=Цены!$H$16,Цены!$L$16,IF(D22=Цены!$H$17,Цены!$L$17,IF(D22=Цены!$H$18,Цены!$L$18,IF(D22=Цены!$H$19,Цены!$L$19,IF(D22=Цены!$H$20,Цены!$L$20,IF(D22=Цены!$H$21,Цены!$L$21,IF(D22=Цены!$H$22,Цены!$L$22,IF(D22=Цены!$H$23,Цены!$L$23,IF(D22=Цены!$H$24,Цены!$L$24,IF(D22=Цены!$H$25,Цены!$L$25,IF(D22=Цены!$H$26,Цены!$L$26,IF(D22=Цены!$H$27,Цены!$L$27,IF(D22=Цены!$H$28,Цены!$L$28,IF(D22=Цены!$H$29,Цены!$L$29,IF(D22=Цены!$H$30,Цены!$L$30,IF(D22=Цены!$H$31,Цены!$L$31,IF(D22=Цены!$H$32,Цены!$L$32,IF(D22=Цены!$H$33,Цены!$L$33,IF(D22=Цены!$H$34,Цены!$L$34,IF(D22=Цены!$H$35,Цены!$L$35,IF(D22=Цены!$H$36,Цены!$L$36,IF(D22=Цены!$H$37,Цены!$L$37,IF(D22=Цены!$H$38,Цены!$L$38,IF(D22=Цены!$H$39,Цены!$L$39,IF(D22=Цены!$H$40,Цены!$L$40,IF(D22=Цены!$H$41,Цены!$L$41,IF(D22=Цены!$H$42,Цены!$L$42,IF(D22=Цены!$H$43,Цены!$L$43,IF(D22=Цены!$H$44,Цены!$L$44,IF(D22=Цены!$H$45,Цены!$L$45,IF(D22=Цены!$H$46,Цены!$L$46,IF(D22=Цены!$H$47,Цены!$L$47,IF(D22=Цены!$H$48,Цены!$L$48,IF(D22=Цены!$H$49,Цены!$L$49,IF(D22=Цены!$H$50,Цены!$L$50,IF(D22=Цены!$H$51,Цены!$L$51,IF(D22=Цены!$H$52,Цены!$L$52,IF(D22=Цены!$H$53,Цены!$L$53,IF(D22=Цены!$H$54,Цены!$L$54,IF(D22=Цены!$H$55,Цены!$L$55))))))))))))))))))))))))))))))))))))))))))))))))))))))</f>
        <v>1.32E-2</v>
      </c>
      <c r="G22" s="309"/>
      <c r="H22" s="28">
        <f>IF(D22=Цены!$H$3,Цены!$K$3,IF(D22=Цены!$H$4,Цены!$K$4,IF(D22=Цены!$H$5,Цены!$K$5,IF(D22=Цены!$H$6,Цены!$K$6,IF(D22=Цены!$H$7,Цены!$K$7,IF(D22=Цены!$H$8,Цены!$K$8,IF(D22=Цены!$H$9,Цены!$K$9,IF(D22=Цены!$H$10,Цены!$K$10,IF(D22=Цены!$H$11,Цены!$K$11,IF(D22=Цены!$H$12,Цены!$K$12,IF(D22=Цены!$H$13,Цены!$K$13,IF(D22=Цены!$H$14,Цены!$K$14,IF(D22=Цены!$H$14,Цены!$K$14,IF(D22=Цены!$H$15,Цены!$K$15,IF(D22=Цены!$H$16,Цены!$K$16,IF(D22=Цены!$H$17,Цены!$K$17,IF(D22=Цены!$H$18,Цены!$K$18,IF(D22=Цены!$H$19,Цены!$K$19,IF(D22=Цены!$H$20,Цены!$K$20,IF(D22=Цены!$H$21,Цены!$K$21,IF(D22=Цены!$H$22,Цены!$K$22,IF(D22=Цены!$H$23,Цены!$K$23,IF(D22=Цены!$H$24,Цены!$K$24,IF(D22=Цены!$H$25,Цены!$K$25,IF(D22=Цены!$H$26,Цены!$K$26,IF(D22=Цены!$H$27,Цены!$K$27,IF(D22=Цены!$H$28,Цены!$K$28,IF(D22=Цены!$H$29,Цены!$K$29,IF(D22=Цены!$H$30,Цены!$K$30,IF(D22=Цены!$H$31,Цены!$K$31,IF(D22=Цены!$H$32,Цены!$K$32,IF(D22=Цены!$H$33,Цены!$K$33,IF(D22=Цены!$H$34,Цены!$K$34,IF(D22=Цены!$H$35,Цены!$K$35,IF(D22=Цены!$H$36,Цены!$K$36,IF(D22=Цены!$H$37,Цены!$K$37,IF(D22=Цены!$H$38,Цены!$K$38,IF(D22=Цены!$H$39,Цены!$K$39,IF(D22=Цены!$H$40,Цены!$K$40,IF(D22=Цены!$H$41,Цены!$K$41,IF(D22=Цены!$H$42,Цены!$K$42,IF(D22=Цены!$H$43,Цены!$K$43,IF(D22=Цены!$H$44,Цены!$K$44,IF(D22=Цены!$H$45,Цены!$K$45,IF(D22=Цены!$H$46,Цены!$K$46,IF(D22=Цены!$H$47,Цены!$K$47,IF(D22=Цены!$H$48,Цены!$K$48,IF(D22=Цены!$H$49,Цены!$K$49,IF(D22=Цены!$H$50,Цены!$K$50,IF(D22=Цены!$H$51,Цены!$K$51,IF(D22=Цены!$H$52,Цены!$K$52,IF(D22=Цены!$H$53,Цены!$K$53,IF(D22=Цены!$H$54,Цены!$K$54,IF(D22=Цены!$H$55,Цены!$K$55))))))))))))))))))))))))))))))))))))))))))))))))))))))</f>
        <v>54</v>
      </c>
      <c r="I22" s="286"/>
      <c r="J22" s="265"/>
      <c r="K22" s="266"/>
      <c r="L22" s="267"/>
      <c r="M22" s="267"/>
      <c r="N22" s="320"/>
      <c r="O22" s="310"/>
      <c r="P22" s="270"/>
      <c r="Q22" s="210"/>
      <c r="R22" s="30"/>
      <c r="S22" s="27" t="b">
        <f>IF(Q22=Цены!$H$3,Цены!$L$3,IF(Q22=Цены!$H$4,Цены!$L$4,IF(Q22=Цены!$H$5,Цены!$L$5,IF(Q22=Цены!$H$6,Цены!$L$6,IF(Q22=Цены!$H$7,Цены!$L$7,IF(Q22=Цены!$H$8,Цены!$L$8,IF(Q22=Цены!$H$9,Цены!$L$9,IF(Q22=Цены!$H$10,Цены!$L$10,IF(Q22=Цены!$H$11,Цены!$L$11,IF(Q22=Цены!$H$12,Цены!$L$12,IF(Q22=Цены!$H$13,Цены!$L$13,IF(Q22=Цены!$H$14,Цены!$L$14,IF(Q22=Цены!$H$14,Цены!$L$14,IF(Q22=Цены!$H$15,Цены!$L$15,IF(Q22=Цены!$H$16,Цены!$L$16,IF(Q22=Цены!$H$17,Цены!$L$17,IF(Q22=Цены!$H$18,Цены!$L$18,IF(Q22=Цены!$H$19,Цены!$L$19,IF(Q22=Цены!$H$20,Цены!$L$20,IF(Q22=Цены!$H$21,Цены!$L$21,IF(Q22=Цены!$H$22,Цены!$L$22,IF(Q22=Цены!$H$23,Цены!$L$23,IF(Q22=Цены!$H$24,Цены!$L$24,IF(Q22=Цены!$H$25,Цены!$L$25,IF(Q22=Цены!$H$26,Цены!$L$26,IF(Q22=Цены!$H$27,Цены!$L$27,IF(Q22=Цены!$H$28,Цены!$L$28,IF(Q22=Цены!$H$29,Цены!$L$29,IF(Q22=Цены!$H$30,Цены!$L$30,IF(Q22=Цены!$H$31,Цены!$L$31,IF(Q22=Цены!$H$32,Цены!$L$32,IF(Q22=Цены!$H$33,Цены!$L$33,IF(Q22=Цены!$H$34,Цены!$L$34,IF(Q22=Цены!$H$35,Цены!$L$35,IF(Q22=Цены!$H$36,Цены!$L$36,IF(Q22=Цены!$H$37,Цены!$L$37,IF(Q22=Цены!$H$38,Цены!$L$38,IF(Q22=Цены!$H$39,Цены!$L$39,IF(Q22=Цены!$H$40,Цены!$L$40,IF(Q22=Цены!$H$41,Цены!$L$41,IF(Q22=Цены!$H$42,Цены!$L$42,IF(Q22=Цены!$H$43,Цены!$L$43,IF(Q22=Цены!$H$44,Цены!$L$44,IF(Q22=Цены!$H$45,Цены!$L$45,IF(Q22=Цены!$H$46,Цены!$L$46,IF(Q22=Цены!$H$47,Цены!$L$47,IF(Q22=Цены!$H$48,Цены!$L$48,IF(Q22=Цены!$H$49,Цены!$L$49,IF(Q22=Цены!$H$50,Цены!$L$50,IF(Q22=Цены!$H$51,Цены!$L$51,IF(Q22=Цены!$H$52,Цены!$L$52,IF(Q22=Цены!$H$53,Цены!$L$53,IF(Q22=Цены!$H$54,Цены!$L$54,IF(Q22=Цены!$H$55,Цены!$L$55))))))))))))))))))))))))))))))))))))))))))))))))))))))</f>
        <v>0</v>
      </c>
      <c r="T22" s="309"/>
      <c r="U22" s="162" t="b">
        <f>IF(Q22=Цены!$H$3,Цены!$K$3,IF(Q22=Цены!$H$4,Цены!$K$4,IF(Q22=Цены!$H$5,Цены!$K$5,IF(Q22=Цены!$H$6,Цены!$K$6,IF(Q22=Цены!$H$7,Цены!$K$7,IF(Q22=Цены!$H$8,Цены!$K$8,IF(Q22=Цены!$H$9,Цены!$K$9,IF(Q22=Цены!$H$10,Цены!$K$10,IF(Q22=Цены!$H$11,Цены!$K$11,IF(Q22=Цены!$H$12,Цены!$K$12,IF(Q22=Цены!$H$13,Цены!$K$13,IF(Q22=Цены!$H$14,Цены!$K$14,IF(Q22=Цены!$H$14,Цены!$K$14,IF(Q22=Цены!$H$15,Цены!$K$15,IF(Q22=Цены!$H$16,Цены!$K$16,IF(Q22=Цены!$H$17,Цены!$K$17,IF(Q22=Цены!$H$18,Цены!$K$18,IF(Q22=Цены!$H$19,Цены!$K$19,IF(Q22=Цены!$H$20,Цены!$K$20,IF(Q22=Цены!$H$21,Цены!$K$21,IF(Q22=Цены!$H$22,Цены!$K$22,IF(Q22=Цены!$H$23,Цены!$K$23,IF(Q22=Цены!$H$24,Цены!$K$24,IF(Q22=Цены!$H$25,Цены!$K$25,IF(Q22=Цены!$H$26,Цены!$K$26,IF(Q22=Цены!$H$27,Цены!$K$27,IF(Q22=Цены!$H$28,Цены!$K$28,IF(Q22=Цены!$H$29,Цены!$K$29,IF(Q22=Цены!$H$30,Цены!$K$30,IF(Q22=Цены!$H$31,Цены!$K$31,IF(Q22=Цены!$H$32,Цены!$K$32,IF(Q22=Цены!$H$33,Цены!$K$33,IF(Q22=Цены!$H$34,Цены!$K$34,IF(Q22=Цены!$H$35,Цены!$K$35,IF(Q22=Цены!$H$36,Цены!$K$36,IF(Q22=Цены!$H$37,Цены!$K$37,IF(Q22=Цены!$H$38,Цены!$K$38,IF(Q22=Цены!$H$39,Цены!$K$39,IF(Q22=Цены!$H$40,Цены!$K$40,IF(Q22=Цены!$H$41,Цены!$K$41,IF(Q22=Цены!$H$42,Цены!$K$42,IF(Q22=Цены!$H$43,Цены!$K$43,IF(Q22=Цены!$H$44,Цены!$K$44,IF(Q22=Цены!$H$45,Цены!$K$45,IF(Q22=Цены!$H$46,Цены!$K$46,IF(Q22=Цены!$H$47,Цены!$K$47,IF(Q22=Цены!$H$48,Цены!$K$48,IF(Q22=Цены!$H$49,Цены!$K$49,IF(Q22=Цены!$H$50,Цены!$K$50,IF(Q22=Цены!$H$51,Цены!$K$51,IF(Q22=Цены!$H$52,Цены!$K$52,IF(Q22=Цены!$H$53,Цены!$K$53,IF(Q22=Цены!$H$54,Цены!$K$54,IF(Q22=Цены!$H$55,Цены!$K$55))))))))))))))))))))))))))))))))))))))))))))))))))))))</f>
        <v>0</v>
      </c>
      <c r="V22" s="265"/>
      <c r="W22" s="265"/>
      <c r="X22" s="266"/>
      <c r="Y22" s="267"/>
      <c r="Z22" s="267"/>
      <c r="AA22" s="320"/>
      <c r="AB22" s="310"/>
      <c r="AC22" s="270"/>
      <c r="AD22" s="209" t="s">
        <v>144</v>
      </c>
      <c r="AE22" s="30">
        <v>4</v>
      </c>
      <c r="AF22" s="27">
        <f>IF(AD22=Цены!$H$3,Цены!$L$3,IF(AD22=Цены!$H$4,Цены!$L$4,IF(AD22=Цены!$H$5,Цены!$L$5,IF(AD22=Цены!$H$6,Цены!$L$6,IF(AD22=Цены!$H$7,Цены!$L$7,IF(AD22=Цены!$H$8,Цены!$L$8,IF(AD22=Цены!$H$9,Цены!$L$9,IF(AD22=Цены!$H$10,Цены!$L$10,IF(AD22=Цены!$H$11,Цены!$L$11,IF(AD22=Цены!$H$12,Цены!$L$12,IF(AD22=Цены!$H$13,Цены!$L$13,IF(AD22=Цены!$H$14,Цены!$L$14,IF(AD22=Цены!$H$14,Цены!$L$14,IF(AD22=Цены!$H$15,Цены!$L$15,IF(AD22=Цены!$H$16,Цены!$L$16,IF(AD22=Цены!$H$17,Цены!$L$17,IF(AD22=Цены!$H$18,Цены!$L$18,IF(AD22=Цены!$H$19,Цены!$L$19,IF(AD22=Цены!$H$20,Цены!$L$20,IF(AD22=Цены!$H$21,Цены!$L$21,IF(AD22=Цены!$H$22,Цены!$L$22,IF(AD22=Цены!$H$23,Цены!$L$23,IF(AD22=Цены!$H$24,Цены!$L$24,IF(AD22=Цены!$H$25,Цены!$L$25,IF(AD22=Цены!$H$26,Цены!$L$26,IF(AD22=Цены!$H$27,Цены!$L$27,IF(AD22=Цены!$H$28,Цены!$L$28,IF(AD22=Цены!$H$29,Цены!$L$29,IF(AD22=Цены!$H$30,Цены!$L$30,IF(AD22=Цены!$H$31,Цены!$L$31,IF(AD22=Цены!$H$32,Цены!$L$32,IF(AD22=Цены!$H$33,Цены!$L$33,IF(AD22=Цены!$H$34,Цены!$L$34,IF(AD22=Цены!$H$35,Цены!$L$35,IF(AD22=Цены!$H$36,Цены!$L$36,IF(AD22=Цены!$H$37,Цены!$L$37,IF(AD22=Цены!$H$38,Цены!$L$38,IF(AD22=Цены!$H$39,Цены!$L$39,IF(AD22=Цены!$H$40,Цены!$L$40,IF(AD22=Цены!$H$41,Цены!$L$41,IF(AD22=Цены!$H$42,Цены!$L$42,IF(AD22=Цены!$H$43,Цены!$L$43,IF(AD22=Цены!$H$44,Цены!$L$44,IF(AD22=Цены!$H$45,Цены!$L$45,IF(AD22=Цены!$H$46,Цены!$L$46,IF(AD22=Цены!$H$47,Цены!$L$47,IF(AD22=Цены!$H$48,Цены!$L$48,IF(AD22=Цены!$H$49,Цены!$L$49,IF(AD22=Цены!$H$50,Цены!$L$50,IF(AD22=Цены!$H$51,Цены!$L$51,IF(AD22=Цены!$H$52,Цены!$L$52,IF(AD22=Цены!$H$53,Цены!$L$53,IF(AD22=Цены!$H$54,Цены!$L$54,IF(AD22=Цены!$H$55,Цены!$L$55))))))))))))))))))))))))))))))))))))))))))))))))))))))</f>
        <v>0.19</v>
      </c>
      <c r="AG22" s="309"/>
      <c r="AH22" s="28">
        <f>IF(AD22=Цены!$H$3,Цены!$K$3,IF(AD22=Цены!$H$4,Цены!$K$4,IF(AD22=Цены!$H$5,Цены!$K$5,IF(AD22=Цены!$H$6,Цены!$K$6,IF(AD22=Цены!$H$7,Цены!$K$7,IF(AD22=Цены!$H$8,Цены!$K$8,IF(AD22=Цены!$H$9,Цены!$K$9,IF(AD22=Цены!$H$10,Цены!$K$10,IF(AD22=Цены!$H$11,Цены!$K$11,IF(AD22=Цены!$H$12,Цены!$K$12,IF(AD22=Цены!$H$13,Цены!$K$13,IF(AD22=Цены!$H$14,Цены!$K$14,IF(AD22=Цены!$H$14,Цены!$K$14,IF(AD22=Цены!$H$15,Цены!$K$15,IF(AD22=Цены!$H$16,Цены!$K$16,IF(AD22=Цены!$H$17,Цены!$K$17,IF(AD22=Цены!$H$18,Цены!$K$18,IF(AD22=Цены!$H$19,Цены!$K$19,IF(AD22=Цены!$H$20,Цены!$K$20,IF(AD22=Цены!$H$21,Цены!$K$21,IF(AD22=Цены!$H$22,Цены!$K$22,IF(AD22=Цены!$H$23,Цены!$K$23,IF(AD22=Цены!$H$24,Цены!$K$24,IF(AD22=Цены!$H$25,Цены!$K$25,IF(AD22=Цены!$H$26,Цены!$K$26,IF(AD22=Цены!$H$27,Цены!$K$27,IF(AD22=Цены!$H$28,Цены!$K$28,IF(AD22=Цены!$H$29,Цены!$K$29,IF(AD22=Цены!$H$30,Цены!$K$30,IF(AD22=Цены!$H$31,Цены!$K$31,IF(AD22=Цены!$H$32,Цены!$K$32,IF(AD22=Цены!$H$33,Цены!$K$33,IF(AD22=Цены!$H$34,Цены!$K$34,IF(AD22=Цены!$H$35,Цены!$K$35,IF(AD22=Цены!$H$36,Цены!$K$36,IF(AD22=Цены!$H$37,Цены!$K$37,IF(AD22=Цены!$H$38,Цены!$K$38,IF(AD22=Цены!$H$39,Цены!$K$39,IF(AD22=Цены!$H$40,Цены!$K$40,IF(AD22=Цены!$H$41,Цены!$K$41,IF(AD22=Цены!$H$42,Цены!$K$42,IF(AD22=Цены!$H$43,Цены!$K$43,IF(AD22=Цены!$H$44,Цены!$K$44,IF(AD22=Цены!$H$45,Цены!$K$45,IF(AD22=Цены!$H$46,Цены!$K$46,IF(AD22=Цены!$H$47,Цены!$K$47,IF(AD22=Цены!$H$48,Цены!$K$48,IF(AD22=Цены!$H$49,Цены!$K$49,IF(AD22=Цены!$H$50,Цены!$K$50,IF(AD22=Цены!$H$51,Цены!$K$51,IF(AD22=Цены!$H$52,Цены!$K$52,IF(AD22=Цены!$H$53,Цены!$K$53,IF(AD22=Цены!$H$54,Цены!$K$54,IF(AD22=Цены!$H$55,Цены!$K$55))))))))))))))))))))))))))))))))))))))))))))))))))))))</f>
        <v>448</v>
      </c>
      <c r="AI22" s="265"/>
      <c r="AJ22" s="265"/>
      <c r="AK22" s="266"/>
      <c r="AL22" s="267"/>
      <c r="AM22" s="267"/>
      <c r="AN22" s="268"/>
      <c r="AO22" s="310"/>
      <c r="AP22" s="270"/>
      <c r="AQ22" s="213"/>
      <c r="AR22" s="129"/>
      <c r="AS22" s="33" t="b">
        <f>IF(AQ22=Цены!$H$3,Цены!$L$3,IF(AQ22=Цены!$H$4,Цены!$L$4,IF(AQ22=Цены!$H$5,Цены!$L$5,IF(AQ22=Цены!$H$6,Цены!$L$6,IF(AQ22=Цены!$H$7,Цены!$L$7,IF(AQ22=Цены!$H$8,Цены!$L$8,IF(AQ22=Цены!$H$9,Цены!$L$9,IF(AQ22=Цены!$H$10,Цены!$L$10,IF(AQ22=Цены!$H$11,Цены!$L$11,IF(AQ22=Цены!$H$12,Цены!$L$12,IF(AQ22=Цены!$H$13,Цены!$L$13,IF(AQ22=Цены!$H$14,Цены!$L$14,IF(AQ22=Цены!$H$14,Цены!$L$14,IF(AQ22=Цены!$H$15,Цены!$L$15,IF(AQ22=Цены!$H$16,Цены!$L$16,IF(AQ22=Цены!$H$17,Цены!$L$17,IF(AQ22=Цены!$H$18,Цены!$L$18,IF(AQ22=Цены!$H$19,Цены!$L$19,IF(AQ22=Цены!$H$20,Цены!$L$20,IF(AQ22=Цены!$H$21,Цены!$L$21,IF(AQ22=Цены!$H$22,Цены!$L$22,IF(AQ22=Цены!$H$23,Цены!$L$23,IF(AQ22=Цены!$H$24,Цены!$L$24,IF(AQ22=Цены!$H$25,Цены!$L$25,IF(AQ22=Цены!$H$26,Цены!$L$26,IF(AQ22=Цены!$H$27,Цены!$L$27,IF(AQ22=Цены!$H$28,Цены!$L$28,IF(AQ22=Цены!$H$29,Цены!$L$29,IF(AQ22=Цены!$H$30,Цены!$L$30,IF(AQ22=Цены!$H$31,Цены!$L$31,IF(AQ22=Цены!$H$32,Цены!$L$32,IF(AQ22=Цены!$H$33,Цены!$L$33,IF(AQ22=Цены!$H$34,Цены!$L$34,IF(AQ22=Цены!$H$35,Цены!$L$35,IF(AQ22=Цены!$H$36,Цены!$L$36,IF(AQ22=Цены!$H$37,Цены!$L$37,IF(AQ22=Цены!$H$38,Цены!$L$38,IF(AQ22=Цены!$H$39,Цены!$L$39,IF(AQ22=Цены!$H$40,Цены!$L$40,IF(AQ22=Цены!$H$41,Цены!$L$41,IF(AQ22=Цены!$H$42,Цены!$L$42,IF(AQ22=Цены!$H$43,Цены!$L$43,IF(AQ22=Цены!$H$44,Цены!$L$44,IF(AQ22=Цены!$H$45,Цены!$L$45,IF(AQ22=Цены!$H$46,Цены!$L$46,IF(AQ22=Цены!$H$47,Цены!$L$47,IF(AQ22=Цены!$H$48,Цены!$L$48,IF(AQ22=Цены!$H$49,Цены!$L$49,IF(AQ22=Цены!$H$50,Цены!$L$50,IF(AQ22=Цены!$H$51,Цены!$L$51,IF(AQ22=Цены!$H$52,Цены!$L$52,IF(AQ22=Цены!$H$53,Цены!$L$53,IF(AQ22=Цены!$H$54,Цены!$L$54,IF(AQ22=Цены!$H$55,Цены!$L$55))))))))))))))))))))))))))))))))))))))))))))))))))))))</f>
        <v>0</v>
      </c>
      <c r="AT22" s="276"/>
      <c r="AU22" s="34" t="b">
        <f>IF(AQ22=Цены!$H$3,Цены!$K$3,IF(AQ22=Цены!$H$4,Цены!$K$4,IF(AQ22=Цены!$H$5,Цены!$K$5,IF(AQ22=Цены!$H$6,Цены!$K$6,IF(AQ22=Цены!$H$7,Цены!$K$7,IF(AQ22=Цены!$H$8,Цены!$K$8,IF(AQ22=Цены!$H$9,Цены!$K$9,IF(AQ22=Цены!$H$10,Цены!$K$10,IF(AQ22=Цены!$H$11,Цены!$K$11,IF(AQ22=Цены!$H$12,Цены!$K$12,IF(AQ22=Цены!$H$13,Цены!$K$13,IF(AQ22=Цены!$H$14,Цены!$K$14,IF(AQ22=Цены!$H$14,Цены!$K$14,IF(AQ22=Цены!$H$15,Цены!$K$15,IF(AQ22=Цены!$H$16,Цены!$K$16,IF(AQ22=Цены!$H$17,Цены!$K$17,IF(AQ22=Цены!$H$18,Цены!$K$18,IF(AQ22=Цены!$H$19,Цены!$K$19,IF(AQ22=Цены!$H$20,Цены!$K$20,IF(AQ22=Цены!$H$21,Цены!$K$21,IF(AQ22=Цены!$H$22,Цены!$K$22,IF(AQ22=Цены!$H$23,Цены!$K$23,IF(AQ22=Цены!$H$24,Цены!$K$24,IF(AQ22=Цены!$H$25,Цены!$K$25,IF(AQ22=Цены!$H$26,Цены!$K$26,IF(AQ22=Цены!$H$27,Цены!$K$27,IF(AQ22=Цены!$H$28,Цены!$K$28,IF(AQ22=Цены!$H$29,Цены!$K$29,IF(AQ22=Цены!$H$30,Цены!$K$30,IF(AQ22=Цены!$H$31,Цены!$K$31,IF(AQ22=Цены!$H$32,Цены!$K$32,IF(AQ22=Цены!$H$33,Цены!$K$33,IF(AQ22=Цены!$H$34,Цены!$K$34,IF(AQ22=Цены!$H$35,Цены!$K$35,IF(AQ22=Цены!$H$36,Цены!$K$36,IF(AQ22=Цены!$H$37,Цены!$K$37,IF(AQ22=Цены!$H$38,Цены!$K$38,IF(AQ22=Цены!$H$39,Цены!$K$39,IF(AQ22=Цены!$H$40,Цены!$K$40,IF(AQ22=Цены!$H$41,Цены!$K$41,IF(AQ22=Цены!$H$42,Цены!$K$42,IF(AQ22=Цены!$H$43,Цены!$K$43,IF(AQ22=Цены!$H$44,Цены!$K$44,IF(AQ22=Цены!$H$45,Цены!$K$45,IF(AQ22=Цены!$H$46,Цены!$K$46,IF(AQ22=Цены!$H$47,Цены!$K$47,IF(AQ22=Цены!$H$48,Цены!$K$48,IF(AQ22=Цены!$H$49,Цены!$K$49,IF(AQ22=Цены!$H$50,Цены!$K$50,IF(AQ22=Цены!$H$51,Цены!$K$51,IF(AQ22=Цены!$H$52,Цены!$K$52,IF(AQ22=Цены!$H$53,Цены!$K$53,IF(AQ22=Цены!$H$54,Цены!$K$54,IF(AQ22=Цены!$H$55,Цены!$K$55))))))))))))))))))))))))))))))))))))))))))))))))))))))</f>
        <v>0</v>
      </c>
      <c r="AV22" s="265"/>
      <c r="AW22" s="265"/>
      <c r="AX22" s="266"/>
      <c r="AY22" s="267"/>
      <c r="AZ22" s="267"/>
      <c r="BA22" s="268"/>
      <c r="BB22" s="269"/>
      <c r="BC22" s="270"/>
      <c r="BD22" s="260"/>
      <c r="BE22" s="210"/>
      <c r="BF22" s="71"/>
      <c r="BG22" s="33" t="b">
        <f>IF(BE22=Цены!$H$3,Цены!$L$3,IF(BE22=Цены!$H$4,Цены!$L$4,IF(BE22=Цены!$H$5,Цены!$L$5,IF(BE22=Цены!$H$6,Цены!$L$6,IF(BE22=Цены!$H$7,Цены!$L$7,IF(BE22=Цены!$H$8,Цены!$L$8,IF(BE22=Цены!$H$9,Цены!$L$9,IF(BE22=Цены!$H$10,Цены!$L$10,IF(BE22=Цены!$H$11,Цены!$L$11,IF(BE22=Цены!$H$12,Цены!$L$12,IF(BE22=Цены!$H$13,Цены!$L$13,IF(BE22=Цены!$H$14,Цены!$L$14,IF(BE22=Цены!$H$14,Цены!$L$14,IF(BE22=Цены!$H$15,Цены!$L$15,IF(BE22=Цены!$H$16,Цены!$L$16,IF(BE22=Цены!$H$17,Цены!$L$17,IF(BE22=Цены!$H$18,Цены!$L$18,IF(BE22=Цены!$H$19,Цены!$L$19,IF(BE22=Цены!$H$20,Цены!$L$20,IF(BE22=Цены!$H$21,Цены!$L$21,IF(BE22=Цены!$H$22,Цены!$L$22,IF(BE22=Цены!$H$23,Цены!$L$23,IF(BE22=Цены!$H$24,Цены!$L$24,IF(BE22=Цены!$H$25,Цены!$L$25,IF(BE22=Цены!$H$26,Цены!$L$26,IF(BE22=Цены!$H$27,Цены!$L$27,IF(BE22=Цены!$H$28,Цены!$L$28,IF(BE22=Цены!$H$29,Цены!$L$29,IF(BE22=Цены!$H$30,Цены!$L$30,IF(BE22=Цены!$H$31,Цены!$L$31,IF(BE22=Цены!$H$32,Цены!$L$32,IF(BE22=Цены!$H$33,Цены!$L$33,IF(BE22=Цены!$H$34,Цены!$L$34,IF(BE22=Цены!$H$35,Цены!$L$35,IF(BE22=Цены!$H$36,Цены!$L$36,IF(BE22=Цены!$H$37,Цены!$L$37,IF(BE22=Цены!$H$38,Цены!$L$38,IF(BE22=Цены!$H$39,Цены!$L$39,IF(BE22=Цены!$H$40,Цены!$L$40,IF(BE22=Цены!$H$41,Цены!$L$41,IF(BE22=Цены!$H$42,Цены!$L$42,IF(BE22=Цены!$H$43,Цены!$L$43,IF(BE22=Цены!$H$44,Цены!$L$44,IF(BE22=Цены!$H$45,Цены!$L$45,IF(BE22=Цены!$H$46,Цены!$L$46,IF(BE22=Цены!$H$47,Цены!$L$47,IF(BE22=Цены!$H$48,Цены!$L$48,IF(BE22=Цены!$H$49,Цены!$L$49,IF(BE22=Цены!$H$50,Цены!$L$50,IF(BE22=Цены!$H$51,Цены!$L$51,IF(BE22=Цены!$H$52,Цены!$L$52,IF(BE22=Цены!$H$53,Цены!$L$53,IF(BE22=Цены!$H$54,Цены!$L$54,IF(BE22=Цены!$H$55,Цены!$L$55))))))))))))))))))))))))))))))))))))))))))))))))))))))</f>
        <v>0</v>
      </c>
      <c r="BH22" s="276"/>
      <c r="BI22" s="34" t="b">
        <f>IF(BE22=Цены!$H$3,Цены!$K$3,IF(BE22=Цены!$H$4,Цены!$K$4,IF(BE22=Цены!$H$5,Цены!$K$5,IF(BE22=Цены!$H$6,Цены!$K$6,IF(BE22=Цены!$H$7,Цены!$K$7,IF(BE22=Цены!$H$8,Цены!$K$8,IF(BE22=Цены!$H$9,Цены!$K$9,IF(BE22=Цены!$H$10,Цены!$K$10,IF(BE22=Цены!$H$11,Цены!$K$11,IF(BE22=Цены!$H$12,Цены!$K$12,IF(BE22=Цены!$H$13,Цены!$K$13,IF(BE22=Цены!$H$14,Цены!$K$14,IF(BE22=Цены!$H$14,Цены!$K$14,IF(BE22=Цены!$H$15,Цены!$K$15,IF(BE22=Цены!$H$16,Цены!$K$16,IF(BE22=Цены!$H$17,Цены!$K$17,IF(BE22=Цены!$H$18,Цены!$K$18,IF(BE22=Цены!$H$19,Цены!$K$19,IF(BE22=Цены!$H$20,Цены!$K$20,IF(BE22=Цены!$H$21,Цены!$K$21,IF(BE22=Цены!$H$22,Цены!$K$22,IF(BE22=Цены!$H$23,Цены!$K$23,IF(BE22=Цены!$H$24,Цены!$K$24,IF(BE22=Цены!$H$25,Цены!$K$25,IF(BE22=Цены!$H$26,Цены!$K$26,IF(BE22=Цены!$H$27,Цены!$K$27,IF(BE22=Цены!$H$28,Цены!$K$28,IF(BE22=Цены!$H$29,Цены!$K$29,IF(BE22=Цены!$H$30,Цены!$K$30,IF(BE22=Цены!$H$31,Цены!$K$31,IF(BE22=Цены!$H$32,Цены!$K$32,IF(BE22=Цены!$H$33,Цены!$K$33,IF(BE22=Цены!$H$34,Цены!$K$34,IF(BE22=Цены!$H$35,Цены!$K$35,IF(BE22=Цены!$H$36,Цены!$K$36,IF(BE22=Цены!$H$37,Цены!$K$37,IF(BE22=Цены!$H$38,Цены!$K$38,IF(BE22=Цены!$H$39,Цены!$K$39,IF(BE22=Цены!$H$40,Цены!$K$40,IF(BE22=Цены!$H$41,Цены!$K$41,IF(BE22=Цены!$H$42,Цены!$K$42,IF(BE22=Цены!$H$43,Цены!$K$43,IF(BE22=Цены!$H$44,Цены!$K$44,IF(BE22=Цены!$H$45,Цены!$K$45,IF(BE22=Цены!$H$46,Цены!$K$46,IF(BE22=Цены!$H$47,Цены!$K$47,IF(BE22=Цены!$H$48,Цены!$K$48,IF(BE22=Цены!$H$49,Цены!$K$49,IF(BE22=Цены!$H$50,Цены!$K$50,IF(BE22=Цены!$H$51,Цены!$K$51,IF(BE22=Цены!$H$52,Цены!$K$52,IF(BE22=Цены!$H$53,Цены!$K$53,IF(BE22=Цены!$H$54,Цены!$K$54,IF(BE22=Цены!$H$55,Цены!$K$55))))))))))))))))))))))))))))))))))))))))))))))))))))))</f>
        <v>0</v>
      </c>
      <c r="BJ22" s="265"/>
      <c r="BK22" s="265"/>
      <c r="BL22" s="266"/>
      <c r="BM22" s="267"/>
      <c r="BN22" s="267"/>
      <c r="BO22" s="268"/>
      <c r="BP22" s="269"/>
      <c r="BQ22" s="270"/>
      <c r="BR22" s="210"/>
      <c r="BS22" s="43"/>
      <c r="BT22" s="33" t="b">
        <f>IF(BR22=Цены!$H$3,Цены!$L$3,IF(BR22=Цены!$H$4,Цены!$L$4,IF(BR22=Цены!$H$5,Цены!$L$5,IF(BR22=Цены!$H$6,Цены!$L$6,IF(BR22=Цены!$H$7,Цены!$L$7,IF(BR22=Цены!$H$8,Цены!$L$8,IF(BR22=Цены!$H$9,Цены!$L$9,IF(BR22=Цены!$H$10,Цены!$L$10,IF(BR22=Цены!$H$11,Цены!$L$11,IF(BR22=Цены!$H$12,Цены!$L$12,IF(BR22=Цены!$H$13,Цены!$L$13,IF(BR22=Цены!$H$14,Цены!$L$14,IF(BR22=Цены!$H$14,Цены!$L$14,IF(BR22=Цены!$H$15,Цены!$L$15,IF(BR22=Цены!$H$16,Цены!$L$16,IF(BR22=Цены!$H$17,Цены!$L$17,IF(BR22=Цены!$H$18,Цены!$L$18,IF(BR22=Цены!$H$19,Цены!$L$19,IF(BR22=Цены!$H$20,Цены!$L$20,IF(BR22=Цены!$H$21,Цены!$L$21,IF(BR22=Цены!$H$22,Цены!$L$22,IF(BR22=Цены!$H$23,Цены!$L$23,IF(BR22=Цены!$H$24,Цены!$L$24,IF(BR22=Цены!$H$25,Цены!$L$25,IF(BR22=Цены!$H$26,Цены!$L$26,IF(BR22=Цены!$H$27,Цены!$L$27,IF(BR22=Цены!$H$28,Цены!$L$28,IF(BR22=Цены!$H$29,Цены!$L$29,IF(BR22=Цены!$H$30,Цены!$L$30,IF(BR22=Цены!$H$31,Цены!$L$31,IF(BR22=Цены!$H$32,Цены!$L$32,IF(BR22=Цены!$H$33,Цены!$L$33,IF(BR22=Цены!$H$34,Цены!$L$34,IF(BR22=Цены!$H$35,Цены!$L$35,IF(BR22=Цены!$H$36,Цены!$L$36,IF(BR22=Цены!$H$37,Цены!$L$37,IF(BR22=Цены!$H$38,Цены!$L$38,IF(BR22=Цены!$H$39,Цены!$L$39,IF(BR22=Цены!$H$40,Цены!$L$40,IF(BR22=Цены!$H$41,Цены!$L$41,IF(BR22=Цены!$H$42,Цены!$L$42,IF(BR22=Цены!$H$43,Цены!$L$43,IF(BR22=Цены!$H$44,Цены!$L$44,IF(BR22=Цены!$H$45,Цены!$L$45,IF(BR22=Цены!$H$46,Цены!$L$46,IF(BR22=Цены!$H$47,Цены!$L$47,IF(BR22=Цены!$H$48,Цены!$L$48,IF(BR22=Цены!$H$49,Цены!$L$49,IF(BR22=Цены!$H$50,Цены!$L$50,IF(BR22=Цены!$H$51,Цены!$L$51,IF(BR22=Цены!$H$52,Цены!$L$52,IF(BR22=Цены!$H$53,Цены!$L$53,IF(BR22=Цены!$H$54,Цены!$L$54,IF(BR22=Цены!$H$55,Цены!$L$55))))))))))))))))))))))))))))))))))))))))))))))))))))))</f>
        <v>0</v>
      </c>
      <c r="BU22" s="276"/>
      <c r="BV22" s="34" t="b">
        <f>IF(BR22=Цены!$H$3,Цены!$K$3,IF(BR22=Цены!$H$4,Цены!$K$4,IF(BR22=Цены!$H$5,Цены!$K$5,IF(BR22=Цены!$H$6,Цены!$K$6,IF(BR22=Цены!$H$7,Цены!$K$7,IF(BR22=Цены!$H$8,Цены!$K$8,IF(BR22=Цены!$H$9,Цены!$K$9,IF(BR22=Цены!$H$10,Цены!$K$10,IF(BR22=Цены!$H$11,Цены!$K$11,IF(BR22=Цены!$H$12,Цены!$K$12,IF(BR22=Цены!$H$13,Цены!$K$13,IF(BR22=Цены!$H$14,Цены!$K$14,IF(BR22=Цены!$H$14,Цены!$K$14,IF(BR22=Цены!$H$15,Цены!$K$15,IF(BR22=Цены!$H$16,Цены!$K$16,IF(BR22=Цены!$H$17,Цены!$K$17,IF(BR22=Цены!$H$18,Цены!$K$18,IF(BR22=Цены!$H$19,Цены!$K$19,IF(BR22=Цены!$H$20,Цены!$K$20,IF(BR22=Цены!$H$21,Цены!$K$21,IF(BR22=Цены!$H$22,Цены!$K$22,IF(BR22=Цены!$H$23,Цены!$K$23,IF(BR22=Цены!$H$24,Цены!$K$24,IF(BR22=Цены!$H$25,Цены!$K$25,IF(BR22=Цены!$H$26,Цены!$K$26,IF(BR22=Цены!$H$27,Цены!$K$27,IF(BR22=Цены!$H$28,Цены!$K$28,IF(BR22=Цены!$H$29,Цены!$K$29,IF(BR22=Цены!$H$30,Цены!$K$30,IF(BR22=Цены!$H$31,Цены!$K$31,IF(BR22=Цены!$H$32,Цены!$K$32,IF(BR22=Цены!$H$33,Цены!$K$33,IF(BR22=Цены!$H$34,Цены!$K$34,IF(BR22=Цены!$H$35,Цены!$K$35,IF(BR22=Цены!$H$36,Цены!$K$36,IF(BR22=Цены!$H$37,Цены!$K$37,IF(BR22=Цены!$H$38,Цены!$K$38,IF(BR22=Цены!$H$39,Цены!$K$39,IF(BR22=Цены!$H$40,Цены!$K$40,IF(BR22=Цены!$H$41,Цены!$K$41,IF(BR22=Цены!$H$42,Цены!$K$42,IF(BR22=Цены!$H$43,Цены!$K$43,IF(BR22=Цены!$H$44,Цены!$K$44,IF(BR22=Цены!$H$45,Цены!$K$45,IF(BR22=Цены!$H$46,Цены!$K$46,IF(BR22=Цены!$H$47,Цены!$K$47,IF(BR22=Цены!$H$48,Цены!$K$48,IF(BR22=Цены!$H$49,Цены!$K$49,IF(BR22=Цены!$H$50,Цены!$K$50,IF(BR22=Цены!$H$51,Цены!$K$51,IF(BR22=Цены!$H$52,Цены!$K$52,IF(BR22=Цены!$H$53,Цены!$K$53,IF(BR22=Цены!$H$54,Цены!$K$54,IF(BR22=Цены!$H$55,Цены!$K$55))))))))))))))))))))))))))))))))))))))))))))))))))))))</f>
        <v>0</v>
      </c>
      <c r="BW22" s="265"/>
      <c r="BX22" s="265"/>
      <c r="BY22" s="266"/>
      <c r="BZ22" s="267"/>
      <c r="CA22" s="267"/>
      <c r="CB22" s="268"/>
      <c r="CC22" s="269"/>
      <c r="CD22" s="270"/>
      <c r="CE22" s="171" t="s">
        <v>121</v>
      </c>
      <c r="CF22" s="43">
        <v>2</v>
      </c>
      <c r="CG22" s="33">
        <f>IF(CE22=Цены!$H$3,Цены!$L$3,IF(CE22=Цены!$H$4,Цены!$L$4,IF(CE22=Цены!$H$5,Цены!$L$5,IF(CE22=Цены!$H$6,Цены!$L$6,IF(CE22=Цены!$H$7,Цены!$L$7,IF(CE22=Цены!$H$8,Цены!$L$8,IF(CE22=Цены!$H$9,Цены!$L$9,IF(CE22=Цены!$H$10,Цены!$L$10,IF(CE22=Цены!$H$11,Цены!$L$11,IF(CE22=Цены!$H$12,Цены!$L$12,IF(CE22=Цены!$H$13,Цены!$L$13,IF(CE22=Цены!$H$14,Цены!$L$14,IF(CE22=Цены!$H$14,Цены!$L$14,IF(CE22=Цены!$H$15,Цены!$L$15,IF(CE22=Цены!$H$16,Цены!$L$16,IF(CE22=Цены!$H$17,Цены!$L$17,IF(CE22=Цены!$H$18,Цены!$L$18,IF(CE22=Цены!$H$19,Цены!$L$19,IF(CE22=Цены!$H$20,Цены!$L$20,IF(CE22=Цены!$H$21,Цены!$L$21,IF(CE22=Цены!$H$22,Цены!$L$22,IF(CE22=Цены!$H$23,Цены!$L$23,IF(CE22=Цены!$H$24,Цены!$L$24,IF(CE22=Цены!$H$25,Цены!$L$25,IF(CE22=Цены!$H$26,Цены!$L$26,IF(CE22=Цены!$H$27,Цены!$L$27,IF(CE22=Цены!$H$28,Цены!$L$28,IF(CE22=Цены!$H$29,Цены!$L$29,IF(CE22=Цены!$H$30,Цены!$L$30,IF(CE22=Цены!$H$31,Цены!$L$31,IF(CE22=Цены!$H$32,Цены!$L$32,IF(CE22=Цены!$H$33,Цены!$L$33,IF(CE22=Цены!$H$34,Цены!$L$34,IF(CE22=Цены!$H$35,Цены!$L$35,IF(CE22=Цены!$H$36,Цены!$L$36,IF(CE22=Цены!$H$37,Цены!$L$37,IF(CE22=Цены!$H$38,Цены!$L$38,IF(CE22=Цены!$H$39,Цены!$L$39,IF(CE22=Цены!$H$40,Цены!$L$40,IF(CE22=Цены!$H$41,Цены!$L$41,IF(CE22=Цены!$H$42,Цены!$L$42,IF(CE22=Цены!$H$43,Цены!$L$43,IF(CE22=Цены!$H$44,Цены!$L$44,IF(CE22=Цены!$H$45,Цены!$L$45,IF(CE22=Цены!$H$46,Цены!$L$46,IF(CE22=Цены!$H$47,Цены!$L$47,IF(CE22=Цены!$H$48,Цены!$L$48,IF(CE22=Цены!$H$49,Цены!$L$49,IF(CE22=Цены!$H$50,Цены!$L$50,IF(CE22=Цены!$H$51,Цены!$L$51,IF(CE22=Цены!$H$52,Цены!$L$52,IF(CE22=Цены!$H$53,Цены!$L$53,IF(CE22=Цены!$H$54,Цены!$L$54,IF(CE22=Цены!$H$55,Цены!$L$55))))))))))))))))))))))))))))))))))))))))))))))))))))))</f>
        <v>1.32E-2</v>
      </c>
      <c r="CH22" s="276"/>
      <c r="CI22" s="34">
        <f>IF(CE22=Цены!$H$3,Цены!$K$3,IF(CE22=Цены!$H$4,Цены!$K$4,IF(CE22=Цены!$H$5,Цены!$K$5,IF(CE22=Цены!$H$6,Цены!$K$6,IF(CE22=Цены!$H$7,Цены!$K$7,IF(CE22=Цены!$H$8,Цены!$K$8,IF(CE22=Цены!$H$9,Цены!$K$9,IF(CE22=Цены!$H$10,Цены!$K$10,IF(CE22=Цены!$H$11,Цены!$K$11,IF(CE22=Цены!$H$12,Цены!$K$12,IF(CE22=Цены!$H$13,Цены!$K$13,IF(CE22=Цены!$H$14,Цены!$K$14,IF(CE22=Цены!$H$14,Цены!$K$14,IF(CE22=Цены!$H$15,Цены!$K$15,IF(CE22=Цены!$H$16,Цены!$K$16,IF(CE22=Цены!$H$17,Цены!$K$17,IF(CE22=Цены!$H$18,Цены!$K$18,IF(CE22=Цены!$H$19,Цены!$K$19,IF(CE22=Цены!$H$20,Цены!$K$20,IF(CE22=Цены!$H$21,Цены!$K$21,IF(CE22=Цены!$H$22,Цены!$K$22,IF(CE22=Цены!$H$23,Цены!$K$23,IF(CE22=Цены!$H$24,Цены!$K$24,IF(CE22=Цены!$H$25,Цены!$K$25,IF(CE22=Цены!$H$26,Цены!$K$26,IF(CE22=Цены!$H$27,Цены!$K$27,IF(CE22=Цены!$H$28,Цены!$K$28,IF(CE22=Цены!$H$29,Цены!$K$29,IF(CE22=Цены!$H$30,Цены!$K$30,IF(CE22=Цены!$H$31,Цены!$K$31,IF(CE22=Цены!$H$32,Цены!$K$32,IF(CE22=Цены!$H$33,Цены!$K$33,IF(CE22=Цены!$H$34,Цены!$K$34,IF(CE22=Цены!$H$35,Цены!$K$35,IF(CE22=Цены!$H$36,Цены!$K$36,IF(CE22=Цены!$H$37,Цены!$K$37,IF(CE22=Цены!$H$38,Цены!$K$38,IF(CE22=Цены!$H$39,Цены!$K$39,IF(CE22=Цены!$H$40,Цены!$K$40,IF(CE22=Цены!$H$41,Цены!$K$41,IF(CE22=Цены!$H$42,Цены!$K$42,IF(CE22=Цены!$H$43,Цены!$K$43,IF(CE22=Цены!$H$44,Цены!$K$44,IF(CE22=Цены!$H$45,Цены!$K$45,IF(CE22=Цены!$H$46,Цены!$K$46,IF(CE22=Цены!$H$47,Цены!$K$47,IF(CE22=Цены!$H$48,Цены!$K$48,IF(CE22=Цены!$H$49,Цены!$K$49,IF(CE22=Цены!$H$50,Цены!$K$50,IF(CE22=Цены!$H$51,Цены!$K$51,IF(CE22=Цены!$H$52,Цены!$K$52,IF(CE22=Цены!$H$53,Цены!$K$53,IF(CE22=Цены!$H$54,Цены!$K$54,IF(CE22=Цены!$H$55,Цены!$K$55))))))))))))))))))))))))))))))))))))))))))))))))))))))</f>
        <v>54</v>
      </c>
      <c r="CJ22" s="265"/>
      <c r="CK22" s="265"/>
      <c r="CL22" s="266"/>
      <c r="CM22" s="267"/>
      <c r="CN22" s="267"/>
      <c r="CO22" s="268"/>
      <c r="CP22" s="269"/>
      <c r="CQ22" s="270"/>
    </row>
    <row r="23" spans="1:95" s="40" customFormat="1" ht="15" customHeight="1" x14ac:dyDescent="0.25">
      <c r="A23" s="267"/>
      <c r="B23" s="265"/>
      <c r="C23" s="336" t="s">
        <v>120</v>
      </c>
      <c r="D23" s="173" t="s">
        <v>67</v>
      </c>
      <c r="E23" s="45">
        <v>8</v>
      </c>
      <c r="F23" s="46">
        <f>IF(D23=Цены!$H$3,Цены!$L$3,IF(D23=Цены!$H$4,Цены!$L$4,IF(D23=Цены!$H$5,Цены!$L$5,IF(D23=Цены!$H$6,Цены!$L$6,IF(D23=Цены!$H$7,Цены!$L$7,IF(D23=Цены!$H$8,Цены!$L$8,IF(D23=Цены!$H$9,Цены!$L$9,IF(D23=Цены!$H$10,Цены!$L$10,IF(D23=Цены!$H$11,Цены!$L$11,IF(D23=Цены!$H$12,Цены!$L$12,IF(D23=Цены!$H$13,Цены!$L$13,IF(D23=Цены!$H$14,Цены!$L$14,IF(D23=Цены!$H$14,Цены!$L$14,IF(D23=Цены!$H$15,Цены!$L$15,IF(D23=Цены!$H$16,Цены!$L$16,IF(D23=Цены!$H$17,Цены!$L$17,IF(D23=Цены!$H$18,Цены!$L$18,IF(D23=Цены!$H$19,Цены!$L$19,IF(D23=Цены!$H$20,Цены!$L$20,IF(D23=Цены!$H$21,Цены!$L$21,IF(D23=Цены!$H$22,Цены!$L$22,IF(D23=Цены!$H$23,Цены!$L$23,IF(D23=Цены!$H$24,Цены!$L$24,IF(D23=Цены!$H$25,Цены!$L$25,IF(D23=Цены!$H$26,Цены!$L$26,IF(D23=Цены!$H$27,Цены!$L$27,IF(D23=Цены!$H$28,Цены!$L$28,IF(D23=Цены!$H$29,Цены!$L$29,IF(D23=Цены!$H$30,Цены!$L$30,IF(D23=Цены!$H$31,Цены!$L$31,IF(D23=Цены!$H$32,Цены!$L$32,IF(D23=Цены!$H$33,Цены!$L$33,IF(D23=Цены!$H$34,Цены!$L$34,IF(D23=Цены!$H$35,Цены!$L$35,IF(D23=Цены!$H$36,Цены!$L$36,IF(D23=Цены!$H$37,Цены!$L$37,IF(D23=Цены!$H$38,Цены!$L$38,IF(D23=Цены!$H$39,Цены!$L$39,IF(D23=Цены!$H$40,Цены!$L$40,IF(D23=Цены!$H$41,Цены!$L$41,IF(D23=Цены!$H$42,Цены!$L$42,IF(D23=Цены!$H$43,Цены!$L$43,IF(D23=Цены!$H$44,Цены!$L$44,IF(D23=Цены!$H$45,Цены!$L$45,IF(D23=Цены!$H$46,Цены!$L$46,IF(D23=Цены!$H$47,Цены!$L$47,IF(D23=Цены!$H$48,Цены!$L$48,IF(D23=Цены!$H$49,Цены!$L$49,IF(D23=Цены!$H$50,Цены!$L$50,IF(D23=Цены!$H$51,Цены!$L$51,IF(D23=Цены!$H$52,Цены!$L$52,IF(D23=Цены!$H$53,Цены!$L$53,IF(D23=Цены!$H$54,Цены!$L$54,IF(D23=Цены!$H$55,Цены!$L$55))))))))))))))))))))))))))))))))))))))))))))))))))))))</f>
        <v>0.9</v>
      </c>
      <c r="G23" s="339">
        <f>E23*F23+E24*F24+E25*F25+E26*F26</f>
        <v>13.599600000000001</v>
      </c>
      <c r="H23" s="47">
        <f>IF(D23=Цены!$H$3,Цены!$K$3,IF(D23=Цены!$H$4,Цены!$K$4,IF(D23=Цены!$H$5,Цены!$K$5,IF(D23=Цены!$H$6,Цены!$K$6,IF(D23=Цены!$H$7,Цены!$K$7,IF(D23=Цены!$H$8,Цены!$K$8,IF(D23=Цены!$H$9,Цены!$K$9,IF(D23=Цены!$H$10,Цены!$K$10,IF(D23=Цены!$H$11,Цены!$K$11,IF(D23=Цены!$H$12,Цены!$K$12,IF(D23=Цены!$H$13,Цены!$K$13,IF(D23=Цены!$H$14,Цены!$K$14,IF(D23=Цены!$H$14,Цены!$K$14,IF(D23=Цены!$H$15,Цены!$K$15,IF(D23=Цены!$H$16,Цены!$K$16,IF(D23=Цены!$H$17,Цены!$K$17,IF(D23=Цены!$H$18,Цены!$K$18,IF(D23=Цены!$H$19,Цены!$K$19,IF(D23=Цены!$H$20,Цены!$K$20,IF(D23=Цены!$H$21,Цены!$K$21,IF(D23=Цены!$H$22,Цены!$K$22,IF(D23=Цены!$H$23,Цены!$K$23,IF(D23=Цены!$H$24,Цены!$K$24,IF(D23=Цены!$H$25,Цены!$K$25,IF(D23=Цены!$H$26,Цены!$K$26,IF(D23=Цены!$H$27,Цены!$K$27,IF(D23=Цены!$H$28,Цены!$K$28,IF(D23=Цены!$H$29,Цены!$K$29,IF(D23=Цены!$H$30,Цены!$K$30,IF(D23=Цены!$H$31,Цены!$K$31,IF(D23=Цены!$H$32,Цены!$K$32,IF(D23=Цены!$H$33,Цены!$K$33,IF(D23=Цены!$H$34,Цены!$K$34,IF(D23=Цены!$H$35,Цены!$K$35,IF(D23=Цены!$H$36,Цены!$K$36,IF(D23=Цены!$H$37,Цены!$K$37,IF(D23=Цены!$H$38,Цены!$K$38,IF(D23=Цены!$H$39,Цены!$K$39,IF(D23=Цены!$H$40,Цены!$K$40,IF(D23=Цены!$H$41,Цены!$K$41,IF(D23=Цены!$H$42,Цены!$K$42,IF(D23=Цены!$H$43,Цены!$K$43,IF(D23=Цены!$H$44,Цены!$K$44,IF(D23=Цены!$H$45,Цены!$K$45,IF(D23=Цены!$H$46,Цены!$K$46,IF(D23=Цены!$H$47,Цены!$K$47,IF(D23=Цены!$H$48,Цены!$K$48,IF(D23=Цены!$H$49,Цены!$K$49,IF(D23=Цены!$H$50,Цены!$K$50,IF(D23=Цены!$H$51,Цены!$K$51,IF(D23=Цены!$H$52,Цены!$K$52,IF(D23=Цены!$H$53,Цены!$K$53,IF(D23=Цены!$H$54,Цены!$K$54,IF(D23=Цены!$H$55,Цены!$K$55))))))))))))))))))))))))))))))))))))))))))))))))))))))</f>
        <v>338</v>
      </c>
      <c r="I23" s="286"/>
      <c r="J23" s="265"/>
      <c r="K23" s="272">
        <f>E23*H23+E24*H24+E25*H25+E26*H26</f>
        <v>7666</v>
      </c>
      <c r="L23" s="327">
        <v>6000</v>
      </c>
      <c r="M23" s="272">
        <f>K23+L23</f>
        <v>13666</v>
      </c>
      <c r="N23" s="320"/>
      <c r="O23" s="332">
        <f>N19/M23*100</f>
        <v>58.539440948338935</v>
      </c>
      <c r="P23" s="275">
        <f>MROUND(M23+N19,500)</f>
        <v>21500</v>
      </c>
      <c r="Q23" s="206" t="s">
        <v>143</v>
      </c>
      <c r="R23" s="37">
        <v>7</v>
      </c>
      <c r="S23" s="38">
        <f>IF(Q23=Цены!$H$3,Цены!$L$3,IF(Q23=Цены!$H$4,Цены!$L$4,IF(Q23=Цены!$H$5,Цены!$L$5,IF(Q23=Цены!$H$6,Цены!$L$6,IF(Q23=Цены!$H$7,Цены!$L$7,IF(Q23=Цены!$H$8,Цены!$L$8,IF(Q23=Цены!$H$9,Цены!$L$9,IF(Q23=Цены!$H$10,Цены!$L$10,IF(Q23=Цены!$H$11,Цены!$L$11,IF(Q23=Цены!$H$12,Цены!$L$12,IF(Q23=Цены!$H$13,Цены!$L$13,IF(Q23=Цены!$H$14,Цены!$L$14,IF(Q23=Цены!$H$14,Цены!$L$14,IF(Q23=Цены!$H$15,Цены!$L$15,IF(Q23=Цены!$H$16,Цены!$L$16,IF(Q23=Цены!$H$17,Цены!$L$17,IF(Q23=Цены!$H$18,Цены!$L$18,IF(Q23=Цены!$H$19,Цены!$L$19,IF(Q23=Цены!$H$20,Цены!$L$20,IF(Q23=Цены!$H$21,Цены!$L$21,IF(Q23=Цены!$H$22,Цены!$L$22,IF(Q23=Цены!$H$23,Цены!$L$23,IF(Q23=Цены!$H$24,Цены!$L$24,IF(Q23=Цены!$H$25,Цены!$L$25,IF(Q23=Цены!$H$26,Цены!$L$26,IF(Q23=Цены!$H$27,Цены!$L$27,IF(Q23=Цены!$H$28,Цены!$L$28,IF(Q23=Цены!$H$29,Цены!$L$29,IF(Q23=Цены!$H$30,Цены!$L$30,IF(Q23=Цены!$H$31,Цены!$L$31,IF(Q23=Цены!$H$32,Цены!$L$32,IF(Q23=Цены!$H$33,Цены!$L$33,IF(Q23=Цены!$H$34,Цены!$L$34,IF(Q23=Цены!$H$35,Цены!$L$35,IF(Q23=Цены!$H$36,Цены!$L$36,IF(Q23=Цены!$H$37,Цены!$L$37,IF(Q23=Цены!$H$38,Цены!$L$38,IF(Q23=Цены!$H$39,Цены!$L$39,IF(Q23=Цены!$H$40,Цены!$L$40,IF(Q23=Цены!$H$41,Цены!$L$41,IF(Q23=Цены!$H$42,Цены!$L$42,IF(Q23=Цены!$H$43,Цены!$L$43,IF(Q23=Цены!$H$44,Цены!$L$44,IF(Q23=Цены!$H$45,Цены!$L$45,IF(Q23=Цены!$H$46,Цены!$L$46,IF(Q23=Цены!$H$47,Цены!$L$47,IF(Q23=Цены!$H$48,Цены!$L$48,IF(Q23=Цены!$H$49,Цены!$L$49,IF(Q23=Цены!$H$50,Цены!$L$50,IF(Q23=Цены!$H$51,Цены!$L$51,IF(Q23=Цены!$H$52,Цены!$L$52,IF(Q23=Цены!$H$53,Цены!$L$53,IF(Q23=Цены!$H$54,Цены!$L$54,IF(Q23=Цены!$H$55,Цены!$L$55))))))))))))))))))))))))))))))))))))))))))))))))))))))</f>
        <v>2.4</v>
      </c>
      <c r="T23" s="322">
        <f>R23*S23+R24*S24+R25*S25+R26*S26</f>
        <v>21.4</v>
      </c>
      <c r="U23" s="161">
        <f>IF(Q23=Цены!$H$3,Цены!$K$3,IF(Q23=Цены!$H$4,Цены!$K$4,IF(Q23=Цены!$H$5,Цены!$K$5,IF(Q23=Цены!$H$6,Цены!$K$6,IF(Q23=Цены!$H$7,Цены!$K$7,IF(Q23=Цены!$H$8,Цены!$K$8,IF(Q23=Цены!$H$9,Цены!$K$9,IF(Q23=Цены!$H$10,Цены!$K$10,IF(Q23=Цены!$H$11,Цены!$K$11,IF(Q23=Цены!$H$12,Цены!$K$12,IF(Q23=Цены!$H$13,Цены!$K$13,IF(Q23=Цены!$H$14,Цены!$K$14,IF(Q23=Цены!$H$14,Цены!$K$14,IF(Q23=Цены!$H$15,Цены!$K$15,IF(Q23=Цены!$H$16,Цены!$K$16,IF(Q23=Цены!$H$17,Цены!$K$17,IF(Q23=Цены!$H$18,Цены!$K$18,IF(Q23=Цены!$H$19,Цены!$K$19,IF(Q23=Цены!$H$20,Цены!$K$20,IF(Q23=Цены!$H$21,Цены!$K$21,IF(Q23=Цены!$H$22,Цены!$K$22,IF(Q23=Цены!$H$23,Цены!$K$23,IF(Q23=Цены!$H$24,Цены!$K$24,IF(Q23=Цены!$H$25,Цены!$K$25,IF(Q23=Цены!$H$26,Цены!$K$26,IF(Q23=Цены!$H$27,Цены!$K$27,IF(Q23=Цены!$H$28,Цены!$K$28,IF(Q23=Цены!$H$29,Цены!$K$29,IF(Q23=Цены!$H$30,Цены!$K$30,IF(Q23=Цены!$H$31,Цены!$K$31,IF(Q23=Цены!$H$32,Цены!$K$32,IF(Q23=Цены!$H$33,Цены!$K$33,IF(Q23=Цены!$H$34,Цены!$K$34,IF(Q23=Цены!$H$35,Цены!$K$35,IF(Q23=Цены!$H$36,Цены!$K$36,IF(Q23=Цены!$H$37,Цены!$K$37,IF(Q23=Цены!$H$38,Цены!$K$38,IF(Q23=Цены!$H$39,Цены!$K$39,IF(Q23=Цены!$H$40,Цены!$K$40,IF(Q23=Цены!$H$41,Цены!$K$41,IF(Q23=Цены!$H$42,Цены!$K$42,IF(Q23=Цены!$H$43,Цены!$K$43,IF(Q23=Цены!$H$44,Цены!$K$44,IF(Q23=Цены!$H$45,Цены!$K$45,IF(Q23=Цены!$H$46,Цены!$K$46,IF(Q23=Цены!$H$47,Цены!$K$47,IF(Q23=Цены!$H$48,Цены!$K$48,IF(Q23=Цены!$H$49,Цены!$K$49,IF(Q23=Цены!$H$50,Цены!$K$50,IF(Q23=Цены!$H$51,Цены!$K$51,IF(Q23=Цены!$H$52,Цены!$K$52,IF(Q23=Цены!$H$53,Цены!$K$53,IF(Q23=Цены!$H$54,Цены!$K$54,IF(Q23=Цены!$H$55,Цены!$K$55))))))))))))))))))))))))))))))))))))))))))))))))))))))</f>
        <v>469</v>
      </c>
      <c r="V23" s="265"/>
      <c r="W23" s="265"/>
      <c r="X23" s="272">
        <f t="shared" ref="X23" si="29">R23*U23+R24*U24+R25*U25+R26*U26</f>
        <v>4883</v>
      </c>
      <c r="Y23" s="327">
        <v>3000</v>
      </c>
      <c r="Z23" s="272">
        <f t="shared" ref="Z23" si="30">X23+Y23</f>
        <v>7883</v>
      </c>
      <c r="AA23" s="320"/>
      <c r="AB23" s="323">
        <f>AA19/Z23*100</f>
        <v>63.42762907522517</v>
      </c>
      <c r="AC23" s="275">
        <f>MROUND(X23*3,500)</f>
        <v>14500</v>
      </c>
      <c r="AD23" s="211" t="s">
        <v>69</v>
      </c>
      <c r="AE23" s="67">
        <v>6</v>
      </c>
      <c r="AF23" s="68">
        <f>IF(AD23=Цены!$H$3,Цены!$L$3,IF(AD23=Цены!$H$4,Цены!$L$4,IF(AD23=Цены!$H$5,Цены!$L$5,IF(AD23=Цены!$H$6,Цены!$L$6,IF(AD23=Цены!$H$7,Цены!$L$7,IF(AD23=Цены!$H$8,Цены!$L$8,IF(AD23=Цены!$H$9,Цены!$L$9,IF(AD23=Цены!$H$10,Цены!$L$10,IF(AD23=Цены!$H$11,Цены!$L$11,IF(AD23=Цены!$H$12,Цены!$L$12,IF(AD23=Цены!$H$13,Цены!$L$13,IF(AD23=Цены!$H$14,Цены!$L$14,IF(AD23=Цены!$H$14,Цены!$L$14,IF(AD23=Цены!$H$15,Цены!$L$15,IF(AD23=Цены!$H$16,Цены!$L$16,IF(AD23=Цены!$H$17,Цены!$L$17,IF(AD23=Цены!$H$18,Цены!$L$18,IF(AD23=Цены!$H$19,Цены!$L$19,IF(AD23=Цены!$H$20,Цены!$L$20,IF(AD23=Цены!$H$21,Цены!$L$21,IF(AD23=Цены!$H$22,Цены!$L$22,IF(AD23=Цены!$H$23,Цены!$L$23,IF(AD23=Цены!$H$24,Цены!$L$24,IF(AD23=Цены!$H$25,Цены!$L$25,IF(AD23=Цены!$H$26,Цены!$L$26,IF(AD23=Цены!$H$27,Цены!$L$27,IF(AD23=Цены!$H$28,Цены!$L$28,IF(AD23=Цены!$H$29,Цены!$L$29,IF(AD23=Цены!$H$30,Цены!$L$30,IF(AD23=Цены!$H$31,Цены!$L$31,IF(AD23=Цены!$H$32,Цены!$L$32,IF(AD23=Цены!$H$33,Цены!$L$33,IF(AD23=Цены!$H$34,Цены!$L$34,IF(AD23=Цены!$H$35,Цены!$L$35,IF(AD23=Цены!$H$36,Цены!$L$36,IF(AD23=Цены!$H$37,Цены!$L$37,IF(AD23=Цены!$H$38,Цены!$L$38,IF(AD23=Цены!$H$39,Цены!$L$39,IF(AD23=Цены!$H$40,Цены!$L$40,IF(AD23=Цены!$H$41,Цены!$L$41,IF(AD23=Цены!$H$42,Цены!$L$42,IF(AD23=Цены!$H$43,Цены!$L$43,IF(AD23=Цены!$H$44,Цены!$L$44,IF(AD23=Цены!$H$45,Цены!$L$45,IF(AD23=Цены!$H$46,Цены!$L$46,IF(AD23=Цены!$H$47,Цены!$L$47,IF(AD23=Цены!$H$48,Цены!$L$48,IF(AD23=Цены!$H$49,Цены!$L$49,IF(AD23=Цены!$H$50,Цены!$L$50,IF(AD23=Цены!$H$51,Цены!$L$51,IF(AD23=Цены!$H$52,Цены!$L$52,IF(AD23=Цены!$H$53,Цены!$L$53,IF(AD23=Цены!$H$54,Цены!$L$54,IF(AD23=Цены!$H$55,Цены!$L$55))))))))))))))))))))))))))))))))))))))))))))))))))))))</f>
        <v>1.19</v>
      </c>
      <c r="AG23" s="311">
        <f>AE23*AF23+AE24*AF24+AE25*AF25+AE26*AF26</f>
        <v>38.94</v>
      </c>
      <c r="AH23" s="69">
        <f>IF(AD23=Цены!$H$3,Цены!$K$3,IF(AD23=Цены!$H$4,Цены!$K$4,IF(AD23=Цены!$H$5,Цены!$K$5,IF(AD23=Цены!$H$6,Цены!$K$6,IF(AD23=Цены!$H$7,Цены!$K$7,IF(AD23=Цены!$H$8,Цены!$K$8,IF(AD23=Цены!$H$9,Цены!$K$9,IF(AD23=Цены!$H$10,Цены!$K$10,IF(AD23=Цены!$H$11,Цены!$K$11,IF(AD23=Цены!$H$12,Цены!$K$12,IF(AD23=Цены!$H$13,Цены!$K$13,IF(AD23=Цены!$H$14,Цены!$K$14,IF(AD23=Цены!$H$14,Цены!$K$14,IF(AD23=Цены!$H$15,Цены!$K$15,IF(AD23=Цены!$H$16,Цены!$K$16,IF(AD23=Цены!$H$17,Цены!$K$17,IF(AD23=Цены!$H$18,Цены!$K$18,IF(AD23=Цены!$H$19,Цены!$K$19,IF(AD23=Цены!$H$20,Цены!$K$20,IF(AD23=Цены!$H$21,Цены!$K$21,IF(AD23=Цены!$H$22,Цены!$K$22,IF(AD23=Цены!$H$23,Цены!$K$23,IF(AD23=Цены!$H$24,Цены!$K$24,IF(AD23=Цены!$H$25,Цены!$K$25,IF(AD23=Цены!$H$26,Цены!$K$26,IF(AD23=Цены!$H$27,Цены!$K$27,IF(AD23=Цены!$H$28,Цены!$K$28,IF(AD23=Цены!$H$29,Цены!$K$29,IF(AD23=Цены!$H$30,Цены!$K$30,IF(AD23=Цены!$H$31,Цены!$K$31,IF(AD23=Цены!$H$32,Цены!$K$32,IF(AD23=Цены!$H$33,Цены!$K$33,IF(AD23=Цены!$H$34,Цены!$K$34,IF(AD23=Цены!$H$35,Цены!$K$35,IF(AD23=Цены!$H$36,Цены!$K$36,IF(AD23=Цены!$H$37,Цены!$K$37,IF(AD23=Цены!$H$38,Цены!$K$38,IF(AD23=Цены!$H$39,Цены!$K$39,IF(AD23=Цены!$H$40,Цены!$K$40,IF(AD23=Цены!$H$41,Цены!$K$41,IF(AD23=Цены!$H$42,Цены!$K$42,IF(AD23=Цены!$H$43,Цены!$K$43,IF(AD23=Цены!$H$44,Цены!$K$44,IF(AD23=Цены!$H$45,Цены!$K$45,IF(AD23=Цены!$H$46,Цены!$K$46,IF(AD23=Цены!$H$47,Цены!$K$47,IF(AD23=Цены!$H$48,Цены!$K$48,IF(AD23=Цены!$H$49,Цены!$K$49,IF(AD23=Цены!$H$50,Цены!$K$50,IF(AD23=Цены!$H$51,Цены!$K$51,IF(AD23=Цены!$H$52,Цены!$K$52,IF(AD23=Цены!$H$53,Цены!$K$53,IF(AD23=Цены!$H$54,Цены!$K$54,IF(AD23=Цены!$H$55,Цены!$K$55))))))))))))))))))))))))))))))))))))))))))))))))))))))</f>
        <v>398</v>
      </c>
      <c r="AI23" s="265"/>
      <c r="AJ23" s="265"/>
      <c r="AK23" s="272">
        <f t="shared" ref="AK23" si="31">AE23*AH23+AE24*AH24+AE25*AH25+AE26*AH26</f>
        <v>10224</v>
      </c>
      <c r="AL23" s="273">
        <v>8000</v>
      </c>
      <c r="AM23" s="272">
        <f t="shared" ref="AM23" si="32">AK23+AL23</f>
        <v>18224</v>
      </c>
      <c r="AN23" s="268"/>
      <c r="AO23" s="312">
        <f>AN19/AM23*100</f>
        <v>49.385425812115891</v>
      </c>
      <c r="AP23" s="275">
        <f>MROUND(AM23+AN19,500)</f>
        <v>27000</v>
      </c>
      <c r="AQ23" s="206" t="s">
        <v>146</v>
      </c>
      <c r="AR23" s="131">
        <v>4</v>
      </c>
      <c r="AS23" s="80">
        <f>IF(AQ23=Цены!$H$3,Цены!$L$3,IF(AQ23=Цены!$H$4,Цены!$L$4,IF(AQ23=Цены!$H$5,Цены!$L$5,IF(AQ23=Цены!$H$6,Цены!$L$6,IF(AQ23=Цены!$H$7,Цены!$L$7,IF(AQ23=Цены!$H$8,Цены!$L$8,IF(AQ23=Цены!$H$9,Цены!$L$9,IF(AQ23=Цены!$H$10,Цены!$L$10,IF(AQ23=Цены!$H$11,Цены!$L$11,IF(AQ23=Цены!$H$12,Цены!$L$12,IF(AQ23=Цены!$H$13,Цены!$L$13,IF(AQ23=Цены!$H$14,Цены!$L$14,IF(AQ23=Цены!$H$14,Цены!$L$14,IF(AQ23=Цены!$H$15,Цены!$L$15,IF(AQ23=Цены!$H$16,Цены!$L$16,IF(AQ23=Цены!$H$17,Цены!$L$17,IF(AQ23=Цены!$H$18,Цены!$L$18,IF(AQ23=Цены!$H$19,Цены!$L$19,IF(AQ23=Цены!$H$20,Цены!$L$20,IF(AQ23=Цены!$H$21,Цены!$L$21,IF(AQ23=Цены!$H$22,Цены!$L$22,IF(AQ23=Цены!$H$23,Цены!$L$23,IF(AQ23=Цены!$H$24,Цены!$L$24,IF(AQ23=Цены!$H$25,Цены!$L$25,IF(AQ23=Цены!$H$26,Цены!$L$26,IF(AQ23=Цены!$H$27,Цены!$L$27,IF(AQ23=Цены!$H$28,Цены!$L$28,IF(AQ23=Цены!$H$29,Цены!$L$29,IF(AQ23=Цены!$H$30,Цены!$L$30,IF(AQ23=Цены!$H$31,Цены!$L$31,IF(AQ23=Цены!$H$32,Цены!$L$32,IF(AQ23=Цены!$H$33,Цены!$L$33,IF(AQ23=Цены!$H$34,Цены!$L$34,IF(AQ23=Цены!$H$35,Цены!$L$35,IF(AQ23=Цены!$H$36,Цены!$L$36,IF(AQ23=Цены!$H$37,Цены!$L$37,IF(AQ23=Цены!$H$38,Цены!$L$38,IF(AQ23=Цены!$H$39,Цены!$L$39,IF(AQ23=Цены!$H$40,Цены!$L$40,IF(AQ23=Цены!$H$41,Цены!$L$41,IF(AQ23=Цены!$H$42,Цены!$L$42,IF(AQ23=Цены!$H$43,Цены!$L$43,IF(AQ23=Цены!$H$44,Цены!$L$44,IF(AQ23=Цены!$H$45,Цены!$L$45,IF(AQ23=Цены!$H$46,Цены!$L$46,IF(AQ23=Цены!$H$47,Цены!$L$47,IF(AQ23=Цены!$H$48,Цены!$L$48,IF(AQ23=Цены!$H$49,Цены!$L$49,IF(AQ23=Цены!$H$50,Цены!$L$50,IF(AQ23=Цены!$H$51,Цены!$L$51,IF(AQ23=Цены!$H$52,Цены!$L$52,IF(AQ23=Цены!$H$53,Цены!$L$53,IF(AQ23=Цены!$H$54,Цены!$L$54,IF(AQ23=Цены!$H$55,Цены!$L$55))))))))))))))))))))))))))))))))))))))))))))))))))))))</f>
        <v>1.19</v>
      </c>
      <c r="AT23" s="271">
        <f>AR23*AS23+AR24*AS24+AR25*AS25+AR26*AS26</f>
        <v>16.009999999999998</v>
      </c>
      <c r="AU23" s="81">
        <f>IF(AQ23=Цены!$H$3,Цены!$K$3,IF(AQ23=Цены!$H$4,Цены!$K$4,IF(AQ23=Цены!$H$5,Цены!$K$5,IF(AQ23=Цены!$H$6,Цены!$K$6,IF(AQ23=Цены!$H$7,Цены!$K$7,IF(AQ23=Цены!$H$8,Цены!$K$8,IF(AQ23=Цены!$H$9,Цены!$K$9,IF(AQ23=Цены!$H$10,Цены!$K$10,IF(AQ23=Цены!$H$11,Цены!$K$11,IF(AQ23=Цены!$H$12,Цены!$K$12,IF(AQ23=Цены!$H$13,Цены!$K$13,IF(AQ23=Цены!$H$14,Цены!$K$14,IF(AQ23=Цены!$H$14,Цены!$K$14,IF(AQ23=Цены!$H$15,Цены!$K$15,IF(AQ23=Цены!$H$16,Цены!$K$16,IF(AQ23=Цены!$H$17,Цены!$K$17,IF(AQ23=Цены!$H$18,Цены!$K$18,IF(AQ23=Цены!$H$19,Цены!$K$19,IF(AQ23=Цены!$H$20,Цены!$K$20,IF(AQ23=Цены!$H$21,Цены!$K$21,IF(AQ23=Цены!$H$22,Цены!$K$22,IF(AQ23=Цены!$H$23,Цены!$K$23,IF(AQ23=Цены!$H$24,Цены!$K$24,IF(AQ23=Цены!$H$25,Цены!$K$25,IF(AQ23=Цены!$H$26,Цены!$K$26,IF(AQ23=Цены!$H$27,Цены!$K$27,IF(AQ23=Цены!$H$28,Цены!$K$28,IF(AQ23=Цены!$H$29,Цены!$K$29,IF(AQ23=Цены!$H$30,Цены!$K$30,IF(AQ23=Цены!$H$31,Цены!$K$31,IF(AQ23=Цены!$H$32,Цены!$K$32,IF(AQ23=Цены!$H$33,Цены!$K$33,IF(AQ23=Цены!$H$34,Цены!$K$34,IF(AQ23=Цены!$H$35,Цены!$K$35,IF(AQ23=Цены!$H$36,Цены!$K$36,IF(AQ23=Цены!$H$37,Цены!$K$37,IF(AQ23=Цены!$H$38,Цены!$K$38,IF(AQ23=Цены!$H$39,Цены!$K$39,IF(AQ23=Цены!$H$40,Цены!$K$40,IF(AQ23=Цены!$H$41,Цены!$K$41,IF(AQ23=Цены!$H$42,Цены!$K$42,IF(AQ23=Цены!$H$43,Цены!$K$43,IF(AQ23=Цены!$H$44,Цены!$K$44,IF(AQ23=Цены!$H$45,Цены!$K$45,IF(AQ23=Цены!$H$46,Цены!$K$46,IF(AQ23=Цены!$H$47,Цены!$K$47,IF(AQ23=Цены!$H$48,Цены!$K$48,IF(AQ23=Цены!$H$49,Цены!$K$49,IF(AQ23=Цены!$H$50,Цены!$K$50,IF(AQ23=Цены!$H$51,Цены!$K$51,IF(AQ23=Цены!$H$52,Цены!$K$52,IF(AQ23=Цены!$H$53,Цены!$K$53,IF(AQ23=Цены!$H$54,Цены!$K$54,IF(AQ23=Цены!$H$55,Цены!$K$55))))))))))))))))))))))))))))))))))))))))))))))))))))))</f>
        <v>398</v>
      </c>
      <c r="AV23" s="265"/>
      <c r="AW23" s="265"/>
      <c r="AX23" s="272">
        <f t="shared" ref="AX23" si="33">AR23*AU23+AR24*AU24+AR25*AU25+AR26*AU26</f>
        <v>4448</v>
      </c>
      <c r="AY23" s="273">
        <v>5000</v>
      </c>
      <c r="AZ23" s="272">
        <f t="shared" ref="AZ23" si="34">AX23+AY23</f>
        <v>9448</v>
      </c>
      <c r="BA23" s="268"/>
      <c r="BB23" s="274">
        <f>BA19/AZ23*100</f>
        <v>52.921253175275197</v>
      </c>
      <c r="BC23" s="275">
        <f>MROUND(AZ23+BA19,500)</f>
        <v>14500</v>
      </c>
      <c r="BD23" s="261">
        <f>BC23+CQ23</f>
        <v>20500</v>
      </c>
      <c r="BE23" s="206" t="s">
        <v>141</v>
      </c>
      <c r="BF23" s="106">
        <v>5</v>
      </c>
      <c r="BG23" s="103">
        <f>IF(BE23=Цены!$H$3,Цены!$L$3,IF(BE23=Цены!$H$4,Цены!$L$4,IF(BE23=Цены!$H$5,Цены!$L$5,IF(BE23=Цены!$H$6,Цены!$L$6,IF(BE23=Цены!$H$7,Цены!$L$7,IF(BE23=Цены!$H$8,Цены!$L$8,IF(BE23=Цены!$H$9,Цены!$L$9,IF(BE23=Цены!$H$10,Цены!$L$10,IF(BE23=Цены!$H$11,Цены!$L$11,IF(BE23=Цены!$H$12,Цены!$L$12,IF(BE23=Цены!$H$13,Цены!$L$13,IF(BE23=Цены!$H$14,Цены!$L$14,IF(BE23=Цены!$H$14,Цены!$L$14,IF(BE23=Цены!$H$15,Цены!$L$15,IF(BE23=Цены!$H$16,Цены!$L$16,IF(BE23=Цены!$H$17,Цены!$L$17,IF(BE23=Цены!$H$18,Цены!$L$18,IF(BE23=Цены!$H$19,Цены!$L$19,IF(BE23=Цены!$H$20,Цены!$L$20,IF(BE23=Цены!$H$21,Цены!$L$21,IF(BE23=Цены!$H$22,Цены!$L$22,IF(BE23=Цены!$H$23,Цены!$L$23,IF(BE23=Цены!$H$24,Цены!$L$24,IF(BE23=Цены!$H$25,Цены!$L$25,IF(BE23=Цены!$H$26,Цены!$L$26,IF(BE23=Цены!$H$27,Цены!$L$27,IF(BE23=Цены!$H$28,Цены!$L$28,IF(BE23=Цены!$H$29,Цены!$L$29,IF(BE23=Цены!$H$30,Цены!$L$30,IF(BE23=Цены!$H$31,Цены!$L$31,IF(BE23=Цены!$H$32,Цены!$L$32,IF(BE23=Цены!$H$33,Цены!$L$33,IF(BE23=Цены!$H$34,Цены!$L$34,IF(BE23=Цены!$H$35,Цены!$L$35,IF(BE23=Цены!$H$36,Цены!$L$36,IF(BE23=Цены!$H$37,Цены!$L$37,IF(BE23=Цены!$H$38,Цены!$L$38,IF(BE23=Цены!$H$39,Цены!$L$39,IF(BE23=Цены!$H$40,Цены!$L$40,IF(BE23=Цены!$H$41,Цены!$L$41,IF(BE23=Цены!$H$42,Цены!$L$42,IF(BE23=Цены!$H$43,Цены!$L$43,IF(BE23=Цены!$H$44,Цены!$L$44,IF(BE23=Цены!$H$45,Цены!$L$45,IF(BE23=Цены!$H$46,Цены!$L$46,IF(BE23=Цены!$H$47,Цены!$L$47,IF(BE23=Цены!$H$48,Цены!$L$48,IF(BE23=Цены!$H$49,Цены!$L$49,IF(BE23=Цены!$H$50,Цены!$L$50,IF(BE23=Цены!$H$51,Цены!$L$51,IF(BE23=Цены!$H$52,Цены!$L$52,IF(BE23=Цены!$H$53,Цены!$L$53,IF(BE23=Цены!$H$54,Цены!$L$54,IF(BE23=Цены!$H$55,Цены!$L$55))))))))))))))))))))))))))))))))))))))))))))))))))))))</f>
        <v>0.9</v>
      </c>
      <c r="BH23" s="280">
        <f>BF23*BG23+BF24*BG24+BF25*BG25+BF26*BG26</f>
        <v>6.84</v>
      </c>
      <c r="BI23" s="104">
        <f>IF(BE23=Цены!$H$3,Цены!$K$3,IF(BE23=Цены!$H$4,Цены!$K$4,IF(BE23=Цены!$H$5,Цены!$K$5,IF(BE23=Цены!$H$6,Цены!$K$6,IF(BE23=Цены!$H$7,Цены!$K$7,IF(BE23=Цены!$H$8,Цены!$K$8,IF(BE23=Цены!$H$9,Цены!$K$9,IF(BE23=Цены!$H$10,Цены!$K$10,IF(BE23=Цены!$H$11,Цены!$K$11,IF(BE23=Цены!$H$12,Цены!$K$12,IF(BE23=Цены!$H$13,Цены!$K$13,IF(BE23=Цены!$H$14,Цены!$K$14,IF(BE23=Цены!$H$14,Цены!$K$14,IF(BE23=Цены!$H$15,Цены!$K$15,IF(BE23=Цены!$H$16,Цены!$K$16,IF(BE23=Цены!$H$17,Цены!$K$17,IF(BE23=Цены!$H$18,Цены!$K$18,IF(BE23=Цены!$H$19,Цены!$K$19,IF(BE23=Цены!$H$20,Цены!$K$20,IF(BE23=Цены!$H$21,Цены!$K$21,IF(BE23=Цены!$H$22,Цены!$K$22,IF(BE23=Цены!$H$23,Цены!$K$23,IF(BE23=Цены!$H$24,Цены!$K$24,IF(BE23=Цены!$H$25,Цены!$K$25,IF(BE23=Цены!$H$26,Цены!$K$26,IF(BE23=Цены!$H$27,Цены!$K$27,IF(BE23=Цены!$H$28,Цены!$K$28,IF(BE23=Цены!$H$29,Цены!$K$29,IF(BE23=Цены!$H$30,Цены!$K$30,IF(BE23=Цены!$H$31,Цены!$K$31,IF(BE23=Цены!$H$32,Цены!$K$32,IF(BE23=Цены!$H$33,Цены!$K$33,IF(BE23=Цены!$H$34,Цены!$K$34,IF(BE23=Цены!$H$35,Цены!$K$35,IF(BE23=Цены!$H$36,Цены!$K$36,IF(BE23=Цены!$H$37,Цены!$K$37,IF(BE23=Цены!$H$38,Цены!$K$38,IF(BE23=Цены!$H$39,Цены!$K$39,IF(BE23=Цены!$H$40,Цены!$K$40,IF(BE23=Цены!$H$41,Цены!$K$41,IF(BE23=Цены!$H$42,Цены!$K$42,IF(BE23=Цены!$H$43,Цены!$K$43,IF(BE23=Цены!$H$44,Цены!$K$44,IF(BE23=Цены!$H$45,Цены!$K$45,IF(BE23=Цены!$H$46,Цены!$K$46,IF(BE23=Цены!$H$47,Цены!$K$47,IF(BE23=Цены!$H$48,Цены!$K$48,IF(BE23=Цены!$H$49,Цены!$K$49,IF(BE23=Цены!$H$50,Цены!$K$50,IF(BE23=Цены!$H$51,Цены!$K$51,IF(BE23=Цены!$H$52,Цены!$K$52,IF(BE23=Цены!$H$53,Цены!$K$53,IF(BE23=Цены!$H$54,Цены!$K$54,IF(BE23=Цены!$H$55,Цены!$K$55))))))))))))))))))))))))))))))))))))))))))))))))))))))</f>
        <v>338</v>
      </c>
      <c r="BJ23" s="265"/>
      <c r="BK23" s="265"/>
      <c r="BL23" s="272">
        <f t="shared" ref="BL23" si="35">BF23*BI23+BF24*BI24+BF25*BI25+BF26*BI26</f>
        <v>3031</v>
      </c>
      <c r="BM23" s="273">
        <v>5000</v>
      </c>
      <c r="BN23" s="272">
        <f t="shared" ref="BN23" si="36">BL23+BM23</f>
        <v>8031</v>
      </c>
      <c r="BO23" s="268"/>
      <c r="BP23" s="281">
        <f>BO19/BN23*100</f>
        <v>62.258747354003241</v>
      </c>
      <c r="BQ23" s="275">
        <f>MROUND(BN23+BO19,500)</f>
        <v>13000</v>
      </c>
      <c r="BR23" s="218" t="s">
        <v>67</v>
      </c>
      <c r="BS23" s="108">
        <v>2</v>
      </c>
      <c r="BT23" s="109">
        <f>IF(BR23=Цены!$H$3,Цены!$L$3,IF(BR23=Цены!$H$4,Цены!$L$4,IF(BR23=Цены!$H$5,Цены!$L$5,IF(BR23=Цены!$H$6,Цены!$L$6,IF(BR23=Цены!$H$7,Цены!$L$7,IF(BR23=Цены!$H$8,Цены!$L$8,IF(BR23=Цены!$H$9,Цены!$L$9,IF(BR23=Цены!$H$10,Цены!$L$10,IF(BR23=Цены!$H$11,Цены!$L$11,IF(BR23=Цены!$H$12,Цены!$L$12,IF(BR23=Цены!$H$13,Цены!$L$13,IF(BR23=Цены!$H$14,Цены!$L$14,IF(BR23=Цены!$H$14,Цены!$L$14,IF(BR23=Цены!$H$15,Цены!$L$15,IF(BR23=Цены!$H$16,Цены!$L$16,IF(BR23=Цены!$H$17,Цены!$L$17,IF(BR23=Цены!$H$18,Цены!$L$18,IF(BR23=Цены!$H$19,Цены!$L$19,IF(BR23=Цены!$H$20,Цены!$L$20,IF(BR23=Цены!$H$21,Цены!$L$21,IF(BR23=Цены!$H$22,Цены!$L$22,IF(BR23=Цены!$H$23,Цены!$L$23,IF(BR23=Цены!$H$24,Цены!$L$24,IF(BR23=Цены!$H$25,Цены!$L$25,IF(BR23=Цены!$H$26,Цены!$L$26,IF(BR23=Цены!$H$27,Цены!$L$27,IF(BR23=Цены!$H$28,Цены!$L$28,IF(BR23=Цены!$H$29,Цены!$L$29,IF(BR23=Цены!$H$30,Цены!$L$30,IF(BR23=Цены!$H$31,Цены!$L$31,IF(BR23=Цены!$H$32,Цены!$L$32,IF(BR23=Цены!$H$33,Цены!$L$33,IF(BR23=Цены!$H$34,Цены!$L$34,IF(BR23=Цены!$H$35,Цены!$L$35,IF(BR23=Цены!$H$36,Цены!$L$36,IF(BR23=Цены!$H$37,Цены!$L$37,IF(BR23=Цены!$H$38,Цены!$L$38,IF(BR23=Цены!$H$39,Цены!$L$39,IF(BR23=Цены!$H$40,Цены!$L$40,IF(BR23=Цены!$H$41,Цены!$L$41,IF(BR23=Цены!$H$42,Цены!$L$42,IF(BR23=Цены!$H$43,Цены!$L$43,IF(BR23=Цены!$H$44,Цены!$L$44,IF(BR23=Цены!$H$45,Цены!$L$45,IF(BR23=Цены!$H$46,Цены!$L$46,IF(BR23=Цены!$H$47,Цены!$L$47,IF(BR23=Цены!$H$48,Цены!$L$48,IF(BR23=Цены!$H$49,Цены!$L$49,IF(BR23=Цены!$H$50,Цены!$L$50,IF(BR23=Цены!$H$51,Цены!$L$51,IF(BR23=Цены!$H$52,Цены!$L$52,IF(BR23=Цены!$H$53,Цены!$L$53,IF(BR23=Цены!$H$54,Цены!$L$54,IF(BR23=Цены!$H$55,Цены!$L$55))))))))))))))))))))))))))))))))))))))))))))))))))))))</f>
        <v>0.9</v>
      </c>
      <c r="BU23" s="284">
        <f>BS23*BT23+BS24*BT24+BS25*BT25+BS26*BT26</f>
        <v>3.3600000000000003</v>
      </c>
      <c r="BV23" s="110">
        <f>IF(BR23=Цены!$H$3,Цены!$K$3,IF(BR23=Цены!$H$4,Цены!$K$4,IF(BR23=Цены!$H$5,Цены!$K$5,IF(BR23=Цены!$H$6,Цены!$K$6,IF(BR23=Цены!$H$7,Цены!$K$7,IF(BR23=Цены!$H$8,Цены!$K$8,IF(BR23=Цены!$H$9,Цены!$K$9,IF(BR23=Цены!$H$10,Цены!$K$10,IF(BR23=Цены!$H$11,Цены!$K$11,IF(BR23=Цены!$H$12,Цены!$K$12,IF(BR23=Цены!$H$13,Цены!$K$13,IF(BR23=Цены!$H$14,Цены!$K$14,IF(BR23=Цены!$H$14,Цены!$K$14,IF(BR23=Цены!$H$15,Цены!$K$15,IF(BR23=Цены!$H$16,Цены!$K$16,IF(BR23=Цены!$H$17,Цены!$K$17,IF(BR23=Цены!$H$18,Цены!$K$18,IF(BR23=Цены!$H$19,Цены!$K$19,IF(BR23=Цены!$H$20,Цены!$K$20,IF(BR23=Цены!$H$21,Цены!$K$21,IF(BR23=Цены!$H$22,Цены!$K$22,IF(BR23=Цены!$H$23,Цены!$K$23,IF(BR23=Цены!$H$24,Цены!$K$24,IF(BR23=Цены!$H$25,Цены!$K$25,IF(BR23=Цены!$H$26,Цены!$K$26,IF(BR23=Цены!$H$27,Цены!$K$27,IF(BR23=Цены!$H$28,Цены!$K$28,IF(BR23=Цены!$H$29,Цены!$K$29,IF(BR23=Цены!$H$30,Цены!$K$30,IF(BR23=Цены!$H$31,Цены!$K$31,IF(BR23=Цены!$H$32,Цены!$K$32,IF(BR23=Цены!$H$33,Цены!$K$33,IF(BR23=Цены!$H$34,Цены!$K$34,IF(BR23=Цены!$H$35,Цены!$K$35,IF(BR23=Цены!$H$36,Цены!$K$36,IF(BR23=Цены!$H$37,Цены!$K$37,IF(BR23=Цены!$H$38,Цены!$K$38,IF(BR23=Цены!$H$39,Цены!$K$39,IF(BR23=Цены!$H$40,Цены!$K$40,IF(BR23=Цены!$H$41,Цены!$K$41,IF(BR23=Цены!$H$42,Цены!$K$42,IF(BR23=Цены!$H$43,Цены!$K$43,IF(BR23=Цены!$H$44,Цены!$K$44,IF(BR23=Цены!$H$45,Цены!$K$45,IF(BR23=Цены!$H$46,Цены!$K$46,IF(BR23=Цены!$H$47,Цены!$K$47,IF(BR23=Цены!$H$48,Цены!$K$48,IF(BR23=Цены!$H$49,Цены!$K$49,IF(BR23=Цены!$H$50,Цены!$K$50,IF(BR23=Цены!$H$51,Цены!$K$51,IF(BR23=Цены!$H$52,Цены!$K$52,IF(BR23=Цены!$H$53,Цены!$K$53,IF(BR23=Цены!$H$54,Цены!$K$54,IF(BR23=Цены!$H$55,Цены!$K$55))))))))))))))))))))))))))))))))))))))))))))))))))))))</f>
        <v>338</v>
      </c>
      <c r="BW23" s="265"/>
      <c r="BX23" s="265"/>
      <c r="BY23" s="272">
        <f t="shared" ref="BY23" si="37">BS23*BV23+BS24*BV24+BS25*BV25+BS26*BV26</f>
        <v>1570</v>
      </c>
      <c r="BZ23" s="273">
        <v>1000</v>
      </c>
      <c r="CA23" s="272">
        <f t="shared" ref="CA23" si="38">BY23+BZ23</f>
        <v>2570</v>
      </c>
      <c r="CB23" s="268"/>
      <c r="CC23" s="285">
        <f>CB19/CA23*100</f>
        <v>77.821011673151759</v>
      </c>
      <c r="CD23" s="275">
        <f>MROUND(CA23+CB19,500)</f>
        <v>4500</v>
      </c>
      <c r="CE23" s="173" t="s">
        <v>67</v>
      </c>
      <c r="CF23" s="112">
        <v>2</v>
      </c>
      <c r="CG23" s="113">
        <f>IF(CE23=Цены!$H$3,Цены!$L$3,IF(CE23=Цены!$H$4,Цены!$L$4,IF(CE23=Цены!$H$5,Цены!$L$5,IF(CE23=Цены!$H$6,Цены!$L$6,IF(CE23=Цены!$H$7,Цены!$L$7,IF(CE23=Цены!$H$8,Цены!$L$8,IF(CE23=Цены!$H$9,Цены!$L$9,IF(CE23=Цены!$H$10,Цены!$L$10,IF(CE23=Цены!$H$11,Цены!$L$11,IF(CE23=Цены!$H$12,Цены!$L$12,IF(CE23=Цены!$H$13,Цены!$L$13,IF(CE23=Цены!$H$14,Цены!$L$14,IF(CE23=Цены!$H$14,Цены!$L$14,IF(CE23=Цены!$H$15,Цены!$L$15,IF(CE23=Цены!$H$16,Цены!$L$16,IF(CE23=Цены!$H$17,Цены!$L$17,IF(CE23=Цены!$H$18,Цены!$L$18,IF(CE23=Цены!$H$19,Цены!$L$19,IF(CE23=Цены!$H$20,Цены!$L$20,IF(CE23=Цены!$H$21,Цены!$L$21,IF(CE23=Цены!$H$22,Цены!$L$22,IF(CE23=Цены!$H$23,Цены!$L$23,IF(CE23=Цены!$H$24,Цены!$L$24,IF(CE23=Цены!$H$25,Цены!$L$25,IF(CE23=Цены!$H$26,Цены!$L$26,IF(CE23=Цены!$H$27,Цены!$L$27,IF(CE23=Цены!$H$28,Цены!$L$28,IF(CE23=Цены!$H$29,Цены!$L$29,IF(CE23=Цены!$H$30,Цены!$L$30,IF(CE23=Цены!$H$31,Цены!$L$31,IF(CE23=Цены!$H$32,Цены!$L$32,IF(CE23=Цены!$H$33,Цены!$L$33,IF(CE23=Цены!$H$34,Цены!$L$34,IF(CE23=Цены!$H$35,Цены!$L$35,IF(CE23=Цены!$H$36,Цены!$L$36,IF(CE23=Цены!$H$37,Цены!$L$37,IF(CE23=Цены!$H$38,Цены!$L$38,IF(CE23=Цены!$H$39,Цены!$L$39,IF(CE23=Цены!$H$40,Цены!$L$40,IF(CE23=Цены!$H$41,Цены!$L$41,IF(CE23=Цены!$H$42,Цены!$L$42,IF(CE23=Цены!$H$43,Цены!$L$43,IF(CE23=Цены!$H$44,Цены!$L$44,IF(CE23=Цены!$H$45,Цены!$L$45,IF(CE23=Цены!$H$46,Цены!$L$46,IF(CE23=Цены!$H$47,Цены!$L$47,IF(CE23=Цены!$H$48,Цены!$L$48,IF(CE23=Цены!$H$49,Цены!$L$49,IF(CE23=Цены!$H$50,Цены!$L$50,IF(CE23=Цены!$H$51,Цены!$L$51,IF(CE23=Цены!$H$52,Цены!$L$52,IF(CE23=Цены!$H$53,Цены!$L$53,IF(CE23=Цены!$H$54,Цены!$L$54,IF(CE23=Цены!$H$55,Цены!$L$55))))))))))))))))))))))))))))))))))))))))))))))))))))))</f>
        <v>0.9</v>
      </c>
      <c r="CH23" s="282">
        <f>CF23*CG23+CF24*CG24+CF25*CG25+CF26*CG26</f>
        <v>4.6163999999999996</v>
      </c>
      <c r="CI23" s="114">
        <f>IF(CE23=Цены!$H$3,Цены!$K$3,IF(CE23=Цены!$H$4,Цены!$K$4,IF(CE23=Цены!$H$5,Цены!$K$5,IF(CE23=Цены!$H$6,Цены!$K$6,IF(CE23=Цены!$H$7,Цены!$K$7,IF(CE23=Цены!$H$8,Цены!$K$8,IF(CE23=Цены!$H$9,Цены!$K$9,IF(CE23=Цены!$H$10,Цены!$K$10,IF(CE23=Цены!$H$11,Цены!$K$11,IF(CE23=Цены!$H$12,Цены!$K$12,IF(CE23=Цены!$H$13,Цены!$K$13,IF(CE23=Цены!$H$14,Цены!$K$14,IF(CE23=Цены!$H$14,Цены!$K$14,IF(CE23=Цены!$H$15,Цены!$K$15,IF(CE23=Цены!$H$16,Цены!$K$16,IF(CE23=Цены!$H$17,Цены!$K$17,IF(CE23=Цены!$H$18,Цены!$K$18,IF(CE23=Цены!$H$19,Цены!$K$19,IF(CE23=Цены!$H$20,Цены!$K$20,IF(CE23=Цены!$H$21,Цены!$K$21,IF(CE23=Цены!$H$22,Цены!$K$22,IF(CE23=Цены!$H$23,Цены!$K$23,IF(CE23=Цены!$H$24,Цены!$K$24,IF(CE23=Цены!$H$25,Цены!$K$25,IF(CE23=Цены!$H$26,Цены!$K$26,IF(CE23=Цены!$H$27,Цены!$K$27,IF(CE23=Цены!$H$28,Цены!$K$28,IF(CE23=Цены!$H$29,Цены!$K$29,IF(CE23=Цены!$H$30,Цены!$K$30,IF(CE23=Цены!$H$31,Цены!$K$31,IF(CE23=Цены!$H$32,Цены!$K$32,IF(CE23=Цены!$H$33,Цены!$K$33,IF(CE23=Цены!$H$34,Цены!$K$34,IF(CE23=Цены!$H$35,Цены!$K$35,IF(CE23=Цены!$H$36,Цены!$K$36,IF(CE23=Цены!$H$37,Цены!$K$37,IF(CE23=Цены!$H$38,Цены!$K$38,IF(CE23=Цены!$H$39,Цены!$K$39,IF(CE23=Цены!$H$40,Цены!$K$40,IF(CE23=Цены!$H$41,Цены!$K$41,IF(CE23=Цены!$H$42,Цены!$K$42,IF(CE23=Цены!$H$43,Цены!$K$43,IF(CE23=Цены!$H$44,Цены!$K$44,IF(CE23=Цены!$H$45,Цены!$K$45,IF(CE23=Цены!$H$46,Цены!$K$46,IF(CE23=Цены!$H$47,Цены!$K$47,IF(CE23=Цены!$H$48,Цены!$K$48,IF(CE23=Цены!$H$49,Цены!$K$49,IF(CE23=Цены!$H$50,Цены!$K$50,IF(CE23=Цены!$H$51,Цены!$K$51,IF(CE23=Цены!$H$52,Цены!$K$52,IF(CE23=Цены!$H$53,Цены!$K$53,IF(CE23=Цены!$H$54,Цены!$K$54,IF(CE23=Цены!$H$55,Цены!$K$55))))))))))))))))))))))))))))))))))))))))))))))))))))))</f>
        <v>338</v>
      </c>
      <c r="CJ23" s="265"/>
      <c r="CK23" s="265"/>
      <c r="CL23" s="272">
        <f t="shared" ref="CL23" si="39">CF23*CI23+CF24*CI24+CF25*CI25+CF26*CI26</f>
        <v>2362</v>
      </c>
      <c r="CM23" s="273">
        <v>1500</v>
      </c>
      <c r="CN23" s="272">
        <f t="shared" ref="CN23" si="40">CL23+CM23</f>
        <v>3862</v>
      </c>
      <c r="CO23" s="268"/>
      <c r="CP23" s="283">
        <f>CO19/CN23*100</f>
        <v>51.786639047125838</v>
      </c>
      <c r="CQ23" s="275">
        <f>MROUND(CN23+CO19,500)</f>
        <v>6000</v>
      </c>
    </row>
    <row r="24" spans="1:95" s="40" customFormat="1" ht="15" customHeight="1" x14ac:dyDescent="0.25">
      <c r="A24" s="267"/>
      <c r="B24" s="265"/>
      <c r="C24" s="336"/>
      <c r="D24" s="173" t="s">
        <v>87</v>
      </c>
      <c r="E24" s="45">
        <v>4</v>
      </c>
      <c r="F24" s="46">
        <f>IF(D24=Цены!$H$3,Цены!$L$3,IF(D24=Цены!$H$4,Цены!$L$4,IF(D24=Цены!$H$5,Цены!$L$5,IF(D24=Цены!$H$6,Цены!$L$6,IF(D24=Цены!$H$7,Цены!$L$7,IF(D24=Цены!$H$8,Цены!$L$8,IF(D24=Цены!$H$9,Цены!$L$9,IF(D24=Цены!$H$10,Цены!$L$10,IF(D24=Цены!$H$11,Цены!$L$11,IF(D24=Цены!$H$12,Цены!$L$12,IF(D24=Цены!$H$13,Цены!$L$13,IF(D24=Цены!$H$14,Цены!$L$14,IF(D24=Цены!$H$14,Цены!$L$14,IF(D24=Цены!$H$15,Цены!$L$15,IF(D24=Цены!$H$16,Цены!$L$16,IF(D24=Цены!$H$17,Цены!$L$17,IF(D24=Цены!$H$18,Цены!$L$18,IF(D24=Цены!$H$19,Цены!$L$19,IF(D24=Цены!$H$20,Цены!$L$20,IF(D24=Цены!$H$21,Цены!$L$21,IF(D24=Цены!$H$22,Цены!$L$22,IF(D24=Цены!$H$23,Цены!$L$23,IF(D24=Цены!$H$24,Цены!$L$24,IF(D24=Цены!$H$25,Цены!$L$25,IF(D24=Цены!$H$26,Цены!$L$26,IF(D24=Цены!$H$27,Цены!$L$27,IF(D24=Цены!$H$28,Цены!$L$28,IF(D24=Цены!$H$29,Цены!$L$29,IF(D24=Цены!$H$30,Цены!$L$30,IF(D24=Цены!$H$31,Цены!$L$31,IF(D24=Цены!$H$32,Цены!$L$32,IF(D24=Цены!$H$33,Цены!$L$33,IF(D24=Цены!$H$34,Цены!$L$34,IF(D24=Цены!$H$35,Цены!$L$35,IF(D24=Цены!$H$36,Цены!$L$36,IF(D24=Цены!$H$37,Цены!$L$37,IF(D24=Цены!$H$38,Цены!$L$38,IF(D24=Цены!$H$39,Цены!$L$39,IF(D24=Цены!$H$40,Цены!$L$40,IF(D24=Цены!$H$41,Цены!$L$41,IF(D24=Цены!$H$42,Цены!$L$42,IF(D24=Цены!$H$43,Цены!$L$43,IF(D24=Цены!$H$44,Цены!$L$44,IF(D24=Цены!$H$45,Цены!$L$45,IF(D24=Цены!$H$46,Цены!$L$46,IF(D24=Цены!$H$47,Цены!$L$47,IF(D24=Цены!$H$48,Цены!$L$48,IF(D24=Цены!$H$49,Цены!$L$49,IF(D24=Цены!$H$50,Цены!$L$50,IF(D24=Цены!$H$51,Цены!$L$51,IF(D24=Цены!$H$52,Цены!$L$52,IF(D24=Цены!$H$53,Цены!$L$53,IF(D24=Цены!$H$54,Цены!$L$54,IF(D24=Цены!$H$55,Цены!$L$55))))))))))))))))))))))))))))))))))))))))))))))))))))))</f>
        <v>1.2</v>
      </c>
      <c r="G24" s="339"/>
      <c r="H24" s="47">
        <f>IF(D24=Цены!$H$3,Цены!$K$3,IF(D24=Цены!$H$4,Цены!$K$4,IF(D24=Цены!$H$5,Цены!$K$5,IF(D24=Цены!$H$6,Цены!$K$6,IF(D24=Цены!$H$7,Цены!$K$7,IF(D24=Цены!$H$8,Цены!$K$8,IF(D24=Цены!$H$9,Цены!$K$9,IF(D24=Цены!$H$10,Цены!$K$10,IF(D24=Цены!$H$11,Цены!$K$11,IF(D24=Цены!$H$12,Цены!$K$12,IF(D24=Цены!$H$13,Цены!$K$13,IF(D24=Цены!$H$14,Цены!$K$14,IF(D24=Цены!$H$14,Цены!$K$14,IF(D24=Цены!$H$15,Цены!$K$15,IF(D24=Цены!$H$16,Цены!$K$16,IF(D24=Цены!$H$17,Цены!$K$17,IF(D24=Цены!$H$18,Цены!$K$18,IF(D24=Цены!$H$19,Цены!$K$19,IF(D24=Цены!$H$20,Цены!$K$20,IF(D24=Цены!$H$21,Цены!$K$21,IF(D24=Цены!$H$22,Цены!$K$22,IF(D24=Цены!$H$23,Цены!$K$23,IF(D24=Цены!$H$24,Цены!$K$24,IF(D24=Цены!$H$25,Цены!$K$25,IF(D24=Цены!$H$26,Цены!$K$26,IF(D24=Цены!$H$27,Цены!$K$27,IF(D24=Цены!$H$28,Цены!$K$28,IF(D24=Цены!$H$29,Цены!$K$29,IF(D24=Цены!$H$30,Цены!$K$30,IF(D24=Цены!$H$31,Цены!$K$31,IF(D24=Цены!$H$32,Цены!$K$32,IF(D24=Цены!$H$33,Цены!$K$33,IF(D24=Цены!$H$34,Цены!$K$34,IF(D24=Цены!$H$35,Цены!$K$35,IF(D24=Цены!$H$36,Цены!$K$36,IF(D24=Цены!$H$37,Цены!$K$37,IF(D24=Цены!$H$38,Цены!$K$38,IF(D24=Цены!$H$39,Цены!$K$39,IF(D24=Цены!$H$40,Цены!$K$40,IF(D24=Цены!$H$41,Цены!$K$41,IF(D24=Цены!$H$42,Цены!$K$42,IF(D24=Цены!$H$43,Цены!$K$43,IF(D24=Цены!$H$44,Цены!$K$44,IF(D24=Цены!$H$45,Цены!$K$45,IF(D24=Цены!$H$46,Цены!$K$46,IF(D24=Цены!$H$47,Цены!$K$47,IF(D24=Цены!$H$48,Цены!$K$48,IF(D24=Цены!$H$49,Цены!$K$49,IF(D24=Цены!$H$50,Цены!$K$50,IF(D24=Цены!$H$51,Цены!$K$51,IF(D24=Цены!$H$52,Цены!$K$52,IF(D24=Цены!$H$53,Цены!$K$53,IF(D24=Цены!$H$54,Цены!$K$54,IF(D24=Цены!$H$55,Цены!$K$55))))))))))))))))))))))))))))))))))))))))))))))))))))))</f>
        <v>378</v>
      </c>
      <c r="I24" s="286"/>
      <c r="J24" s="265"/>
      <c r="K24" s="272"/>
      <c r="L24" s="273"/>
      <c r="M24" s="273"/>
      <c r="N24" s="320"/>
      <c r="O24" s="332"/>
      <c r="P24" s="275"/>
      <c r="Q24" s="207" t="s">
        <v>148</v>
      </c>
      <c r="R24" s="37">
        <v>4</v>
      </c>
      <c r="S24" s="38">
        <f>IF(Q24=Цены!$H$3,Цены!$L$3,IF(Q24=Цены!$H$4,Цены!$L$4,IF(Q24=Цены!$H$5,Цены!$L$5,IF(Q24=Цены!$H$6,Цены!$L$6,IF(Q24=Цены!$H$7,Цены!$L$7,IF(Q24=Цены!$H$8,Цены!$L$8,IF(Q24=Цены!$H$9,Цены!$L$9,IF(Q24=Цены!$H$10,Цены!$L$10,IF(Q24=Цены!$H$11,Цены!$L$11,IF(Q24=Цены!$H$12,Цены!$L$12,IF(Q24=Цены!$H$13,Цены!$L$13,IF(Q24=Цены!$H$14,Цены!$L$14,IF(Q24=Цены!$H$14,Цены!$L$14,IF(Q24=Цены!$H$15,Цены!$L$15,IF(Q24=Цены!$H$16,Цены!$L$16,IF(Q24=Цены!$H$17,Цены!$L$17,IF(Q24=Цены!$H$18,Цены!$L$18,IF(Q24=Цены!$H$19,Цены!$L$19,IF(Q24=Цены!$H$20,Цены!$L$20,IF(Q24=Цены!$H$21,Цены!$L$21,IF(Q24=Цены!$H$22,Цены!$L$22,IF(Q24=Цены!$H$23,Цены!$L$23,IF(Q24=Цены!$H$24,Цены!$L$24,IF(Q24=Цены!$H$25,Цены!$L$25,IF(Q24=Цены!$H$26,Цены!$L$26,IF(Q24=Цены!$H$27,Цены!$L$27,IF(Q24=Цены!$H$28,Цены!$L$28,IF(Q24=Цены!$H$29,Цены!$L$29,IF(Q24=Цены!$H$30,Цены!$L$30,IF(Q24=Цены!$H$31,Цены!$L$31,IF(Q24=Цены!$H$32,Цены!$L$32,IF(Q24=Цены!$H$33,Цены!$L$33,IF(Q24=Цены!$H$34,Цены!$L$34,IF(Q24=Цены!$H$35,Цены!$L$35,IF(Q24=Цены!$H$36,Цены!$L$36,IF(Q24=Цены!$H$37,Цены!$L$37,IF(Q24=Цены!$H$38,Цены!$L$38,IF(Q24=Цены!$H$39,Цены!$L$39,IF(Q24=Цены!$H$40,Цены!$L$40,IF(Q24=Цены!$H$41,Цены!$L$41,IF(Q24=Цены!$H$42,Цены!$L$42,IF(Q24=Цены!$H$43,Цены!$L$43,IF(Q24=Цены!$H$44,Цены!$L$44,IF(Q24=Цены!$H$45,Цены!$L$45,IF(Q24=Цены!$H$46,Цены!$L$46,IF(Q24=Цены!$H$47,Цены!$L$47,IF(Q24=Цены!$H$48,Цены!$L$48,IF(Q24=Цены!$H$49,Цены!$L$49,IF(Q24=Цены!$H$50,Цены!$L$50,IF(Q24=Цены!$H$51,Цены!$L$51,IF(Q24=Цены!$H$52,Цены!$L$52,IF(Q24=Цены!$H$53,Цены!$L$53,IF(Q24=Цены!$H$54,Цены!$L$54,IF(Q24=Цены!$H$55,Цены!$L$55))))))))))))))))))))))))))))))))))))))))))))))))))))))</f>
        <v>1.1499999999999999</v>
      </c>
      <c r="T24" s="322"/>
      <c r="U24" s="161">
        <f>IF(Q24=Цены!$H$3,Цены!$K$3,IF(Q24=Цены!$H$4,Цены!$K$4,IF(Q24=Цены!$H$5,Цены!$K$5,IF(Q24=Цены!$H$6,Цены!$K$6,IF(Q24=Цены!$H$7,Цены!$K$7,IF(Q24=Цены!$H$8,Цены!$K$8,IF(Q24=Цены!$H$9,Цены!$K$9,IF(Q24=Цены!$H$10,Цены!$K$10,IF(Q24=Цены!$H$11,Цены!$K$11,IF(Q24=Цены!$H$12,Цены!$K$12,IF(Q24=Цены!$H$13,Цены!$K$13,IF(Q24=Цены!$H$14,Цены!$K$14,IF(Q24=Цены!$H$14,Цены!$K$14,IF(Q24=Цены!$H$15,Цены!$K$15,IF(Q24=Цены!$H$16,Цены!$K$16,IF(Q24=Цены!$H$17,Цены!$K$17,IF(Q24=Цены!$H$18,Цены!$K$18,IF(Q24=Цены!$H$19,Цены!$K$19,IF(Q24=Цены!$H$20,Цены!$K$20,IF(Q24=Цены!$H$21,Цены!$K$21,IF(Q24=Цены!$H$22,Цены!$K$22,IF(Q24=Цены!$H$23,Цены!$K$23,IF(Q24=Цены!$H$24,Цены!$K$24,IF(Q24=Цены!$H$25,Цены!$K$25,IF(Q24=Цены!$H$26,Цены!$K$26,IF(Q24=Цены!$H$27,Цены!$K$27,IF(Q24=Цены!$H$28,Цены!$K$28,IF(Q24=Цены!$H$29,Цены!$K$29,IF(Q24=Цены!$H$30,Цены!$K$30,IF(Q24=Цены!$H$31,Цены!$K$31,IF(Q24=Цены!$H$32,Цены!$K$32,IF(Q24=Цены!$H$33,Цены!$K$33,IF(Q24=Цены!$H$34,Цены!$K$34,IF(Q24=Цены!$H$35,Цены!$K$35,IF(Q24=Цены!$H$36,Цены!$K$36,IF(Q24=Цены!$H$37,Цены!$K$37,IF(Q24=Цены!$H$38,Цены!$K$38,IF(Q24=Цены!$H$39,Цены!$K$39,IF(Q24=Цены!$H$40,Цены!$K$40,IF(Q24=Цены!$H$41,Цены!$K$41,IF(Q24=Цены!$H$42,Цены!$K$42,IF(Q24=Цены!$H$43,Цены!$K$43,IF(Q24=Цены!$H$44,Цены!$K$44,IF(Q24=Цены!$H$45,Цены!$K$45,IF(Q24=Цены!$H$46,Цены!$K$46,IF(Q24=Цены!$H$47,Цены!$K$47,IF(Q24=Цены!$H$48,Цены!$K$48,IF(Q24=Цены!$H$49,Цены!$K$49,IF(Q24=Цены!$H$50,Цены!$K$50,IF(Q24=Цены!$H$51,Цены!$K$51,IF(Q24=Цены!$H$52,Цены!$K$52,IF(Q24=Цены!$H$53,Цены!$K$53,IF(Q24=Цены!$H$54,Цены!$K$54,IF(Q24=Цены!$H$55,Цены!$K$55))))))))))))))))))))))))))))))))))))))))))))))))))))))</f>
        <v>400</v>
      </c>
      <c r="V24" s="265"/>
      <c r="W24" s="265"/>
      <c r="X24" s="272"/>
      <c r="Y24" s="273"/>
      <c r="Z24" s="273"/>
      <c r="AA24" s="320"/>
      <c r="AB24" s="323"/>
      <c r="AC24" s="275"/>
      <c r="AD24" s="211" t="s">
        <v>70</v>
      </c>
      <c r="AE24" s="67">
        <v>4</v>
      </c>
      <c r="AF24" s="68">
        <f>IF(AD24=Цены!$H$3,Цены!$L$3,IF(AD24=Цены!$H$4,Цены!$L$4,IF(AD24=Цены!$H$5,Цены!$L$5,IF(AD24=Цены!$H$6,Цены!$L$6,IF(AD24=Цены!$H$7,Цены!$L$7,IF(AD24=Цены!$H$8,Цены!$L$8,IF(AD24=Цены!$H$9,Цены!$L$9,IF(AD24=Цены!$H$10,Цены!$L$10,IF(AD24=Цены!$H$11,Цены!$L$11,IF(AD24=Цены!$H$12,Цены!$L$12,IF(AD24=Цены!$H$13,Цены!$L$13,IF(AD24=Цены!$H$14,Цены!$L$14,IF(AD24=Цены!$H$14,Цены!$L$14,IF(AD24=Цены!$H$15,Цены!$L$15,IF(AD24=Цены!$H$16,Цены!$L$16,IF(AD24=Цены!$H$17,Цены!$L$17,IF(AD24=Цены!$H$18,Цены!$L$18,IF(AD24=Цены!$H$19,Цены!$L$19,IF(AD24=Цены!$H$20,Цены!$L$20,IF(AD24=Цены!$H$21,Цены!$L$21,IF(AD24=Цены!$H$22,Цены!$L$22,IF(AD24=Цены!$H$23,Цены!$L$23,IF(AD24=Цены!$H$24,Цены!$L$24,IF(AD24=Цены!$H$25,Цены!$L$25,IF(AD24=Цены!$H$26,Цены!$L$26,IF(AD24=Цены!$H$27,Цены!$L$27,IF(AD24=Цены!$H$28,Цены!$L$28,IF(AD24=Цены!$H$29,Цены!$L$29,IF(AD24=Цены!$H$30,Цены!$L$30,IF(AD24=Цены!$H$31,Цены!$L$31,IF(AD24=Цены!$H$32,Цены!$L$32,IF(AD24=Цены!$H$33,Цены!$L$33,IF(AD24=Цены!$H$34,Цены!$L$34,IF(AD24=Цены!$H$35,Цены!$L$35,IF(AD24=Цены!$H$36,Цены!$L$36,IF(AD24=Цены!$H$37,Цены!$L$37,IF(AD24=Цены!$H$38,Цены!$L$38,IF(AD24=Цены!$H$39,Цены!$L$39,IF(AD24=Цены!$H$40,Цены!$L$40,IF(AD24=Цены!$H$41,Цены!$L$41,IF(AD24=Цены!$H$42,Цены!$L$42,IF(AD24=Цены!$H$43,Цены!$L$43,IF(AD24=Цены!$H$44,Цены!$L$44,IF(AD24=Цены!$H$45,Цены!$L$45,IF(AD24=Цены!$H$46,Цены!$L$46,IF(AD24=Цены!$H$47,Цены!$L$47,IF(AD24=Цены!$H$48,Цены!$L$48,IF(AD24=Цены!$H$49,Цены!$L$49,IF(AD24=Цены!$H$50,Цены!$L$50,IF(AD24=Цены!$H$51,Цены!$L$51,IF(AD24=Цены!$H$52,Цены!$L$52,IF(AD24=Цены!$H$53,Цены!$L$53,IF(AD24=Цены!$H$54,Цены!$L$54,IF(AD24=Цены!$H$55,Цены!$L$55))))))))))))))))))))))))))))))))))))))))))))))))))))))</f>
        <v>2.4</v>
      </c>
      <c r="AG24" s="311"/>
      <c r="AH24" s="69">
        <f>IF(AD24=Цены!$H$3,Цены!$K$3,IF(AD24=Цены!$H$4,Цены!$K$4,IF(AD24=Цены!$H$5,Цены!$K$5,IF(AD24=Цены!$H$6,Цены!$K$6,IF(AD24=Цены!$H$7,Цены!$K$7,IF(AD24=Цены!$H$8,Цены!$K$8,IF(AD24=Цены!$H$9,Цены!$K$9,IF(AD24=Цены!$H$10,Цены!$K$10,IF(AD24=Цены!$H$11,Цены!$K$11,IF(AD24=Цены!$H$12,Цены!$K$12,IF(AD24=Цены!$H$13,Цены!$K$13,IF(AD24=Цены!$H$14,Цены!$K$14,IF(AD24=Цены!$H$14,Цены!$K$14,IF(AD24=Цены!$H$15,Цены!$K$15,IF(AD24=Цены!$H$16,Цены!$K$16,IF(AD24=Цены!$H$17,Цены!$K$17,IF(AD24=Цены!$H$18,Цены!$K$18,IF(AD24=Цены!$H$19,Цены!$K$19,IF(AD24=Цены!$H$20,Цены!$K$20,IF(AD24=Цены!$H$21,Цены!$K$21,IF(AD24=Цены!$H$22,Цены!$K$22,IF(AD24=Цены!$H$23,Цены!$K$23,IF(AD24=Цены!$H$24,Цены!$K$24,IF(AD24=Цены!$H$25,Цены!$K$25,IF(AD24=Цены!$H$26,Цены!$K$26,IF(AD24=Цены!$H$27,Цены!$K$27,IF(AD24=Цены!$H$28,Цены!$K$28,IF(AD24=Цены!$H$29,Цены!$K$29,IF(AD24=Цены!$H$30,Цены!$K$30,IF(AD24=Цены!$H$31,Цены!$K$31,IF(AD24=Цены!$H$32,Цены!$K$32,IF(AD24=Цены!$H$33,Цены!$K$33,IF(AD24=Цены!$H$34,Цены!$K$34,IF(AD24=Цены!$H$35,Цены!$K$35,IF(AD24=Цены!$H$36,Цены!$K$36,IF(AD24=Цены!$H$37,Цены!$K$37,IF(AD24=Цены!$H$38,Цены!$K$38,IF(AD24=Цены!$H$39,Цены!$K$39,IF(AD24=Цены!$H$40,Цены!$K$40,IF(AD24=Цены!$H$41,Цены!$K$41,IF(AD24=Цены!$H$42,Цены!$K$42,IF(AD24=Цены!$H$43,Цены!$K$43,IF(AD24=Цены!$H$44,Цены!$K$44,IF(AD24=Цены!$H$45,Цены!$K$45,IF(AD24=Цены!$H$46,Цены!$K$46,IF(AD24=Цены!$H$47,Цены!$K$47,IF(AD24=Цены!$H$48,Цены!$K$48,IF(AD24=Цены!$H$49,Цены!$K$49,IF(AD24=Цены!$H$50,Цены!$K$50,IF(AD24=Цены!$H$51,Цены!$K$51,IF(AD24=Цены!$H$52,Цены!$K$52,IF(AD24=Цены!$H$53,Цены!$K$53,IF(AD24=Цены!$H$54,Цены!$K$54,IF(AD24=Цены!$H$55,Цены!$K$55))))))))))))))))))))))))))))))))))))))))))))))))))))))</f>
        <v>469</v>
      </c>
      <c r="AI24" s="265"/>
      <c r="AJ24" s="265"/>
      <c r="AK24" s="272"/>
      <c r="AL24" s="273"/>
      <c r="AM24" s="273"/>
      <c r="AN24" s="268"/>
      <c r="AO24" s="312"/>
      <c r="AP24" s="275"/>
      <c r="AQ24" s="206" t="s">
        <v>89</v>
      </c>
      <c r="AR24" s="131">
        <v>3</v>
      </c>
      <c r="AS24" s="80">
        <f>IF(AQ24=Цены!$H$3,Цены!$L$3,IF(AQ24=Цены!$H$4,Цены!$L$4,IF(AQ24=Цены!$H$5,Цены!$L$5,IF(AQ24=Цены!$H$6,Цены!$L$6,IF(AQ24=Цены!$H$7,Цены!$L$7,IF(AQ24=Цены!$H$8,Цены!$L$8,IF(AQ24=Цены!$H$9,Цены!$L$9,IF(AQ24=Цены!$H$10,Цены!$L$10,IF(AQ24=Цены!$H$11,Цены!$L$11,IF(AQ24=Цены!$H$12,Цены!$L$12,IF(AQ24=Цены!$H$13,Цены!$L$13,IF(AQ24=Цены!$H$14,Цены!$L$14,IF(AQ24=Цены!$H$14,Цены!$L$14,IF(AQ24=Цены!$H$15,Цены!$L$15,IF(AQ24=Цены!$H$16,Цены!$L$16,IF(AQ24=Цены!$H$17,Цены!$L$17,IF(AQ24=Цены!$H$18,Цены!$L$18,IF(AQ24=Цены!$H$19,Цены!$L$19,IF(AQ24=Цены!$H$20,Цены!$L$20,IF(AQ24=Цены!$H$21,Цены!$L$21,IF(AQ24=Цены!$H$22,Цены!$L$22,IF(AQ24=Цены!$H$23,Цены!$L$23,IF(AQ24=Цены!$H$24,Цены!$L$24,IF(AQ24=Цены!$H$25,Цены!$L$25,IF(AQ24=Цены!$H$26,Цены!$L$26,IF(AQ24=Цены!$H$27,Цены!$L$27,IF(AQ24=Цены!$H$28,Цены!$L$28,IF(AQ24=Цены!$H$29,Цены!$L$29,IF(AQ24=Цены!$H$30,Цены!$L$30,IF(AQ24=Цены!$H$31,Цены!$L$31,IF(AQ24=Цены!$H$32,Цены!$L$32,IF(AQ24=Цены!$H$33,Цены!$L$33,IF(AQ24=Цены!$H$34,Цены!$L$34,IF(AQ24=Цены!$H$35,Цены!$L$35,IF(AQ24=Цены!$H$36,Цены!$L$36,IF(AQ24=Цены!$H$37,Цены!$L$37,IF(AQ24=Цены!$H$38,Цены!$L$38,IF(AQ24=Цены!$H$39,Цены!$L$39,IF(AQ24=Цены!$H$40,Цены!$L$40,IF(AQ24=Цены!$H$41,Цены!$L$41,IF(AQ24=Цены!$H$42,Цены!$L$42,IF(AQ24=Цены!$H$43,Цены!$L$43,IF(AQ24=Цены!$H$44,Цены!$L$44,IF(AQ24=Цены!$H$45,Цены!$L$45,IF(AQ24=Цены!$H$46,Цены!$L$46,IF(AQ24=Цены!$H$47,Цены!$L$47,IF(AQ24=Цены!$H$48,Цены!$L$48,IF(AQ24=Цены!$H$49,Цены!$L$49,IF(AQ24=Цены!$H$50,Цены!$L$50,IF(AQ24=Цены!$H$51,Цены!$L$51,IF(AQ24=Цены!$H$52,Цены!$L$52,IF(AQ24=Цены!$H$53,Цены!$L$53,IF(AQ24=Цены!$H$54,Цены!$L$54,IF(AQ24=Цены!$H$55,Цены!$L$55))))))))))))))))))))))))))))))))))))))))))))))))))))))</f>
        <v>1.1499999999999999</v>
      </c>
      <c r="AT24" s="271"/>
      <c r="AU24" s="81">
        <f>IF(AQ24=Цены!$H$3,Цены!$K$3,IF(AQ24=Цены!$H$4,Цены!$K$4,IF(AQ24=Цены!$H$5,Цены!$K$5,IF(AQ24=Цены!$H$6,Цены!$K$6,IF(AQ24=Цены!$H$7,Цены!$K$7,IF(AQ24=Цены!$H$8,Цены!$K$8,IF(AQ24=Цены!$H$9,Цены!$K$9,IF(AQ24=Цены!$H$10,Цены!$K$10,IF(AQ24=Цены!$H$11,Цены!$K$11,IF(AQ24=Цены!$H$12,Цены!$K$12,IF(AQ24=Цены!$H$13,Цены!$K$13,IF(AQ24=Цены!$H$14,Цены!$K$14,IF(AQ24=Цены!$H$14,Цены!$K$14,IF(AQ24=Цены!$H$15,Цены!$K$15,IF(AQ24=Цены!$H$16,Цены!$K$16,IF(AQ24=Цены!$H$17,Цены!$K$17,IF(AQ24=Цены!$H$18,Цены!$K$18,IF(AQ24=Цены!$H$19,Цены!$K$19,IF(AQ24=Цены!$H$20,Цены!$K$20,IF(AQ24=Цены!$H$21,Цены!$K$21,IF(AQ24=Цены!$H$22,Цены!$K$22,IF(AQ24=Цены!$H$23,Цены!$K$23,IF(AQ24=Цены!$H$24,Цены!$K$24,IF(AQ24=Цены!$H$25,Цены!$K$25,IF(AQ24=Цены!$H$26,Цены!$K$26,IF(AQ24=Цены!$H$27,Цены!$K$27,IF(AQ24=Цены!$H$28,Цены!$K$28,IF(AQ24=Цены!$H$29,Цены!$K$29,IF(AQ24=Цены!$H$30,Цены!$K$30,IF(AQ24=Цены!$H$31,Цены!$K$31,IF(AQ24=Цены!$H$32,Цены!$K$32,IF(AQ24=Цены!$H$33,Цены!$K$33,IF(AQ24=Цены!$H$34,Цены!$K$34,IF(AQ24=Цены!$H$35,Цены!$K$35,IF(AQ24=Цены!$H$36,Цены!$K$36,IF(AQ24=Цены!$H$37,Цены!$K$37,IF(AQ24=Цены!$H$38,Цены!$K$38,IF(AQ24=Цены!$H$39,Цены!$K$39,IF(AQ24=Цены!$H$40,Цены!$K$40,IF(AQ24=Цены!$H$41,Цены!$K$41,IF(AQ24=Цены!$H$42,Цены!$K$42,IF(AQ24=Цены!$H$43,Цены!$K$43,IF(AQ24=Цены!$H$44,Цены!$K$44,IF(AQ24=Цены!$H$45,Цены!$K$45,IF(AQ24=Цены!$H$46,Цены!$K$46,IF(AQ24=Цены!$H$47,Цены!$K$47,IF(AQ24=Цены!$H$48,Цены!$K$48,IF(AQ24=Цены!$H$49,Цены!$K$49,IF(AQ24=Цены!$H$50,Цены!$K$50,IF(AQ24=Цены!$H$51,Цены!$K$51,IF(AQ24=Цены!$H$52,Цены!$K$52,IF(AQ24=Цены!$H$53,Цены!$K$53,IF(AQ24=Цены!$H$54,Цены!$K$54,IF(AQ24=Цены!$H$55,Цены!$K$55))))))))))))))))))))))))))))))))))))))))))))))))))))))</f>
        <v>400</v>
      </c>
      <c r="AV24" s="265"/>
      <c r="AW24" s="265"/>
      <c r="AX24" s="272"/>
      <c r="AY24" s="273"/>
      <c r="AZ24" s="273"/>
      <c r="BA24" s="268"/>
      <c r="BB24" s="274"/>
      <c r="BC24" s="275"/>
      <c r="BD24" s="262"/>
      <c r="BE24" s="215" t="s">
        <v>96</v>
      </c>
      <c r="BF24" s="106">
        <v>3</v>
      </c>
      <c r="BG24" s="103">
        <f>IF(BE24=Цены!$H$3,Цены!$L$3,IF(BE24=Цены!$H$4,Цены!$L$4,IF(BE24=Цены!$H$5,Цены!$L$5,IF(BE24=Цены!$H$6,Цены!$L$6,IF(BE24=Цены!$H$7,Цены!$L$7,IF(BE24=Цены!$H$8,Цены!$L$8,IF(BE24=Цены!$H$9,Цены!$L$9,IF(BE24=Цены!$H$10,Цены!$L$10,IF(BE24=Цены!$H$11,Цены!$L$11,IF(BE24=Цены!$H$12,Цены!$L$12,IF(BE24=Цены!$H$13,Цены!$L$13,IF(BE24=Цены!$H$14,Цены!$L$14,IF(BE24=Цены!$H$14,Цены!$L$14,IF(BE24=Цены!$H$15,Цены!$L$15,IF(BE24=Цены!$H$16,Цены!$L$16,IF(BE24=Цены!$H$17,Цены!$L$17,IF(BE24=Цены!$H$18,Цены!$L$18,IF(BE24=Цены!$H$19,Цены!$L$19,IF(BE24=Цены!$H$20,Цены!$L$20,IF(BE24=Цены!$H$21,Цены!$L$21,IF(BE24=Цены!$H$22,Цены!$L$22,IF(BE24=Цены!$H$23,Цены!$L$23,IF(BE24=Цены!$H$24,Цены!$L$24,IF(BE24=Цены!$H$25,Цены!$L$25,IF(BE24=Цены!$H$26,Цены!$L$26,IF(BE24=Цены!$H$27,Цены!$L$27,IF(BE24=Цены!$H$28,Цены!$L$28,IF(BE24=Цены!$H$29,Цены!$L$29,IF(BE24=Цены!$H$30,Цены!$L$30,IF(BE24=Цены!$H$31,Цены!$L$31,IF(BE24=Цены!$H$32,Цены!$L$32,IF(BE24=Цены!$H$33,Цены!$L$33,IF(BE24=Цены!$H$34,Цены!$L$34,IF(BE24=Цены!$H$35,Цены!$L$35,IF(BE24=Цены!$H$36,Цены!$L$36,IF(BE24=Цены!$H$37,Цены!$L$37,IF(BE24=Цены!$H$38,Цены!$L$38,IF(BE24=Цены!$H$39,Цены!$L$39,IF(BE24=Цены!$H$40,Цены!$L$40,IF(BE24=Цены!$H$41,Цены!$L$41,IF(BE24=Цены!$H$42,Цены!$L$42,IF(BE24=Цены!$H$43,Цены!$L$43,IF(BE24=Цены!$H$44,Цены!$L$44,IF(BE24=Цены!$H$45,Цены!$L$45,IF(BE24=Цены!$H$46,Цены!$L$46,IF(BE24=Цены!$H$47,Цены!$L$47,IF(BE24=Цены!$H$48,Цены!$L$48,IF(BE24=Цены!$H$49,Цены!$L$49,IF(BE24=Цены!$H$50,Цены!$L$50,IF(BE24=Цены!$H$51,Цены!$L$51,IF(BE24=Цены!$H$52,Цены!$L$52,IF(BE24=Цены!$H$53,Цены!$L$53,IF(BE24=Цены!$H$54,Цены!$L$54,IF(BE24=Цены!$H$55,Цены!$L$55))))))))))))))))))))))))))))))))))))))))))))))))))))))</f>
        <v>0.78</v>
      </c>
      <c r="BH24" s="280"/>
      <c r="BI24" s="104">
        <f>IF(BE24=Цены!$H$3,Цены!$K$3,IF(BE24=Цены!$H$4,Цены!$K$4,IF(BE24=Цены!$H$5,Цены!$K$5,IF(BE24=Цены!$H$6,Цены!$K$6,IF(BE24=Цены!$H$7,Цены!$K$7,IF(BE24=Цены!$H$8,Цены!$K$8,IF(BE24=Цены!$H$9,Цены!$K$9,IF(BE24=Цены!$H$10,Цены!$K$10,IF(BE24=Цены!$H$11,Цены!$K$11,IF(BE24=Цены!$H$12,Цены!$K$12,IF(BE24=Цены!$H$13,Цены!$K$13,IF(BE24=Цены!$H$14,Цены!$K$14,IF(BE24=Цены!$H$14,Цены!$K$14,IF(BE24=Цены!$H$15,Цены!$K$15,IF(BE24=Цены!$H$16,Цены!$K$16,IF(BE24=Цены!$H$17,Цены!$K$17,IF(BE24=Цены!$H$18,Цены!$K$18,IF(BE24=Цены!$H$19,Цены!$K$19,IF(BE24=Цены!$H$20,Цены!$K$20,IF(BE24=Цены!$H$21,Цены!$K$21,IF(BE24=Цены!$H$22,Цены!$K$22,IF(BE24=Цены!$H$23,Цены!$K$23,IF(BE24=Цены!$H$24,Цены!$K$24,IF(BE24=Цены!$H$25,Цены!$K$25,IF(BE24=Цены!$H$26,Цены!$K$26,IF(BE24=Цены!$H$27,Цены!$K$27,IF(BE24=Цены!$H$28,Цены!$K$28,IF(BE24=Цены!$H$29,Цены!$K$29,IF(BE24=Цены!$H$30,Цены!$K$30,IF(BE24=Цены!$H$31,Цены!$K$31,IF(BE24=Цены!$H$32,Цены!$K$32,IF(BE24=Цены!$H$33,Цены!$K$33,IF(BE24=Цены!$H$34,Цены!$K$34,IF(BE24=Цены!$H$35,Цены!$K$35,IF(BE24=Цены!$H$36,Цены!$K$36,IF(BE24=Цены!$H$37,Цены!$K$37,IF(BE24=Цены!$H$38,Цены!$K$38,IF(BE24=Цены!$H$39,Цены!$K$39,IF(BE24=Цены!$H$40,Цены!$K$40,IF(BE24=Цены!$H$41,Цены!$K$41,IF(BE24=Цены!$H$42,Цены!$K$42,IF(BE24=Цены!$H$43,Цены!$K$43,IF(BE24=Цены!$H$44,Цены!$K$44,IF(BE24=Цены!$H$45,Цены!$K$45,IF(BE24=Цены!$H$46,Цены!$K$46,IF(BE24=Цены!$H$47,Цены!$K$47,IF(BE24=Цены!$H$48,Цены!$K$48,IF(BE24=Цены!$H$49,Цены!$K$49,IF(BE24=Цены!$H$50,Цены!$K$50,IF(BE24=Цены!$H$51,Цены!$K$51,IF(BE24=Цены!$H$52,Цены!$K$52,IF(BE24=Цены!$H$53,Цены!$K$53,IF(BE24=Цены!$H$54,Цены!$K$54,IF(BE24=Цены!$H$55,Цены!$K$55))))))))))))))))))))))))))))))))))))))))))))))))))))))</f>
        <v>447</v>
      </c>
      <c r="BJ24" s="265"/>
      <c r="BK24" s="265"/>
      <c r="BL24" s="272"/>
      <c r="BM24" s="273"/>
      <c r="BN24" s="273"/>
      <c r="BO24" s="268"/>
      <c r="BP24" s="281"/>
      <c r="BQ24" s="275"/>
      <c r="BR24" s="215" t="s">
        <v>96</v>
      </c>
      <c r="BS24" s="108">
        <v>2</v>
      </c>
      <c r="BT24" s="109">
        <f>IF(BR24=Цены!$H$3,Цены!$L$3,IF(BR24=Цены!$H$4,Цены!$L$4,IF(BR24=Цены!$H$5,Цены!$L$5,IF(BR24=Цены!$H$6,Цены!$L$6,IF(BR24=Цены!$H$7,Цены!$L$7,IF(BR24=Цены!$H$8,Цены!$L$8,IF(BR24=Цены!$H$9,Цены!$L$9,IF(BR24=Цены!$H$10,Цены!$L$10,IF(BR24=Цены!$H$11,Цены!$L$11,IF(BR24=Цены!$H$12,Цены!$L$12,IF(BR24=Цены!$H$13,Цены!$L$13,IF(BR24=Цены!$H$14,Цены!$L$14,IF(BR24=Цены!$H$14,Цены!$L$14,IF(BR24=Цены!$H$15,Цены!$L$15,IF(BR24=Цены!$H$16,Цены!$L$16,IF(BR24=Цены!$H$17,Цены!$L$17,IF(BR24=Цены!$H$18,Цены!$L$18,IF(BR24=Цены!$H$19,Цены!$L$19,IF(BR24=Цены!$H$20,Цены!$L$20,IF(BR24=Цены!$H$21,Цены!$L$21,IF(BR24=Цены!$H$22,Цены!$L$22,IF(BR24=Цены!$H$23,Цены!$L$23,IF(BR24=Цены!$H$24,Цены!$L$24,IF(BR24=Цены!$H$25,Цены!$L$25,IF(BR24=Цены!$H$26,Цены!$L$26,IF(BR24=Цены!$H$27,Цены!$L$27,IF(BR24=Цены!$H$28,Цены!$L$28,IF(BR24=Цены!$H$29,Цены!$L$29,IF(BR24=Цены!$H$30,Цены!$L$30,IF(BR24=Цены!$H$31,Цены!$L$31,IF(BR24=Цены!$H$32,Цены!$L$32,IF(BR24=Цены!$H$33,Цены!$L$33,IF(BR24=Цены!$H$34,Цены!$L$34,IF(BR24=Цены!$H$35,Цены!$L$35,IF(BR24=Цены!$H$36,Цены!$L$36,IF(BR24=Цены!$H$37,Цены!$L$37,IF(BR24=Цены!$H$38,Цены!$L$38,IF(BR24=Цены!$H$39,Цены!$L$39,IF(BR24=Цены!$H$40,Цены!$L$40,IF(BR24=Цены!$H$41,Цены!$L$41,IF(BR24=Цены!$H$42,Цены!$L$42,IF(BR24=Цены!$H$43,Цены!$L$43,IF(BR24=Цены!$H$44,Цены!$L$44,IF(BR24=Цены!$H$45,Цены!$L$45,IF(BR24=Цены!$H$46,Цены!$L$46,IF(BR24=Цены!$H$47,Цены!$L$47,IF(BR24=Цены!$H$48,Цены!$L$48,IF(BR24=Цены!$H$49,Цены!$L$49,IF(BR24=Цены!$H$50,Цены!$L$50,IF(BR24=Цены!$H$51,Цены!$L$51,IF(BR24=Цены!$H$52,Цены!$L$52,IF(BR24=Цены!$H$53,Цены!$L$53,IF(BR24=Цены!$H$54,Цены!$L$54,IF(BR24=Цены!$H$55,Цены!$L$55))))))))))))))))))))))))))))))))))))))))))))))))))))))</f>
        <v>0.78</v>
      </c>
      <c r="BU24" s="284"/>
      <c r="BV24" s="110">
        <f>IF(BR24=Цены!$H$3,Цены!$K$3,IF(BR24=Цены!$H$4,Цены!$K$4,IF(BR24=Цены!$H$5,Цены!$K$5,IF(BR24=Цены!$H$6,Цены!$K$6,IF(BR24=Цены!$H$7,Цены!$K$7,IF(BR24=Цены!$H$8,Цены!$K$8,IF(BR24=Цены!$H$9,Цены!$K$9,IF(BR24=Цены!$H$10,Цены!$K$10,IF(BR24=Цены!$H$11,Цены!$K$11,IF(BR24=Цены!$H$12,Цены!$K$12,IF(BR24=Цены!$H$13,Цены!$K$13,IF(BR24=Цены!$H$14,Цены!$K$14,IF(BR24=Цены!$H$14,Цены!$K$14,IF(BR24=Цены!$H$15,Цены!$K$15,IF(BR24=Цены!$H$16,Цены!$K$16,IF(BR24=Цены!$H$17,Цены!$K$17,IF(BR24=Цены!$H$18,Цены!$K$18,IF(BR24=Цены!$H$19,Цены!$K$19,IF(BR24=Цены!$H$20,Цены!$K$20,IF(BR24=Цены!$H$21,Цены!$K$21,IF(BR24=Цены!$H$22,Цены!$K$22,IF(BR24=Цены!$H$23,Цены!$K$23,IF(BR24=Цены!$H$24,Цены!$K$24,IF(BR24=Цены!$H$25,Цены!$K$25,IF(BR24=Цены!$H$26,Цены!$K$26,IF(BR24=Цены!$H$27,Цены!$K$27,IF(BR24=Цены!$H$28,Цены!$K$28,IF(BR24=Цены!$H$29,Цены!$K$29,IF(BR24=Цены!$H$30,Цены!$K$30,IF(BR24=Цены!$H$31,Цены!$K$31,IF(BR24=Цены!$H$32,Цены!$K$32,IF(BR24=Цены!$H$33,Цены!$K$33,IF(BR24=Цены!$H$34,Цены!$K$34,IF(BR24=Цены!$H$35,Цены!$K$35,IF(BR24=Цены!$H$36,Цены!$K$36,IF(BR24=Цены!$H$37,Цены!$K$37,IF(BR24=Цены!$H$38,Цены!$K$38,IF(BR24=Цены!$H$39,Цены!$K$39,IF(BR24=Цены!$H$40,Цены!$K$40,IF(BR24=Цены!$H$41,Цены!$K$41,IF(BR24=Цены!$H$42,Цены!$K$42,IF(BR24=Цены!$H$43,Цены!$K$43,IF(BR24=Цены!$H$44,Цены!$K$44,IF(BR24=Цены!$H$45,Цены!$K$45,IF(BR24=Цены!$H$46,Цены!$K$46,IF(BR24=Цены!$H$47,Цены!$K$47,IF(BR24=Цены!$H$48,Цены!$K$48,IF(BR24=Цены!$H$49,Цены!$K$49,IF(BR24=Цены!$H$50,Цены!$K$50,IF(BR24=Цены!$H$51,Цены!$K$51,IF(BR24=Цены!$H$52,Цены!$K$52,IF(BR24=Цены!$H$53,Цены!$K$53,IF(BR24=Цены!$H$54,Цены!$K$54,IF(BR24=Цены!$H$55,Цены!$K$55))))))))))))))))))))))))))))))))))))))))))))))))))))))</f>
        <v>447</v>
      </c>
      <c r="BW24" s="265"/>
      <c r="BX24" s="265"/>
      <c r="BY24" s="272"/>
      <c r="BZ24" s="273"/>
      <c r="CA24" s="273"/>
      <c r="CB24" s="268"/>
      <c r="CC24" s="285"/>
      <c r="CD24" s="275"/>
      <c r="CE24" s="173" t="s">
        <v>87</v>
      </c>
      <c r="CF24" s="112">
        <v>2</v>
      </c>
      <c r="CG24" s="113">
        <f>IF(CE24=Цены!$H$3,Цены!$L$3,IF(CE24=Цены!$H$4,Цены!$L$4,IF(CE24=Цены!$H$5,Цены!$L$5,IF(CE24=Цены!$H$6,Цены!$L$6,IF(CE24=Цены!$H$7,Цены!$L$7,IF(CE24=Цены!$H$8,Цены!$L$8,IF(CE24=Цены!$H$9,Цены!$L$9,IF(CE24=Цены!$H$10,Цены!$L$10,IF(CE24=Цены!$H$11,Цены!$L$11,IF(CE24=Цены!$H$12,Цены!$L$12,IF(CE24=Цены!$H$13,Цены!$L$13,IF(CE24=Цены!$H$14,Цены!$L$14,IF(CE24=Цены!$H$14,Цены!$L$14,IF(CE24=Цены!$H$15,Цены!$L$15,IF(CE24=Цены!$H$16,Цены!$L$16,IF(CE24=Цены!$H$17,Цены!$L$17,IF(CE24=Цены!$H$18,Цены!$L$18,IF(CE24=Цены!$H$19,Цены!$L$19,IF(CE24=Цены!$H$20,Цены!$L$20,IF(CE24=Цены!$H$21,Цены!$L$21,IF(CE24=Цены!$H$22,Цены!$L$22,IF(CE24=Цены!$H$23,Цены!$L$23,IF(CE24=Цены!$H$24,Цены!$L$24,IF(CE24=Цены!$H$25,Цены!$L$25,IF(CE24=Цены!$H$26,Цены!$L$26,IF(CE24=Цены!$H$27,Цены!$L$27,IF(CE24=Цены!$H$28,Цены!$L$28,IF(CE24=Цены!$H$29,Цены!$L$29,IF(CE24=Цены!$H$30,Цены!$L$30,IF(CE24=Цены!$H$31,Цены!$L$31,IF(CE24=Цены!$H$32,Цены!$L$32,IF(CE24=Цены!$H$33,Цены!$L$33,IF(CE24=Цены!$H$34,Цены!$L$34,IF(CE24=Цены!$H$35,Цены!$L$35,IF(CE24=Цены!$H$36,Цены!$L$36,IF(CE24=Цены!$H$37,Цены!$L$37,IF(CE24=Цены!$H$38,Цены!$L$38,IF(CE24=Цены!$H$39,Цены!$L$39,IF(CE24=Цены!$H$40,Цены!$L$40,IF(CE24=Цены!$H$41,Цены!$L$41,IF(CE24=Цены!$H$42,Цены!$L$42,IF(CE24=Цены!$H$43,Цены!$L$43,IF(CE24=Цены!$H$44,Цены!$L$44,IF(CE24=Цены!$H$45,Цены!$L$45,IF(CE24=Цены!$H$46,Цены!$L$46,IF(CE24=Цены!$H$47,Цены!$L$47,IF(CE24=Цены!$H$48,Цены!$L$48,IF(CE24=Цены!$H$49,Цены!$L$49,IF(CE24=Цены!$H$50,Цены!$L$50,IF(CE24=Цены!$H$51,Цены!$L$51,IF(CE24=Цены!$H$52,Цены!$L$52,IF(CE24=Цены!$H$53,Цены!$L$53,IF(CE24=Цены!$H$54,Цены!$L$54,IF(CE24=Цены!$H$55,Цены!$L$55))))))))))))))))))))))))))))))))))))))))))))))))))))))</f>
        <v>1.2</v>
      </c>
      <c r="CH24" s="282"/>
      <c r="CI24" s="114">
        <f>IF(CE24=Цены!$H$3,Цены!$K$3,IF(CE24=Цены!$H$4,Цены!$K$4,IF(CE24=Цены!$H$5,Цены!$K$5,IF(CE24=Цены!$H$6,Цены!$K$6,IF(CE24=Цены!$H$7,Цены!$K$7,IF(CE24=Цены!$H$8,Цены!$K$8,IF(CE24=Цены!$H$9,Цены!$K$9,IF(CE24=Цены!$H$10,Цены!$K$10,IF(CE24=Цены!$H$11,Цены!$K$11,IF(CE24=Цены!$H$12,Цены!$K$12,IF(CE24=Цены!$H$13,Цены!$K$13,IF(CE24=Цены!$H$14,Цены!$K$14,IF(CE24=Цены!$H$14,Цены!$K$14,IF(CE24=Цены!$H$15,Цены!$K$15,IF(CE24=Цены!$H$16,Цены!$K$16,IF(CE24=Цены!$H$17,Цены!$K$17,IF(CE24=Цены!$H$18,Цены!$K$18,IF(CE24=Цены!$H$19,Цены!$K$19,IF(CE24=Цены!$H$20,Цены!$K$20,IF(CE24=Цены!$H$21,Цены!$K$21,IF(CE24=Цены!$H$22,Цены!$K$22,IF(CE24=Цены!$H$23,Цены!$K$23,IF(CE24=Цены!$H$24,Цены!$K$24,IF(CE24=Цены!$H$25,Цены!$K$25,IF(CE24=Цены!$H$26,Цены!$K$26,IF(CE24=Цены!$H$27,Цены!$K$27,IF(CE24=Цены!$H$28,Цены!$K$28,IF(CE24=Цены!$H$29,Цены!$K$29,IF(CE24=Цены!$H$30,Цены!$K$30,IF(CE24=Цены!$H$31,Цены!$K$31,IF(CE24=Цены!$H$32,Цены!$K$32,IF(CE24=Цены!$H$33,Цены!$K$33,IF(CE24=Цены!$H$34,Цены!$K$34,IF(CE24=Цены!$H$35,Цены!$K$35,IF(CE24=Цены!$H$36,Цены!$K$36,IF(CE24=Цены!$H$37,Цены!$K$37,IF(CE24=Цены!$H$38,Цены!$K$38,IF(CE24=Цены!$H$39,Цены!$K$39,IF(CE24=Цены!$H$40,Цены!$K$40,IF(CE24=Цены!$H$41,Цены!$K$41,IF(CE24=Цены!$H$42,Цены!$K$42,IF(CE24=Цены!$H$43,Цены!$K$43,IF(CE24=Цены!$H$44,Цены!$K$44,IF(CE24=Цены!$H$45,Цены!$K$45,IF(CE24=Цены!$H$46,Цены!$K$46,IF(CE24=Цены!$H$47,Цены!$K$47,IF(CE24=Цены!$H$48,Цены!$K$48,IF(CE24=Цены!$H$49,Цены!$K$49,IF(CE24=Цены!$H$50,Цены!$K$50,IF(CE24=Цены!$H$51,Цены!$K$51,IF(CE24=Цены!$H$52,Цены!$K$52,IF(CE24=Цены!$H$53,Цены!$K$53,IF(CE24=Цены!$H$54,Цены!$K$54,IF(CE24=Цены!$H$55,Цены!$K$55))))))))))))))))))))))))))))))))))))))))))))))))))))))</f>
        <v>378</v>
      </c>
      <c r="CJ24" s="265"/>
      <c r="CK24" s="265"/>
      <c r="CL24" s="272"/>
      <c r="CM24" s="273"/>
      <c r="CN24" s="273"/>
      <c r="CO24" s="268"/>
      <c r="CP24" s="283"/>
      <c r="CQ24" s="275"/>
    </row>
    <row r="25" spans="1:95" s="40" customFormat="1" ht="15" customHeight="1" x14ac:dyDescent="0.25">
      <c r="A25" s="267"/>
      <c r="B25" s="265"/>
      <c r="C25" s="336"/>
      <c r="D25" s="174" t="s">
        <v>125</v>
      </c>
      <c r="E25" s="45">
        <v>4</v>
      </c>
      <c r="F25" s="46">
        <f>IF(D25=Цены!$H$3,Цены!$L$3,IF(D25=Цены!$H$4,Цены!$L$4,IF(D25=Цены!$H$5,Цены!$L$5,IF(D25=Цены!$H$6,Цены!$L$6,IF(D25=Цены!$H$7,Цены!$L$7,IF(D25=Цены!$H$8,Цены!$L$8,IF(D25=Цены!$H$9,Цены!$L$9,IF(D25=Цены!$H$10,Цены!$L$10,IF(D25=Цены!$H$11,Цены!$L$11,IF(D25=Цены!$H$12,Цены!$L$12,IF(D25=Цены!$H$13,Цены!$L$13,IF(D25=Цены!$H$14,Цены!$L$14,IF(D25=Цены!$H$14,Цены!$L$14,IF(D25=Цены!$H$15,Цены!$L$15,IF(D25=Цены!$H$16,Цены!$L$16,IF(D25=Цены!$H$17,Цены!$L$17,IF(D25=Цены!$H$18,Цены!$L$18,IF(D25=Цены!$H$19,Цены!$L$19,IF(D25=Цены!$H$20,Цены!$L$20,IF(D25=Цены!$H$21,Цены!$L$21,IF(D25=Цены!$H$22,Цены!$L$22,IF(D25=Цены!$H$23,Цены!$L$23,IF(D25=Цены!$H$24,Цены!$L$24,IF(D25=Цены!$H$25,Цены!$L$25,IF(D25=Цены!$H$26,Цены!$L$26,IF(D25=Цены!$H$27,Цены!$L$27,IF(D25=Цены!$H$28,Цены!$L$28,IF(D25=Цены!$H$29,Цены!$L$29,IF(D25=Цены!$H$30,Цены!$L$30,IF(D25=Цены!$H$31,Цены!$L$31,IF(D25=Цены!$H$32,Цены!$L$32,IF(D25=Цены!$H$33,Цены!$L$33,IF(D25=Цены!$H$34,Цены!$L$34,IF(D25=Цены!$H$35,Цены!$L$35,IF(D25=Цены!$H$36,Цены!$L$36,IF(D25=Цены!$H$37,Цены!$L$37,IF(D25=Цены!$H$38,Цены!$L$38,IF(D25=Цены!$H$39,Цены!$L$39,IF(D25=Цены!$H$40,Цены!$L$40,IF(D25=Цены!$H$41,Цены!$L$41,IF(D25=Цены!$H$42,Цены!$L$42,IF(D25=Цены!$H$43,Цены!$L$43,IF(D25=Цены!$H$44,Цены!$L$44,IF(D25=Цены!$H$45,Цены!$L$45,IF(D25=Цены!$H$46,Цены!$L$46,IF(D25=Цены!$H$47,Цены!$L$47,IF(D25=Цены!$H$48,Цены!$L$48,IF(D25=Цены!$H$49,Цены!$L$49,IF(D25=Цены!$H$50,Цены!$L$50,IF(D25=Цены!$H$51,Цены!$L$51,IF(D25=Цены!$H$52,Цены!$L$52,IF(D25=Цены!$H$53,Цены!$L$53,IF(D25=Цены!$H$54,Цены!$L$54,IF(D25=Цены!$H$55,Цены!$L$55))))))))))))))))))))))))))))))))))))))))))))))))))))))</f>
        <v>0.39</v>
      </c>
      <c r="G25" s="339"/>
      <c r="H25" s="47">
        <f>IF(D25=Цены!$H$3,Цены!$K$3,IF(D25=Цены!$H$4,Цены!$K$4,IF(D25=Цены!$H$5,Цены!$K$5,IF(D25=Цены!$H$6,Цены!$K$6,IF(D25=Цены!$H$7,Цены!$K$7,IF(D25=Цены!$H$8,Цены!$K$8,IF(D25=Цены!$H$9,Цены!$K$9,IF(D25=Цены!$H$10,Цены!$K$10,IF(D25=Цены!$H$11,Цены!$K$11,IF(D25=Цены!$H$12,Цены!$K$12,IF(D25=Цены!$H$13,Цены!$K$13,IF(D25=Цены!$H$14,Цены!$K$14,IF(D25=Цены!$H$14,Цены!$K$14,IF(D25=Цены!$H$15,Цены!$K$15,IF(D25=Цены!$H$16,Цены!$K$16,IF(D25=Цены!$H$17,Цены!$K$17,IF(D25=Цены!$H$18,Цены!$K$18,IF(D25=Цены!$H$19,Цены!$K$19,IF(D25=Цены!$H$20,Цены!$K$20,IF(D25=Цены!$H$21,Цены!$K$21,IF(D25=Цены!$H$22,Цены!$K$22,IF(D25=Цены!$H$23,Цены!$K$23,IF(D25=Цены!$H$24,Цены!$K$24,IF(D25=Цены!$H$25,Цены!$K$25,IF(D25=Цены!$H$26,Цены!$K$26,IF(D25=Цены!$H$27,Цены!$K$27,IF(D25=Цены!$H$28,Цены!$K$28,IF(D25=Цены!$H$29,Цены!$K$29,IF(D25=Цены!$H$30,Цены!$K$30,IF(D25=Цены!$H$31,Цены!$K$31,IF(D25=Цены!$H$32,Цены!$K$32,IF(D25=Цены!$H$33,Цены!$K$33,IF(D25=Цены!$H$34,Цены!$K$34,IF(D25=Цены!$H$35,Цены!$K$35,IF(D25=Цены!$H$36,Цены!$K$36,IF(D25=Цены!$H$37,Цены!$K$37,IF(D25=Цены!$H$38,Цены!$K$38,IF(D25=Цены!$H$39,Цены!$K$39,IF(D25=Цены!$H$40,Цены!$K$40,IF(D25=Цены!$H$41,Цены!$K$41,IF(D25=Цены!$H$42,Цены!$K$42,IF(D25=Цены!$H$43,Цены!$K$43,IF(D25=Цены!$H$44,Цены!$K$44,IF(D25=Цены!$H$45,Цены!$K$45,IF(D25=Цены!$H$46,Цены!$K$46,IF(D25=Цены!$H$47,Цены!$K$47,IF(D25=Цены!$H$48,Цены!$K$48,IF(D25=Цены!$H$49,Цены!$K$49,IF(D25=Цены!$H$50,Цены!$K$50,IF(D25=Цены!$H$51,Цены!$K$51,IF(D25=Цены!$H$52,Цены!$K$52,IF(D25=Цены!$H$53,Цены!$K$53,IF(D25=Цены!$H$54,Цены!$K$54,IF(D25=Цены!$H$55,Цены!$K$55))))))))))))))))))))))))))))))))))))))))))))))))))))))</f>
        <v>822</v>
      </c>
      <c r="I25" s="286"/>
      <c r="J25" s="265"/>
      <c r="K25" s="272"/>
      <c r="L25" s="273"/>
      <c r="M25" s="273"/>
      <c r="N25" s="320"/>
      <c r="O25" s="332"/>
      <c r="P25" s="275"/>
      <c r="Q25" s="174"/>
      <c r="R25" s="37"/>
      <c r="S25" s="38" t="b">
        <f>IF(Q25=Цены!$H$3,Цены!$L$3,IF(Q25=Цены!$H$4,Цены!$L$4,IF(Q25=Цены!$H$5,Цены!$L$5,IF(Q25=Цены!$H$6,Цены!$L$6,IF(Q25=Цены!$H$7,Цены!$L$7,IF(Q25=Цены!$H$8,Цены!$L$8,IF(Q25=Цены!$H$9,Цены!$L$9,IF(Q25=Цены!$H$10,Цены!$L$10,IF(Q25=Цены!$H$11,Цены!$L$11,IF(Q25=Цены!$H$12,Цены!$L$12,IF(Q25=Цены!$H$13,Цены!$L$13,IF(Q25=Цены!$H$14,Цены!$L$14,IF(Q25=Цены!$H$14,Цены!$L$14,IF(Q25=Цены!$H$15,Цены!$L$15,IF(Q25=Цены!$H$16,Цены!$L$16,IF(Q25=Цены!$H$17,Цены!$L$17,IF(Q25=Цены!$H$18,Цены!$L$18,IF(Q25=Цены!$H$19,Цены!$L$19,IF(Q25=Цены!$H$20,Цены!$L$20,IF(Q25=Цены!$H$21,Цены!$L$21,IF(Q25=Цены!$H$22,Цены!$L$22,IF(Q25=Цены!$H$23,Цены!$L$23,IF(Q25=Цены!$H$24,Цены!$L$24,IF(Q25=Цены!$H$25,Цены!$L$25,IF(Q25=Цены!$H$26,Цены!$L$26,IF(Q25=Цены!$H$27,Цены!$L$27,IF(Q25=Цены!$H$28,Цены!$L$28,IF(Q25=Цены!$H$29,Цены!$L$29,IF(Q25=Цены!$H$30,Цены!$L$30,IF(Q25=Цены!$H$31,Цены!$L$31,IF(Q25=Цены!$H$32,Цены!$L$32,IF(Q25=Цены!$H$33,Цены!$L$33,IF(Q25=Цены!$H$34,Цены!$L$34,IF(Q25=Цены!$H$35,Цены!$L$35,IF(Q25=Цены!$H$36,Цены!$L$36,IF(Q25=Цены!$H$37,Цены!$L$37,IF(Q25=Цены!$H$38,Цены!$L$38,IF(Q25=Цены!$H$39,Цены!$L$39,IF(Q25=Цены!$H$40,Цены!$L$40,IF(Q25=Цены!$H$41,Цены!$L$41,IF(Q25=Цены!$H$42,Цены!$L$42,IF(Q25=Цены!$H$43,Цены!$L$43,IF(Q25=Цены!$H$44,Цены!$L$44,IF(Q25=Цены!$H$45,Цены!$L$45,IF(Q25=Цены!$H$46,Цены!$L$46,IF(Q25=Цены!$H$47,Цены!$L$47,IF(Q25=Цены!$H$48,Цены!$L$48,IF(Q25=Цены!$H$49,Цены!$L$49,IF(Q25=Цены!$H$50,Цены!$L$50,IF(Q25=Цены!$H$51,Цены!$L$51,IF(Q25=Цены!$H$52,Цены!$L$52,IF(Q25=Цены!$H$53,Цены!$L$53,IF(Q25=Цены!$H$54,Цены!$L$54,IF(Q25=Цены!$H$55,Цены!$L$55))))))))))))))))))))))))))))))))))))))))))))))))))))))</f>
        <v>0</v>
      </c>
      <c r="T25" s="322"/>
      <c r="U25" s="161" t="b">
        <f>IF(Q25=Цены!$H$3,Цены!$K$3,IF(Q25=Цены!$H$4,Цены!$K$4,IF(Q25=Цены!$H$5,Цены!$K$5,IF(Q25=Цены!$H$6,Цены!$K$6,IF(Q25=Цены!$H$7,Цены!$K$7,IF(Q25=Цены!$H$8,Цены!$K$8,IF(Q25=Цены!$H$9,Цены!$K$9,IF(Q25=Цены!$H$10,Цены!$K$10,IF(Q25=Цены!$H$11,Цены!$K$11,IF(Q25=Цены!$H$12,Цены!$K$12,IF(Q25=Цены!$H$13,Цены!$K$13,IF(Q25=Цены!$H$14,Цены!$K$14,IF(Q25=Цены!$H$14,Цены!$K$14,IF(Q25=Цены!$H$15,Цены!$K$15,IF(Q25=Цены!$H$16,Цены!$K$16,IF(Q25=Цены!$H$17,Цены!$K$17,IF(Q25=Цены!$H$18,Цены!$K$18,IF(Q25=Цены!$H$19,Цены!$K$19,IF(Q25=Цены!$H$20,Цены!$K$20,IF(Q25=Цены!$H$21,Цены!$K$21,IF(Q25=Цены!$H$22,Цены!$K$22,IF(Q25=Цены!$H$23,Цены!$K$23,IF(Q25=Цены!$H$24,Цены!$K$24,IF(Q25=Цены!$H$25,Цены!$K$25,IF(Q25=Цены!$H$26,Цены!$K$26,IF(Q25=Цены!$H$27,Цены!$K$27,IF(Q25=Цены!$H$28,Цены!$K$28,IF(Q25=Цены!$H$29,Цены!$K$29,IF(Q25=Цены!$H$30,Цены!$K$30,IF(Q25=Цены!$H$31,Цены!$K$31,IF(Q25=Цены!$H$32,Цены!$K$32,IF(Q25=Цены!$H$33,Цены!$K$33,IF(Q25=Цены!$H$34,Цены!$K$34,IF(Q25=Цены!$H$35,Цены!$K$35,IF(Q25=Цены!$H$36,Цены!$K$36,IF(Q25=Цены!$H$37,Цены!$K$37,IF(Q25=Цены!$H$38,Цены!$K$38,IF(Q25=Цены!$H$39,Цены!$K$39,IF(Q25=Цены!$H$40,Цены!$K$40,IF(Q25=Цены!$H$41,Цены!$K$41,IF(Q25=Цены!$H$42,Цены!$K$42,IF(Q25=Цены!$H$43,Цены!$K$43,IF(Q25=Цены!$H$44,Цены!$K$44,IF(Q25=Цены!$H$45,Цены!$K$45,IF(Q25=Цены!$H$46,Цены!$K$46,IF(Q25=Цены!$H$47,Цены!$K$47,IF(Q25=Цены!$H$48,Цены!$K$48,IF(Q25=Цены!$H$49,Цены!$K$49,IF(Q25=Цены!$H$50,Цены!$K$50,IF(Q25=Цены!$H$51,Цены!$K$51,IF(Q25=Цены!$H$52,Цены!$K$52,IF(Q25=Цены!$H$53,Цены!$K$53,IF(Q25=Цены!$H$54,Цены!$K$54,IF(Q25=Цены!$H$55,Цены!$K$55))))))))))))))))))))))))))))))))))))))))))))))))))))))</f>
        <v>0</v>
      </c>
      <c r="V25" s="265"/>
      <c r="W25" s="265"/>
      <c r="X25" s="272"/>
      <c r="Y25" s="273"/>
      <c r="Z25" s="273"/>
      <c r="AA25" s="320"/>
      <c r="AB25" s="323"/>
      <c r="AC25" s="275"/>
      <c r="AD25" s="174" t="s">
        <v>95</v>
      </c>
      <c r="AE25" s="67">
        <v>5</v>
      </c>
      <c r="AF25" s="68">
        <f>IF(AD25=Цены!$H$3,Цены!$L$3,IF(AD25=Цены!$H$4,Цены!$L$4,IF(AD25=Цены!$H$5,Цены!$L$5,IF(AD25=Цены!$H$6,Цены!$L$6,IF(AD25=Цены!$H$7,Цены!$L$7,IF(AD25=Цены!$H$8,Цены!$L$8,IF(AD25=Цены!$H$9,Цены!$L$9,IF(AD25=Цены!$H$10,Цены!$L$10,IF(AD25=Цены!$H$11,Цены!$L$11,IF(AD25=Цены!$H$12,Цены!$L$12,IF(AD25=Цены!$H$13,Цены!$L$13,IF(AD25=Цены!$H$14,Цены!$L$14,IF(AD25=Цены!$H$14,Цены!$L$14,IF(AD25=Цены!$H$15,Цены!$L$15,IF(AD25=Цены!$H$16,Цены!$L$16,IF(AD25=Цены!$H$17,Цены!$L$17,IF(AD25=Цены!$H$18,Цены!$L$18,IF(AD25=Цены!$H$19,Цены!$L$19,IF(AD25=Цены!$H$20,Цены!$L$20,IF(AD25=Цены!$H$21,Цены!$L$21,IF(AD25=Цены!$H$22,Цены!$L$22,IF(AD25=Цены!$H$23,Цены!$L$23,IF(AD25=Цены!$H$24,Цены!$L$24,IF(AD25=Цены!$H$25,Цены!$L$25,IF(AD25=Цены!$H$26,Цены!$L$26,IF(AD25=Цены!$H$27,Цены!$L$27,IF(AD25=Цены!$H$28,Цены!$L$28,IF(AD25=Цены!$H$29,Цены!$L$29,IF(AD25=Цены!$H$30,Цены!$L$30,IF(AD25=Цены!$H$31,Цены!$L$31,IF(AD25=Цены!$H$32,Цены!$L$32,IF(AD25=Цены!$H$33,Цены!$L$33,IF(AD25=Цены!$H$34,Цены!$L$34,IF(AD25=Цены!$H$35,Цены!$L$35,IF(AD25=Цены!$H$36,Цены!$L$36,IF(AD25=Цены!$H$37,Цены!$L$37,IF(AD25=Цены!$H$38,Цены!$L$38,IF(AD25=Цены!$H$39,Цены!$L$39,IF(AD25=Цены!$H$40,Цены!$L$40,IF(AD25=Цены!$H$41,Цены!$L$41,IF(AD25=Цены!$H$42,Цены!$L$42,IF(AD25=Цены!$H$43,Цены!$L$43,IF(AD25=Цены!$H$44,Цены!$L$44,IF(AD25=Цены!$H$45,Цены!$L$45,IF(AD25=Цены!$H$46,Цены!$L$46,IF(AD25=Цены!$H$47,Цены!$L$47,IF(AD25=Цены!$H$48,Цены!$L$48,IF(AD25=Цены!$H$49,Цены!$L$49,IF(AD25=Цены!$H$50,Цены!$L$50,IF(AD25=Цены!$H$51,Цены!$L$51,IF(AD25=Цены!$H$52,Цены!$L$52,IF(AD25=Цены!$H$53,Цены!$L$53,IF(AD25=Цены!$H$54,Цены!$L$54,IF(AD25=Цены!$H$55,Цены!$L$55))))))))))))))))))))))))))))))))))))))))))))))))))))))</f>
        <v>2.6</v>
      </c>
      <c r="AG25" s="311"/>
      <c r="AH25" s="69">
        <f>IF(AD25=Цены!$H$3,Цены!$K$3,IF(AD25=Цены!$H$4,Цены!$K$4,IF(AD25=Цены!$H$5,Цены!$K$5,IF(AD25=Цены!$H$6,Цены!$K$6,IF(AD25=Цены!$H$7,Цены!$K$7,IF(AD25=Цены!$H$8,Цены!$K$8,IF(AD25=Цены!$H$9,Цены!$K$9,IF(AD25=Цены!$H$10,Цены!$K$10,IF(AD25=Цены!$H$11,Цены!$K$11,IF(AD25=Цены!$H$12,Цены!$K$12,IF(AD25=Цены!$H$13,Цены!$K$13,IF(AD25=Цены!$H$14,Цены!$K$14,IF(AD25=Цены!$H$14,Цены!$K$14,IF(AD25=Цены!$H$15,Цены!$K$15,IF(AD25=Цены!$H$16,Цены!$K$16,IF(AD25=Цены!$H$17,Цены!$K$17,IF(AD25=Цены!$H$18,Цены!$K$18,IF(AD25=Цены!$H$19,Цены!$K$19,IF(AD25=Цены!$H$20,Цены!$K$20,IF(AD25=Цены!$H$21,Цены!$K$21,IF(AD25=Цены!$H$22,Цены!$K$22,IF(AD25=Цены!$H$23,Цены!$K$23,IF(AD25=Цены!$H$24,Цены!$K$24,IF(AD25=Цены!$H$25,Цены!$K$25,IF(AD25=Цены!$H$26,Цены!$K$26,IF(AD25=Цены!$H$27,Цены!$K$27,IF(AD25=Цены!$H$28,Цены!$K$28,IF(AD25=Цены!$H$29,Цены!$K$29,IF(AD25=Цены!$H$30,Цены!$K$30,IF(AD25=Цены!$H$31,Цены!$K$31,IF(AD25=Цены!$H$32,Цены!$K$32,IF(AD25=Цены!$H$33,Цены!$K$33,IF(AD25=Цены!$H$34,Цены!$K$34,IF(AD25=Цены!$H$35,Цены!$K$35,IF(AD25=Цены!$H$36,Цены!$K$36,IF(AD25=Цены!$H$37,Цены!$K$37,IF(AD25=Цены!$H$38,Цены!$K$38,IF(AD25=Цены!$H$39,Цены!$K$39,IF(AD25=Цены!$H$40,Цены!$K$40,IF(AD25=Цены!$H$41,Цены!$K$41,IF(AD25=Цены!$H$42,Цены!$K$42,IF(AD25=Цены!$H$43,Цены!$K$43,IF(AD25=Цены!$H$44,Цены!$K$44,IF(AD25=Цены!$H$45,Цены!$K$45,IF(AD25=Цены!$H$46,Цены!$K$46,IF(AD25=Цены!$H$47,Цены!$K$47,IF(AD25=Цены!$H$48,Цены!$K$48,IF(AD25=Цены!$H$49,Цены!$K$49,IF(AD25=Цены!$H$50,Цены!$K$50,IF(AD25=Цены!$H$51,Цены!$K$51,IF(AD25=Цены!$H$52,Цены!$K$52,IF(AD25=Цены!$H$53,Цены!$K$53,IF(AD25=Цены!$H$54,Цены!$K$54,IF(AD25=Цены!$H$55,Цены!$K$55))))))))))))))))))))))))))))))))))))))))))))))))))))))</f>
        <v>552</v>
      </c>
      <c r="AI25" s="265"/>
      <c r="AJ25" s="265"/>
      <c r="AK25" s="272"/>
      <c r="AL25" s="273"/>
      <c r="AM25" s="273"/>
      <c r="AN25" s="268"/>
      <c r="AO25" s="312"/>
      <c r="AP25" s="275"/>
      <c r="AQ25" s="174" t="s">
        <v>147</v>
      </c>
      <c r="AR25" s="131">
        <v>3</v>
      </c>
      <c r="AS25" s="80">
        <f>IF(AQ25=Цены!$H$3,Цены!$L$3,IF(AQ25=Цены!$H$4,Цены!$L$4,IF(AQ25=Цены!$H$5,Цены!$L$5,IF(AQ25=Цены!$H$6,Цены!$L$6,IF(AQ25=Цены!$H$7,Цены!$L$7,IF(AQ25=Цены!$H$8,Цены!$L$8,IF(AQ25=Цены!$H$9,Цены!$L$9,IF(AQ25=Цены!$H$10,Цены!$L$10,IF(AQ25=Цены!$H$11,Цены!$L$11,IF(AQ25=Цены!$H$12,Цены!$L$12,IF(AQ25=Цены!$H$13,Цены!$L$13,IF(AQ25=Цены!$H$14,Цены!$L$14,IF(AQ25=Цены!$H$14,Цены!$L$14,IF(AQ25=Цены!$H$15,Цены!$L$15,IF(AQ25=Цены!$H$16,Цены!$L$16,IF(AQ25=Цены!$H$17,Цены!$L$17,IF(AQ25=Цены!$H$18,Цены!$L$18,IF(AQ25=Цены!$H$19,Цены!$L$19,IF(AQ25=Цены!$H$20,Цены!$L$20,IF(AQ25=Цены!$H$21,Цены!$L$21,IF(AQ25=Цены!$H$22,Цены!$L$22,IF(AQ25=Цены!$H$23,Цены!$L$23,IF(AQ25=Цены!$H$24,Цены!$L$24,IF(AQ25=Цены!$H$25,Цены!$L$25,IF(AQ25=Цены!$H$26,Цены!$L$26,IF(AQ25=Цены!$H$27,Цены!$L$27,IF(AQ25=Цены!$H$28,Цены!$L$28,IF(AQ25=Цены!$H$29,Цены!$L$29,IF(AQ25=Цены!$H$30,Цены!$L$30,IF(AQ25=Цены!$H$31,Цены!$L$31,IF(AQ25=Цены!$H$32,Цены!$L$32,IF(AQ25=Цены!$H$33,Цены!$L$33,IF(AQ25=Цены!$H$34,Цены!$L$34,IF(AQ25=Цены!$H$35,Цены!$L$35,IF(AQ25=Цены!$H$36,Цены!$L$36,IF(AQ25=Цены!$H$37,Цены!$L$37,IF(AQ25=Цены!$H$38,Цены!$L$38,IF(AQ25=Цены!$H$39,Цены!$L$39,IF(AQ25=Цены!$H$40,Цены!$L$40,IF(AQ25=Цены!$H$41,Цены!$L$41,IF(AQ25=Цены!$H$42,Цены!$L$42,IF(AQ25=Цены!$H$43,Цены!$L$43,IF(AQ25=Цены!$H$44,Цены!$L$44,IF(AQ25=Цены!$H$45,Цены!$L$45,IF(AQ25=Цены!$H$46,Цены!$L$46,IF(AQ25=Цены!$H$47,Цены!$L$47,IF(AQ25=Цены!$H$48,Цены!$L$48,IF(AQ25=Цены!$H$49,Цены!$L$49,IF(AQ25=Цены!$H$50,Цены!$L$50,IF(AQ25=Цены!$H$51,Цены!$L$51,IF(AQ25=Цены!$H$52,Цены!$L$52,IF(AQ25=Цены!$H$53,Цены!$L$53,IF(AQ25=Цены!$H$54,Цены!$L$54,IF(AQ25=Цены!$H$55,Цены!$L$55))))))))))))))))))))))))))))))))))))))))))))))))))))))</f>
        <v>2.6</v>
      </c>
      <c r="AT25" s="271"/>
      <c r="AU25" s="81">
        <f>IF(AQ25=Цены!$H$3,Цены!$K$3,IF(AQ25=Цены!$H$4,Цены!$K$4,IF(AQ25=Цены!$H$5,Цены!$K$5,IF(AQ25=Цены!$H$6,Цены!$K$6,IF(AQ25=Цены!$H$7,Цены!$K$7,IF(AQ25=Цены!$H$8,Цены!$K$8,IF(AQ25=Цены!$H$9,Цены!$K$9,IF(AQ25=Цены!$H$10,Цены!$K$10,IF(AQ25=Цены!$H$11,Цены!$K$11,IF(AQ25=Цены!$H$12,Цены!$K$12,IF(AQ25=Цены!$H$13,Цены!$K$13,IF(AQ25=Цены!$H$14,Цены!$K$14,IF(AQ25=Цены!$H$14,Цены!$K$14,IF(AQ25=Цены!$H$15,Цены!$K$15,IF(AQ25=Цены!$H$16,Цены!$K$16,IF(AQ25=Цены!$H$17,Цены!$K$17,IF(AQ25=Цены!$H$18,Цены!$K$18,IF(AQ25=Цены!$H$19,Цены!$K$19,IF(AQ25=Цены!$H$20,Цены!$K$20,IF(AQ25=Цены!$H$21,Цены!$K$21,IF(AQ25=Цены!$H$22,Цены!$K$22,IF(AQ25=Цены!$H$23,Цены!$K$23,IF(AQ25=Цены!$H$24,Цены!$K$24,IF(AQ25=Цены!$H$25,Цены!$K$25,IF(AQ25=Цены!$H$26,Цены!$K$26,IF(AQ25=Цены!$H$27,Цены!$K$27,IF(AQ25=Цены!$H$28,Цены!$K$28,IF(AQ25=Цены!$H$29,Цены!$K$29,IF(AQ25=Цены!$H$30,Цены!$K$30,IF(AQ25=Цены!$H$31,Цены!$K$31,IF(AQ25=Цены!$H$32,Цены!$K$32,IF(AQ25=Цены!$H$33,Цены!$K$33,IF(AQ25=Цены!$H$34,Цены!$K$34,IF(AQ25=Цены!$H$35,Цены!$K$35,IF(AQ25=Цены!$H$36,Цены!$K$36,IF(AQ25=Цены!$H$37,Цены!$K$37,IF(AQ25=Цены!$H$38,Цены!$K$38,IF(AQ25=Цены!$H$39,Цены!$K$39,IF(AQ25=Цены!$H$40,Цены!$K$40,IF(AQ25=Цены!$H$41,Цены!$K$41,IF(AQ25=Цены!$H$42,Цены!$K$42,IF(AQ25=Цены!$H$43,Цены!$K$43,IF(AQ25=Цены!$H$44,Цены!$K$44,IF(AQ25=Цены!$H$45,Цены!$K$45,IF(AQ25=Цены!$H$46,Цены!$K$46,IF(AQ25=Цены!$H$47,Цены!$K$47,IF(AQ25=Цены!$H$48,Цены!$K$48,IF(AQ25=Цены!$H$49,Цены!$K$49,IF(AQ25=Цены!$H$50,Цены!$K$50,IF(AQ25=Цены!$H$51,Цены!$K$51,IF(AQ25=Цены!$H$52,Цены!$K$52,IF(AQ25=Цены!$H$53,Цены!$K$53,IF(AQ25=Цены!$H$54,Цены!$K$54,IF(AQ25=Цены!$H$55,Цены!$K$55))))))))))))))))))))))))))))))))))))))))))))))))))))))</f>
        <v>552</v>
      </c>
      <c r="AV25" s="265"/>
      <c r="AW25" s="265"/>
      <c r="AX25" s="272"/>
      <c r="AY25" s="273"/>
      <c r="AZ25" s="273"/>
      <c r="BA25" s="268"/>
      <c r="BB25" s="274"/>
      <c r="BC25" s="275"/>
      <c r="BD25" s="262"/>
      <c r="BE25" s="174"/>
      <c r="BF25" s="106"/>
      <c r="BG25" s="103" t="b">
        <f>IF(BE25=Цены!$H$3,Цены!$L$3,IF(BE25=Цены!$H$4,Цены!$L$4,IF(BE25=Цены!$H$5,Цены!$L$5,IF(BE25=Цены!$H$6,Цены!$L$6,IF(BE25=Цены!$H$7,Цены!$L$7,IF(BE25=Цены!$H$8,Цены!$L$8,IF(BE25=Цены!$H$9,Цены!$L$9,IF(BE25=Цены!$H$10,Цены!$L$10,IF(BE25=Цены!$H$11,Цены!$L$11,IF(BE25=Цены!$H$12,Цены!$L$12,IF(BE25=Цены!$H$13,Цены!$L$13,IF(BE25=Цены!$H$14,Цены!$L$14,IF(BE25=Цены!$H$14,Цены!$L$14,IF(BE25=Цены!$H$15,Цены!$L$15,IF(BE25=Цены!$H$16,Цены!$L$16,IF(BE25=Цены!$H$17,Цены!$L$17,IF(BE25=Цены!$H$18,Цены!$L$18,IF(BE25=Цены!$H$19,Цены!$L$19,IF(BE25=Цены!$H$20,Цены!$L$20,IF(BE25=Цены!$H$21,Цены!$L$21,IF(BE25=Цены!$H$22,Цены!$L$22,IF(BE25=Цены!$H$23,Цены!$L$23,IF(BE25=Цены!$H$24,Цены!$L$24,IF(BE25=Цены!$H$25,Цены!$L$25,IF(BE25=Цены!$H$26,Цены!$L$26,IF(BE25=Цены!$H$27,Цены!$L$27,IF(BE25=Цены!$H$28,Цены!$L$28,IF(BE25=Цены!$H$29,Цены!$L$29,IF(BE25=Цены!$H$30,Цены!$L$30,IF(BE25=Цены!$H$31,Цены!$L$31,IF(BE25=Цены!$H$32,Цены!$L$32,IF(BE25=Цены!$H$33,Цены!$L$33,IF(BE25=Цены!$H$34,Цены!$L$34,IF(BE25=Цены!$H$35,Цены!$L$35,IF(BE25=Цены!$H$36,Цены!$L$36,IF(BE25=Цены!$H$37,Цены!$L$37,IF(BE25=Цены!$H$38,Цены!$L$38,IF(BE25=Цены!$H$39,Цены!$L$39,IF(BE25=Цены!$H$40,Цены!$L$40,IF(BE25=Цены!$H$41,Цены!$L$41,IF(BE25=Цены!$H$42,Цены!$L$42,IF(BE25=Цены!$H$43,Цены!$L$43,IF(BE25=Цены!$H$44,Цены!$L$44,IF(BE25=Цены!$H$45,Цены!$L$45,IF(BE25=Цены!$H$46,Цены!$L$46,IF(BE25=Цены!$H$47,Цены!$L$47,IF(BE25=Цены!$H$48,Цены!$L$48,IF(BE25=Цены!$H$49,Цены!$L$49,IF(BE25=Цены!$H$50,Цены!$L$50,IF(BE25=Цены!$H$51,Цены!$L$51,IF(BE25=Цены!$H$52,Цены!$L$52,IF(BE25=Цены!$H$53,Цены!$L$53,IF(BE25=Цены!$H$54,Цены!$L$54,IF(BE25=Цены!$H$55,Цены!$L$55))))))))))))))))))))))))))))))))))))))))))))))))))))))</f>
        <v>0</v>
      </c>
      <c r="BH25" s="280"/>
      <c r="BI25" s="104" t="b">
        <f>IF(BE25=Цены!$H$3,Цены!$K$3,IF(BE25=Цены!$H$4,Цены!$K$4,IF(BE25=Цены!$H$5,Цены!$K$5,IF(BE25=Цены!$H$6,Цены!$K$6,IF(BE25=Цены!$H$7,Цены!$K$7,IF(BE25=Цены!$H$8,Цены!$K$8,IF(BE25=Цены!$H$9,Цены!$K$9,IF(BE25=Цены!$H$10,Цены!$K$10,IF(BE25=Цены!$H$11,Цены!$K$11,IF(BE25=Цены!$H$12,Цены!$K$12,IF(BE25=Цены!$H$13,Цены!$K$13,IF(BE25=Цены!$H$14,Цены!$K$14,IF(BE25=Цены!$H$14,Цены!$K$14,IF(BE25=Цены!$H$15,Цены!$K$15,IF(BE25=Цены!$H$16,Цены!$K$16,IF(BE25=Цены!$H$17,Цены!$K$17,IF(BE25=Цены!$H$18,Цены!$K$18,IF(BE25=Цены!$H$19,Цены!$K$19,IF(BE25=Цены!$H$20,Цены!$K$20,IF(BE25=Цены!$H$21,Цены!$K$21,IF(BE25=Цены!$H$22,Цены!$K$22,IF(BE25=Цены!$H$23,Цены!$K$23,IF(BE25=Цены!$H$24,Цены!$K$24,IF(BE25=Цены!$H$25,Цены!$K$25,IF(BE25=Цены!$H$26,Цены!$K$26,IF(BE25=Цены!$H$27,Цены!$K$27,IF(BE25=Цены!$H$28,Цены!$K$28,IF(BE25=Цены!$H$29,Цены!$K$29,IF(BE25=Цены!$H$30,Цены!$K$30,IF(BE25=Цены!$H$31,Цены!$K$31,IF(BE25=Цены!$H$32,Цены!$K$32,IF(BE25=Цены!$H$33,Цены!$K$33,IF(BE25=Цены!$H$34,Цены!$K$34,IF(BE25=Цены!$H$35,Цены!$K$35,IF(BE25=Цены!$H$36,Цены!$K$36,IF(BE25=Цены!$H$37,Цены!$K$37,IF(BE25=Цены!$H$38,Цены!$K$38,IF(BE25=Цены!$H$39,Цены!$K$39,IF(BE25=Цены!$H$40,Цены!$K$40,IF(BE25=Цены!$H$41,Цены!$K$41,IF(BE25=Цены!$H$42,Цены!$K$42,IF(BE25=Цены!$H$43,Цены!$K$43,IF(BE25=Цены!$H$44,Цены!$K$44,IF(BE25=Цены!$H$45,Цены!$K$45,IF(BE25=Цены!$H$46,Цены!$K$46,IF(BE25=Цены!$H$47,Цены!$K$47,IF(BE25=Цены!$H$48,Цены!$K$48,IF(BE25=Цены!$H$49,Цены!$K$49,IF(BE25=Цены!$H$50,Цены!$K$50,IF(BE25=Цены!$H$51,Цены!$K$51,IF(BE25=Цены!$H$52,Цены!$K$52,IF(BE25=Цены!$H$53,Цены!$K$53,IF(BE25=Цены!$H$54,Цены!$K$54,IF(BE25=Цены!$H$55,Цены!$K$55))))))))))))))))))))))))))))))))))))))))))))))))))))))</f>
        <v>0</v>
      </c>
      <c r="BJ25" s="265"/>
      <c r="BK25" s="265"/>
      <c r="BL25" s="272"/>
      <c r="BM25" s="273"/>
      <c r="BN25" s="273"/>
      <c r="BO25" s="268"/>
      <c r="BP25" s="281"/>
      <c r="BQ25" s="275"/>
      <c r="BR25" s="174"/>
      <c r="BS25" s="108"/>
      <c r="BT25" s="109" t="b">
        <f>IF(BR25=Цены!$H$3,Цены!$L$3,IF(BR25=Цены!$H$4,Цены!$L$4,IF(BR25=Цены!$H$5,Цены!$L$5,IF(BR25=Цены!$H$6,Цены!$L$6,IF(BR25=Цены!$H$7,Цены!$L$7,IF(BR25=Цены!$H$8,Цены!$L$8,IF(BR25=Цены!$H$9,Цены!$L$9,IF(BR25=Цены!$H$10,Цены!$L$10,IF(BR25=Цены!$H$11,Цены!$L$11,IF(BR25=Цены!$H$12,Цены!$L$12,IF(BR25=Цены!$H$13,Цены!$L$13,IF(BR25=Цены!$H$14,Цены!$L$14,IF(BR25=Цены!$H$14,Цены!$L$14,IF(BR25=Цены!$H$15,Цены!$L$15,IF(BR25=Цены!$H$16,Цены!$L$16,IF(BR25=Цены!$H$17,Цены!$L$17,IF(BR25=Цены!$H$18,Цены!$L$18,IF(BR25=Цены!$H$19,Цены!$L$19,IF(BR25=Цены!$H$20,Цены!$L$20,IF(BR25=Цены!$H$21,Цены!$L$21,IF(BR25=Цены!$H$22,Цены!$L$22,IF(BR25=Цены!$H$23,Цены!$L$23,IF(BR25=Цены!$H$24,Цены!$L$24,IF(BR25=Цены!$H$25,Цены!$L$25,IF(BR25=Цены!$H$26,Цены!$L$26,IF(BR25=Цены!$H$27,Цены!$L$27,IF(BR25=Цены!$H$28,Цены!$L$28,IF(BR25=Цены!$H$29,Цены!$L$29,IF(BR25=Цены!$H$30,Цены!$L$30,IF(BR25=Цены!$H$31,Цены!$L$31,IF(BR25=Цены!$H$32,Цены!$L$32,IF(BR25=Цены!$H$33,Цены!$L$33,IF(BR25=Цены!$H$34,Цены!$L$34,IF(BR25=Цены!$H$35,Цены!$L$35,IF(BR25=Цены!$H$36,Цены!$L$36,IF(BR25=Цены!$H$37,Цены!$L$37,IF(BR25=Цены!$H$38,Цены!$L$38,IF(BR25=Цены!$H$39,Цены!$L$39,IF(BR25=Цены!$H$40,Цены!$L$40,IF(BR25=Цены!$H$41,Цены!$L$41,IF(BR25=Цены!$H$42,Цены!$L$42,IF(BR25=Цены!$H$43,Цены!$L$43,IF(BR25=Цены!$H$44,Цены!$L$44,IF(BR25=Цены!$H$45,Цены!$L$45,IF(BR25=Цены!$H$46,Цены!$L$46,IF(BR25=Цены!$H$47,Цены!$L$47,IF(BR25=Цены!$H$48,Цены!$L$48,IF(BR25=Цены!$H$49,Цены!$L$49,IF(BR25=Цены!$H$50,Цены!$L$50,IF(BR25=Цены!$H$51,Цены!$L$51,IF(BR25=Цены!$H$52,Цены!$L$52,IF(BR25=Цены!$H$53,Цены!$L$53,IF(BR25=Цены!$H$54,Цены!$L$54,IF(BR25=Цены!$H$55,Цены!$L$55))))))))))))))))))))))))))))))))))))))))))))))))))))))</f>
        <v>0</v>
      </c>
      <c r="BU25" s="284"/>
      <c r="BV25" s="110" t="b">
        <f>IF(BR25=Цены!$H$3,Цены!$K$3,IF(BR25=Цены!$H$4,Цены!$K$4,IF(BR25=Цены!$H$5,Цены!$K$5,IF(BR25=Цены!$H$6,Цены!$K$6,IF(BR25=Цены!$H$7,Цены!$K$7,IF(BR25=Цены!$H$8,Цены!$K$8,IF(BR25=Цены!$H$9,Цены!$K$9,IF(BR25=Цены!$H$10,Цены!$K$10,IF(BR25=Цены!$H$11,Цены!$K$11,IF(BR25=Цены!$H$12,Цены!$K$12,IF(BR25=Цены!$H$13,Цены!$K$13,IF(BR25=Цены!$H$14,Цены!$K$14,IF(BR25=Цены!$H$14,Цены!$K$14,IF(BR25=Цены!$H$15,Цены!$K$15,IF(BR25=Цены!$H$16,Цены!$K$16,IF(BR25=Цены!$H$17,Цены!$K$17,IF(BR25=Цены!$H$18,Цены!$K$18,IF(BR25=Цены!$H$19,Цены!$K$19,IF(BR25=Цены!$H$20,Цены!$K$20,IF(BR25=Цены!$H$21,Цены!$K$21,IF(BR25=Цены!$H$22,Цены!$K$22,IF(BR25=Цены!$H$23,Цены!$K$23,IF(BR25=Цены!$H$24,Цены!$K$24,IF(BR25=Цены!$H$25,Цены!$K$25,IF(BR25=Цены!$H$26,Цены!$K$26,IF(BR25=Цены!$H$27,Цены!$K$27,IF(BR25=Цены!$H$28,Цены!$K$28,IF(BR25=Цены!$H$29,Цены!$K$29,IF(BR25=Цены!$H$30,Цены!$K$30,IF(BR25=Цены!$H$31,Цены!$K$31,IF(BR25=Цены!$H$32,Цены!$K$32,IF(BR25=Цены!$H$33,Цены!$K$33,IF(BR25=Цены!$H$34,Цены!$K$34,IF(BR25=Цены!$H$35,Цены!$K$35,IF(BR25=Цены!$H$36,Цены!$K$36,IF(BR25=Цены!$H$37,Цены!$K$37,IF(BR25=Цены!$H$38,Цены!$K$38,IF(BR25=Цены!$H$39,Цены!$K$39,IF(BR25=Цены!$H$40,Цены!$K$40,IF(BR25=Цены!$H$41,Цены!$K$41,IF(BR25=Цены!$H$42,Цены!$K$42,IF(BR25=Цены!$H$43,Цены!$K$43,IF(BR25=Цены!$H$44,Цены!$K$44,IF(BR25=Цены!$H$45,Цены!$K$45,IF(BR25=Цены!$H$46,Цены!$K$46,IF(BR25=Цены!$H$47,Цены!$K$47,IF(BR25=Цены!$H$48,Цены!$K$48,IF(BR25=Цены!$H$49,Цены!$K$49,IF(BR25=Цены!$H$50,Цены!$K$50,IF(BR25=Цены!$H$51,Цены!$K$51,IF(BR25=Цены!$H$52,Цены!$K$52,IF(BR25=Цены!$H$53,Цены!$K$53,IF(BR25=Цены!$H$54,Цены!$K$54,IF(BR25=Цены!$H$55,Цены!$K$55))))))))))))))))))))))))))))))))))))))))))))))))))))))</f>
        <v>0</v>
      </c>
      <c r="BW25" s="265"/>
      <c r="BX25" s="265"/>
      <c r="BY25" s="272"/>
      <c r="BZ25" s="273"/>
      <c r="CA25" s="273"/>
      <c r="CB25" s="268"/>
      <c r="CC25" s="285"/>
      <c r="CD25" s="275"/>
      <c r="CE25" s="174" t="s">
        <v>125</v>
      </c>
      <c r="CF25" s="112">
        <v>1</v>
      </c>
      <c r="CG25" s="113">
        <f>IF(CE25=Цены!$H$3,Цены!$L$3,IF(CE25=Цены!$H$4,Цены!$L$4,IF(CE25=Цены!$H$5,Цены!$L$5,IF(CE25=Цены!$H$6,Цены!$L$6,IF(CE25=Цены!$H$7,Цены!$L$7,IF(CE25=Цены!$H$8,Цены!$L$8,IF(CE25=Цены!$H$9,Цены!$L$9,IF(CE25=Цены!$H$10,Цены!$L$10,IF(CE25=Цены!$H$11,Цены!$L$11,IF(CE25=Цены!$H$12,Цены!$L$12,IF(CE25=Цены!$H$13,Цены!$L$13,IF(CE25=Цены!$H$14,Цены!$L$14,IF(CE25=Цены!$H$14,Цены!$L$14,IF(CE25=Цены!$H$15,Цены!$L$15,IF(CE25=Цены!$H$16,Цены!$L$16,IF(CE25=Цены!$H$17,Цены!$L$17,IF(CE25=Цены!$H$18,Цены!$L$18,IF(CE25=Цены!$H$19,Цены!$L$19,IF(CE25=Цены!$H$20,Цены!$L$20,IF(CE25=Цены!$H$21,Цены!$L$21,IF(CE25=Цены!$H$22,Цены!$L$22,IF(CE25=Цены!$H$23,Цены!$L$23,IF(CE25=Цены!$H$24,Цены!$L$24,IF(CE25=Цены!$H$25,Цены!$L$25,IF(CE25=Цены!$H$26,Цены!$L$26,IF(CE25=Цены!$H$27,Цены!$L$27,IF(CE25=Цены!$H$28,Цены!$L$28,IF(CE25=Цены!$H$29,Цены!$L$29,IF(CE25=Цены!$H$30,Цены!$L$30,IF(CE25=Цены!$H$31,Цены!$L$31,IF(CE25=Цены!$H$32,Цены!$L$32,IF(CE25=Цены!$H$33,Цены!$L$33,IF(CE25=Цены!$H$34,Цены!$L$34,IF(CE25=Цены!$H$35,Цены!$L$35,IF(CE25=Цены!$H$36,Цены!$L$36,IF(CE25=Цены!$H$37,Цены!$L$37,IF(CE25=Цены!$H$38,Цены!$L$38,IF(CE25=Цены!$H$39,Цены!$L$39,IF(CE25=Цены!$H$40,Цены!$L$40,IF(CE25=Цены!$H$41,Цены!$L$41,IF(CE25=Цены!$H$42,Цены!$L$42,IF(CE25=Цены!$H$43,Цены!$L$43,IF(CE25=Цены!$H$44,Цены!$L$44,IF(CE25=Цены!$H$45,Цены!$L$45,IF(CE25=Цены!$H$46,Цены!$L$46,IF(CE25=Цены!$H$47,Цены!$L$47,IF(CE25=Цены!$H$48,Цены!$L$48,IF(CE25=Цены!$H$49,Цены!$L$49,IF(CE25=Цены!$H$50,Цены!$L$50,IF(CE25=Цены!$H$51,Цены!$L$51,IF(CE25=Цены!$H$52,Цены!$L$52,IF(CE25=Цены!$H$53,Цены!$L$53,IF(CE25=Цены!$H$54,Цены!$L$54,IF(CE25=Цены!$H$55,Цены!$L$55))))))))))))))))))))))))))))))))))))))))))))))))))))))</f>
        <v>0.39</v>
      </c>
      <c r="CH25" s="282"/>
      <c r="CI25" s="114">
        <f>IF(CE25=Цены!$H$3,Цены!$K$3,IF(CE25=Цены!$H$4,Цены!$K$4,IF(CE25=Цены!$H$5,Цены!$K$5,IF(CE25=Цены!$H$6,Цены!$K$6,IF(CE25=Цены!$H$7,Цены!$K$7,IF(CE25=Цены!$H$8,Цены!$K$8,IF(CE25=Цены!$H$9,Цены!$K$9,IF(CE25=Цены!$H$10,Цены!$K$10,IF(CE25=Цены!$H$11,Цены!$K$11,IF(CE25=Цены!$H$12,Цены!$K$12,IF(CE25=Цены!$H$13,Цены!$K$13,IF(CE25=Цены!$H$14,Цены!$K$14,IF(CE25=Цены!$H$14,Цены!$K$14,IF(CE25=Цены!$H$15,Цены!$K$15,IF(CE25=Цены!$H$16,Цены!$K$16,IF(CE25=Цены!$H$17,Цены!$K$17,IF(CE25=Цены!$H$18,Цены!$K$18,IF(CE25=Цены!$H$19,Цены!$K$19,IF(CE25=Цены!$H$20,Цены!$K$20,IF(CE25=Цены!$H$21,Цены!$K$21,IF(CE25=Цены!$H$22,Цены!$K$22,IF(CE25=Цены!$H$23,Цены!$K$23,IF(CE25=Цены!$H$24,Цены!$K$24,IF(CE25=Цены!$H$25,Цены!$K$25,IF(CE25=Цены!$H$26,Цены!$K$26,IF(CE25=Цены!$H$27,Цены!$K$27,IF(CE25=Цены!$H$28,Цены!$K$28,IF(CE25=Цены!$H$29,Цены!$K$29,IF(CE25=Цены!$H$30,Цены!$K$30,IF(CE25=Цены!$H$31,Цены!$K$31,IF(CE25=Цены!$H$32,Цены!$K$32,IF(CE25=Цены!$H$33,Цены!$K$33,IF(CE25=Цены!$H$34,Цены!$K$34,IF(CE25=Цены!$H$35,Цены!$K$35,IF(CE25=Цены!$H$36,Цены!$K$36,IF(CE25=Цены!$H$37,Цены!$K$37,IF(CE25=Цены!$H$38,Цены!$K$38,IF(CE25=Цены!$H$39,Цены!$K$39,IF(CE25=Цены!$H$40,Цены!$K$40,IF(CE25=Цены!$H$41,Цены!$K$41,IF(CE25=Цены!$H$42,Цены!$K$42,IF(CE25=Цены!$H$43,Цены!$K$43,IF(CE25=Цены!$H$44,Цены!$K$44,IF(CE25=Цены!$H$45,Цены!$K$45,IF(CE25=Цены!$H$46,Цены!$K$46,IF(CE25=Цены!$H$47,Цены!$K$47,IF(CE25=Цены!$H$48,Цены!$K$48,IF(CE25=Цены!$H$49,Цены!$K$49,IF(CE25=Цены!$H$50,Цены!$K$50,IF(CE25=Цены!$H$51,Цены!$K$51,IF(CE25=Цены!$H$52,Цены!$K$52,IF(CE25=Цены!$H$53,Цены!$K$53,IF(CE25=Цены!$H$54,Цены!$K$54,IF(CE25=Цены!$H$55,Цены!$K$55))))))))))))))))))))))))))))))))))))))))))))))))))))))</f>
        <v>822</v>
      </c>
      <c r="CJ25" s="265"/>
      <c r="CK25" s="265"/>
      <c r="CL25" s="272"/>
      <c r="CM25" s="273"/>
      <c r="CN25" s="273"/>
      <c r="CO25" s="268"/>
      <c r="CP25" s="283"/>
      <c r="CQ25" s="275"/>
    </row>
    <row r="26" spans="1:95" s="205" customFormat="1" ht="15" customHeight="1" thickBot="1" x14ac:dyDescent="0.3">
      <c r="A26" s="267"/>
      <c r="B26" s="265"/>
      <c r="C26" s="336"/>
      <c r="D26" s="183" t="s">
        <v>121</v>
      </c>
      <c r="E26" s="184">
        <v>3</v>
      </c>
      <c r="F26" s="185">
        <f>IF(D26=Цены!$H$3,Цены!$L$3,IF(D26=Цены!$H$4,Цены!$L$4,IF(D26=Цены!$H$5,Цены!$L$5,IF(D26=Цены!$H$6,Цены!$L$6,IF(D26=Цены!$H$7,Цены!$L$7,IF(D26=Цены!$H$8,Цены!$L$8,IF(D26=Цены!$H$9,Цены!$L$9,IF(D26=Цены!$H$10,Цены!$L$10,IF(D26=Цены!$H$11,Цены!$L$11,IF(D26=Цены!$H$12,Цены!$L$12,IF(D26=Цены!$H$13,Цены!$L$13,IF(D26=Цены!$H$14,Цены!$L$14,IF(D26=Цены!$H$14,Цены!$L$14,IF(D26=Цены!$H$15,Цены!$L$15,IF(D26=Цены!$H$16,Цены!$L$16,IF(D26=Цены!$H$17,Цены!$L$17,IF(D26=Цены!$H$18,Цены!$L$18,IF(D26=Цены!$H$19,Цены!$L$19,IF(D26=Цены!$H$20,Цены!$L$20,IF(D26=Цены!$H$21,Цены!$L$21,IF(D26=Цены!$H$22,Цены!$L$22,IF(D26=Цены!$H$23,Цены!$L$23,IF(D26=Цены!$H$24,Цены!$L$24,IF(D26=Цены!$H$25,Цены!$L$25,IF(D26=Цены!$H$26,Цены!$L$26,IF(D26=Цены!$H$27,Цены!$L$27,IF(D26=Цены!$H$28,Цены!$L$28,IF(D26=Цены!$H$29,Цены!$L$29,IF(D26=Цены!$H$30,Цены!$L$30,IF(D26=Цены!$H$31,Цены!$L$31,IF(D26=Цены!$H$32,Цены!$L$32,IF(D26=Цены!$H$33,Цены!$L$33,IF(D26=Цены!$H$34,Цены!$L$34,IF(D26=Цены!$H$35,Цены!$L$35,IF(D26=Цены!$H$36,Цены!$L$36,IF(D26=Цены!$H$37,Цены!$L$37,IF(D26=Цены!$H$38,Цены!$L$38,IF(D26=Цены!$H$39,Цены!$L$39,IF(D26=Цены!$H$40,Цены!$L$40,IF(D26=Цены!$H$41,Цены!$L$41,IF(D26=Цены!$H$42,Цены!$L$42,IF(D26=Цены!$H$43,Цены!$L$43,IF(D26=Цены!$H$44,Цены!$L$44,IF(D26=Цены!$H$45,Цены!$L$45,IF(D26=Цены!$H$46,Цены!$L$46,IF(D26=Цены!$H$47,Цены!$L$47,IF(D26=Цены!$H$48,Цены!$L$48,IF(D26=Цены!$H$49,Цены!$L$49,IF(D26=Цены!$H$50,Цены!$L$50,IF(D26=Цены!$H$51,Цены!$L$51,IF(D26=Цены!$H$52,Цены!$L$52,IF(D26=Цены!$H$53,Цены!$L$53,IF(D26=Цены!$H$54,Цены!$L$54,IF(D26=Цены!$H$55,Цены!$L$55))))))))))))))))))))))))))))))))))))))))))))))))))))))</f>
        <v>1.32E-2</v>
      </c>
      <c r="G26" s="339"/>
      <c r="H26" s="186">
        <f>IF(D26=Цены!$H$3,Цены!$K$3,IF(D26=Цены!$H$4,Цены!$K$4,IF(D26=Цены!$H$5,Цены!$K$5,IF(D26=Цены!$H$6,Цены!$K$6,IF(D26=Цены!$H$7,Цены!$K$7,IF(D26=Цены!$H$8,Цены!$K$8,IF(D26=Цены!$H$9,Цены!$K$9,IF(D26=Цены!$H$10,Цены!$K$10,IF(D26=Цены!$H$11,Цены!$K$11,IF(D26=Цены!$H$12,Цены!$K$12,IF(D26=Цены!$H$13,Цены!$K$13,IF(D26=Цены!$H$14,Цены!$K$14,IF(D26=Цены!$H$14,Цены!$K$14,IF(D26=Цены!$H$15,Цены!$K$15,IF(D26=Цены!$H$16,Цены!$K$16,IF(D26=Цены!$H$17,Цены!$K$17,IF(D26=Цены!$H$18,Цены!$K$18,IF(D26=Цены!$H$19,Цены!$K$19,IF(D26=Цены!$H$20,Цены!$K$20,IF(D26=Цены!$H$21,Цены!$K$21,IF(D26=Цены!$H$22,Цены!$K$22,IF(D26=Цены!$H$23,Цены!$K$23,IF(D26=Цены!$H$24,Цены!$K$24,IF(D26=Цены!$H$25,Цены!$K$25,IF(D26=Цены!$H$26,Цены!$K$26,IF(D26=Цены!$H$27,Цены!$K$27,IF(D26=Цены!$H$28,Цены!$K$28,IF(D26=Цены!$H$29,Цены!$K$29,IF(D26=Цены!$H$30,Цены!$K$30,IF(D26=Цены!$H$31,Цены!$K$31,IF(D26=Цены!$H$32,Цены!$K$32,IF(D26=Цены!$H$33,Цены!$K$33,IF(D26=Цены!$H$34,Цены!$K$34,IF(D26=Цены!$H$35,Цены!$K$35,IF(D26=Цены!$H$36,Цены!$K$36,IF(D26=Цены!$H$37,Цены!$K$37,IF(D26=Цены!$H$38,Цены!$K$38,IF(D26=Цены!$H$39,Цены!$K$39,IF(D26=Цены!$H$40,Цены!$K$40,IF(D26=Цены!$H$41,Цены!$K$41,IF(D26=Цены!$H$42,Цены!$K$42,IF(D26=Цены!$H$43,Цены!$K$43,IF(D26=Цены!$H$44,Цены!$K$44,IF(D26=Цены!$H$45,Цены!$K$45,IF(D26=Цены!$H$46,Цены!$K$46,IF(D26=Цены!$H$47,Цены!$K$47,IF(D26=Цены!$H$48,Цены!$K$48,IF(D26=Цены!$H$49,Цены!$K$49,IF(D26=Цены!$H$50,Цены!$K$50,IF(D26=Цены!$H$51,Цены!$K$51,IF(D26=Цены!$H$52,Цены!$K$52,IF(D26=Цены!$H$53,Цены!$K$53,IF(D26=Цены!$H$54,Цены!$K$54,IF(D26=Цены!$H$55,Цены!$K$55))))))))))))))))))))))))))))))))))))))))))))))))))))))</f>
        <v>54</v>
      </c>
      <c r="I26" s="286"/>
      <c r="J26" s="265"/>
      <c r="K26" s="272"/>
      <c r="L26" s="273"/>
      <c r="M26" s="273"/>
      <c r="N26" s="321"/>
      <c r="O26" s="332"/>
      <c r="P26" s="275"/>
      <c r="Q26" s="208"/>
      <c r="R26" s="187"/>
      <c r="S26" s="188" t="b">
        <f>IF(Q26=Цены!$H$3,Цены!$L$3,IF(Q26=Цены!$H$4,Цены!$L$4,IF(Q26=Цены!$H$5,Цены!$L$5,IF(Q26=Цены!$H$6,Цены!$L$6,IF(Q26=Цены!$H$7,Цены!$L$7,IF(Q26=Цены!$H$8,Цены!$L$8,IF(Q26=Цены!$H$9,Цены!$L$9,IF(Q26=Цены!$H$10,Цены!$L$10,IF(Q26=Цены!$H$11,Цены!$L$11,IF(Q26=Цены!$H$12,Цены!$L$12,IF(Q26=Цены!$H$13,Цены!$L$13,IF(Q26=Цены!$H$14,Цены!$L$14,IF(Q26=Цены!$H$14,Цены!$L$14,IF(Q26=Цены!$H$15,Цены!$L$15,IF(Q26=Цены!$H$16,Цены!$L$16,IF(Q26=Цены!$H$17,Цены!$L$17,IF(Q26=Цены!$H$18,Цены!$L$18,IF(Q26=Цены!$H$19,Цены!$L$19,IF(Q26=Цены!$H$20,Цены!$L$20,IF(Q26=Цены!$H$21,Цены!$L$21,IF(Q26=Цены!$H$22,Цены!$L$22,IF(Q26=Цены!$H$23,Цены!$L$23,IF(Q26=Цены!$H$24,Цены!$L$24,IF(Q26=Цены!$H$25,Цены!$L$25,IF(Q26=Цены!$H$26,Цены!$L$26,IF(Q26=Цены!$H$27,Цены!$L$27,IF(Q26=Цены!$H$28,Цены!$L$28,IF(Q26=Цены!$H$29,Цены!$L$29,IF(Q26=Цены!$H$30,Цены!$L$30,IF(Q26=Цены!$H$31,Цены!$L$31,IF(Q26=Цены!$H$32,Цены!$L$32,IF(Q26=Цены!$H$33,Цены!$L$33,IF(Q26=Цены!$H$34,Цены!$L$34,IF(Q26=Цены!$H$35,Цены!$L$35,IF(Q26=Цены!$H$36,Цены!$L$36,IF(Q26=Цены!$H$37,Цены!$L$37,IF(Q26=Цены!$H$38,Цены!$L$38,IF(Q26=Цены!$H$39,Цены!$L$39,IF(Q26=Цены!$H$40,Цены!$L$40,IF(Q26=Цены!$H$41,Цены!$L$41,IF(Q26=Цены!$H$42,Цены!$L$42,IF(Q26=Цены!$H$43,Цены!$L$43,IF(Q26=Цены!$H$44,Цены!$L$44,IF(Q26=Цены!$H$45,Цены!$L$45,IF(Q26=Цены!$H$46,Цены!$L$46,IF(Q26=Цены!$H$47,Цены!$L$47,IF(Q26=Цены!$H$48,Цены!$L$48,IF(Q26=Цены!$H$49,Цены!$L$49,IF(Q26=Цены!$H$50,Цены!$L$50,IF(Q26=Цены!$H$51,Цены!$L$51,IF(Q26=Цены!$H$52,Цены!$L$52,IF(Q26=Цены!$H$53,Цены!$L$53,IF(Q26=Цены!$H$54,Цены!$L$54,IF(Q26=Цены!$H$55,Цены!$L$55))))))))))))))))))))))))))))))))))))))))))))))))))))))</f>
        <v>0</v>
      </c>
      <c r="T26" s="322"/>
      <c r="U26" s="189" t="b">
        <f>IF(Q26=Цены!$H$3,Цены!$K$3,IF(Q26=Цены!$H$4,Цены!$K$4,IF(Q26=Цены!$H$5,Цены!$K$5,IF(Q26=Цены!$H$6,Цены!$K$6,IF(Q26=Цены!$H$7,Цены!$K$7,IF(Q26=Цены!$H$8,Цены!$K$8,IF(Q26=Цены!$H$9,Цены!$K$9,IF(Q26=Цены!$H$10,Цены!$K$10,IF(Q26=Цены!$H$11,Цены!$K$11,IF(Q26=Цены!$H$12,Цены!$K$12,IF(Q26=Цены!$H$13,Цены!$K$13,IF(Q26=Цены!$H$14,Цены!$K$14,IF(Q26=Цены!$H$14,Цены!$K$14,IF(Q26=Цены!$H$15,Цены!$K$15,IF(Q26=Цены!$H$16,Цены!$K$16,IF(Q26=Цены!$H$17,Цены!$K$17,IF(Q26=Цены!$H$18,Цены!$K$18,IF(Q26=Цены!$H$19,Цены!$K$19,IF(Q26=Цены!$H$20,Цены!$K$20,IF(Q26=Цены!$H$21,Цены!$K$21,IF(Q26=Цены!$H$22,Цены!$K$22,IF(Q26=Цены!$H$23,Цены!$K$23,IF(Q26=Цены!$H$24,Цены!$K$24,IF(Q26=Цены!$H$25,Цены!$K$25,IF(Q26=Цены!$H$26,Цены!$K$26,IF(Q26=Цены!$H$27,Цены!$K$27,IF(Q26=Цены!$H$28,Цены!$K$28,IF(Q26=Цены!$H$29,Цены!$K$29,IF(Q26=Цены!$H$30,Цены!$K$30,IF(Q26=Цены!$H$31,Цены!$K$31,IF(Q26=Цены!$H$32,Цены!$K$32,IF(Q26=Цены!$H$33,Цены!$K$33,IF(Q26=Цены!$H$34,Цены!$K$34,IF(Q26=Цены!$H$35,Цены!$K$35,IF(Q26=Цены!$H$36,Цены!$K$36,IF(Q26=Цены!$H$37,Цены!$K$37,IF(Q26=Цены!$H$38,Цены!$K$38,IF(Q26=Цены!$H$39,Цены!$K$39,IF(Q26=Цены!$H$40,Цены!$K$40,IF(Q26=Цены!$H$41,Цены!$K$41,IF(Q26=Цены!$H$42,Цены!$K$42,IF(Q26=Цены!$H$43,Цены!$K$43,IF(Q26=Цены!$H$44,Цены!$K$44,IF(Q26=Цены!$H$45,Цены!$K$45,IF(Q26=Цены!$H$46,Цены!$K$46,IF(Q26=Цены!$H$47,Цены!$K$47,IF(Q26=Цены!$H$48,Цены!$K$48,IF(Q26=Цены!$H$49,Цены!$K$49,IF(Q26=Цены!$H$50,Цены!$K$50,IF(Q26=Цены!$H$51,Цены!$K$51,IF(Q26=Цены!$H$52,Цены!$K$52,IF(Q26=Цены!$H$53,Цены!$K$53,IF(Q26=Цены!$H$54,Цены!$K$54,IF(Q26=Цены!$H$55,Цены!$K$55))))))))))))))))))))))))))))))))))))))))))))))))))))))</f>
        <v>0</v>
      </c>
      <c r="V26" s="265"/>
      <c r="W26" s="265"/>
      <c r="X26" s="272"/>
      <c r="Y26" s="273"/>
      <c r="Z26" s="273"/>
      <c r="AA26" s="321"/>
      <c r="AB26" s="323"/>
      <c r="AC26" s="275"/>
      <c r="AD26" s="212" t="s">
        <v>89</v>
      </c>
      <c r="AE26" s="190">
        <v>8</v>
      </c>
      <c r="AF26" s="191">
        <f>IF(AD26=Цены!$H$3,Цены!$L$3,IF(AD26=Цены!$H$4,Цены!$L$4,IF(AD26=Цены!$H$5,Цены!$L$5,IF(AD26=Цены!$H$6,Цены!$L$6,IF(AD26=Цены!$H$7,Цены!$L$7,IF(AD26=Цены!$H$8,Цены!$L$8,IF(AD26=Цены!$H$9,Цены!$L$9,IF(AD26=Цены!$H$10,Цены!$L$10,IF(AD26=Цены!$H$11,Цены!$L$11,IF(AD26=Цены!$H$12,Цены!$L$12,IF(AD26=Цены!$H$13,Цены!$L$13,IF(AD26=Цены!$H$14,Цены!$L$14,IF(AD26=Цены!$H$14,Цены!$L$14,IF(AD26=Цены!$H$15,Цены!$L$15,IF(AD26=Цены!$H$16,Цены!$L$16,IF(AD26=Цены!$H$17,Цены!$L$17,IF(AD26=Цены!$H$18,Цены!$L$18,IF(AD26=Цены!$H$19,Цены!$L$19,IF(AD26=Цены!$H$20,Цены!$L$20,IF(AD26=Цены!$H$21,Цены!$L$21,IF(AD26=Цены!$H$22,Цены!$L$22,IF(AD26=Цены!$H$23,Цены!$L$23,IF(AD26=Цены!$H$24,Цены!$L$24,IF(AD26=Цены!$H$25,Цены!$L$25,IF(AD26=Цены!$H$26,Цены!$L$26,IF(AD26=Цены!$H$27,Цены!$L$27,IF(AD26=Цены!$H$28,Цены!$L$28,IF(AD26=Цены!$H$29,Цены!$L$29,IF(AD26=Цены!$H$30,Цены!$L$30,IF(AD26=Цены!$H$31,Цены!$L$31,IF(AD26=Цены!$H$32,Цены!$L$32,IF(AD26=Цены!$H$33,Цены!$L$33,IF(AD26=Цены!$H$34,Цены!$L$34,IF(AD26=Цены!$H$35,Цены!$L$35,IF(AD26=Цены!$H$36,Цены!$L$36,IF(AD26=Цены!$H$37,Цены!$L$37,IF(AD26=Цены!$H$38,Цены!$L$38,IF(AD26=Цены!$H$39,Цены!$L$39,IF(AD26=Цены!$H$40,Цены!$L$40,IF(AD26=Цены!$H$41,Цены!$L$41,IF(AD26=Цены!$H$42,Цены!$L$42,IF(AD26=Цены!$H$43,Цены!$L$43,IF(AD26=Цены!$H$44,Цены!$L$44,IF(AD26=Цены!$H$45,Цены!$L$45,IF(AD26=Цены!$H$46,Цены!$L$46,IF(AD26=Цены!$H$47,Цены!$L$47,IF(AD26=Цены!$H$48,Цены!$L$48,IF(AD26=Цены!$H$49,Цены!$L$49,IF(AD26=Цены!$H$50,Цены!$L$50,IF(AD26=Цены!$H$51,Цены!$L$51,IF(AD26=Цены!$H$52,Цены!$L$52,IF(AD26=Цены!$H$53,Цены!$L$53,IF(AD26=Цены!$H$54,Цены!$L$54,IF(AD26=Цены!$H$55,Цены!$L$55))))))))))))))))))))))))))))))))))))))))))))))))))))))</f>
        <v>1.1499999999999999</v>
      </c>
      <c r="AG26" s="311"/>
      <c r="AH26" s="192">
        <f>IF(AD26=Цены!$H$3,Цены!$K$3,IF(AD26=Цены!$H$4,Цены!$K$4,IF(AD26=Цены!$H$5,Цены!$K$5,IF(AD26=Цены!$H$6,Цены!$K$6,IF(AD26=Цены!$H$7,Цены!$K$7,IF(AD26=Цены!$H$8,Цены!$K$8,IF(AD26=Цены!$H$9,Цены!$K$9,IF(AD26=Цены!$H$10,Цены!$K$10,IF(AD26=Цены!$H$11,Цены!$K$11,IF(AD26=Цены!$H$12,Цены!$K$12,IF(AD26=Цены!$H$13,Цены!$K$13,IF(AD26=Цены!$H$14,Цены!$K$14,IF(AD26=Цены!$H$14,Цены!$K$14,IF(AD26=Цены!$H$15,Цены!$K$15,IF(AD26=Цены!$H$16,Цены!$K$16,IF(AD26=Цены!$H$17,Цены!$K$17,IF(AD26=Цены!$H$18,Цены!$K$18,IF(AD26=Цены!$H$19,Цены!$K$19,IF(AD26=Цены!$H$20,Цены!$K$20,IF(AD26=Цены!$H$21,Цены!$K$21,IF(AD26=Цены!$H$22,Цены!$K$22,IF(AD26=Цены!$H$23,Цены!$K$23,IF(AD26=Цены!$H$24,Цены!$K$24,IF(AD26=Цены!$H$25,Цены!$K$25,IF(AD26=Цены!$H$26,Цены!$K$26,IF(AD26=Цены!$H$27,Цены!$K$27,IF(AD26=Цены!$H$28,Цены!$K$28,IF(AD26=Цены!$H$29,Цены!$K$29,IF(AD26=Цены!$H$30,Цены!$K$30,IF(AD26=Цены!$H$31,Цены!$K$31,IF(AD26=Цены!$H$32,Цены!$K$32,IF(AD26=Цены!$H$33,Цены!$K$33,IF(AD26=Цены!$H$34,Цены!$K$34,IF(AD26=Цены!$H$35,Цены!$K$35,IF(AD26=Цены!$H$36,Цены!$K$36,IF(AD26=Цены!$H$37,Цены!$K$37,IF(AD26=Цены!$H$38,Цены!$K$38,IF(AD26=Цены!$H$39,Цены!$K$39,IF(AD26=Цены!$H$40,Цены!$K$40,IF(AD26=Цены!$H$41,Цены!$K$41,IF(AD26=Цены!$H$42,Цены!$K$42,IF(AD26=Цены!$H$43,Цены!$K$43,IF(AD26=Цены!$H$44,Цены!$K$44,IF(AD26=Цены!$H$45,Цены!$K$45,IF(AD26=Цены!$H$46,Цены!$K$46,IF(AD26=Цены!$H$47,Цены!$K$47,IF(AD26=Цены!$H$48,Цены!$K$48,IF(AD26=Цены!$H$49,Цены!$K$49,IF(AD26=Цены!$H$50,Цены!$K$50,IF(AD26=Цены!$H$51,Цены!$K$51,IF(AD26=Цены!$H$52,Цены!$K$52,IF(AD26=Цены!$H$53,Цены!$K$53,IF(AD26=Цены!$H$54,Цены!$K$54,IF(AD26=Цены!$H$55,Цены!$K$55))))))))))))))))))))))))))))))))))))))))))))))))))))))</f>
        <v>400</v>
      </c>
      <c r="AI26" s="265"/>
      <c r="AJ26" s="265"/>
      <c r="AK26" s="272"/>
      <c r="AL26" s="273"/>
      <c r="AM26" s="273"/>
      <c r="AN26" s="268"/>
      <c r="AO26" s="312"/>
      <c r="AP26" s="275"/>
      <c r="AQ26" s="208" t="s">
        <v>179</v>
      </c>
      <c r="AR26" s="193"/>
      <c r="AS26" s="194">
        <f>IF(AQ26=Цены!$H$3,Цены!$L$3,IF(AQ26=Цены!$H$4,Цены!$L$4,IF(AQ26=Цены!$H$5,Цены!$L$5,IF(AQ26=Цены!$H$6,Цены!$L$6,IF(AQ26=Цены!$H$7,Цены!$L$7,IF(AQ26=Цены!$H$8,Цены!$L$8,IF(AQ26=Цены!$H$9,Цены!$L$9,IF(AQ26=Цены!$H$10,Цены!$L$10,IF(AQ26=Цены!$H$11,Цены!$L$11,IF(AQ26=Цены!$H$12,Цены!$L$12,IF(AQ26=Цены!$H$13,Цены!$L$13,IF(AQ26=Цены!$H$14,Цены!$L$14,IF(AQ26=Цены!$H$14,Цены!$L$14,IF(AQ26=Цены!$H$15,Цены!$L$15,IF(AQ26=Цены!$H$16,Цены!$L$16,IF(AQ26=Цены!$H$17,Цены!$L$17,IF(AQ26=Цены!$H$18,Цены!$L$18,IF(AQ26=Цены!$H$19,Цены!$L$19,IF(AQ26=Цены!$H$20,Цены!$L$20,IF(AQ26=Цены!$H$21,Цены!$L$21,IF(AQ26=Цены!$H$22,Цены!$L$22,IF(AQ26=Цены!$H$23,Цены!$L$23,IF(AQ26=Цены!$H$24,Цены!$L$24,IF(AQ26=Цены!$H$25,Цены!$L$25,IF(AQ26=Цены!$H$26,Цены!$L$26,IF(AQ26=Цены!$H$27,Цены!$L$27,IF(AQ26=Цены!$H$28,Цены!$L$28,IF(AQ26=Цены!$H$29,Цены!$L$29,IF(AQ26=Цены!$H$30,Цены!$L$30,IF(AQ26=Цены!$H$31,Цены!$L$31,IF(AQ26=Цены!$H$32,Цены!$L$32,IF(AQ26=Цены!$H$33,Цены!$L$33,IF(AQ26=Цены!$H$34,Цены!$L$34,IF(AQ26=Цены!$H$35,Цены!$L$35,IF(AQ26=Цены!$H$36,Цены!$L$36,IF(AQ26=Цены!$H$37,Цены!$L$37,IF(AQ26=Цены!$H$38,Цены!$L$38,IF(AQ26=Цены!$H$39,Цены!$L$39,IF(AQ26=Цены!$H$40,Цены!$L$40,IF(AQ26=Цены!$H$41,Цены!$L$41,IF(AQ26=Цены!$H$42,Цены!$L$42,IF(AQ26=Цены!$H$43,Цены!$L$43,IF(AQ26=Цены!$H$44,Цены!$L$44,IF(AQ26=Цены!$H$45,Цены!$L$45,IF(AQ26=Цены!$H$46,Цены!$L$46,IF(AQ26=Цены!$H$47,Цены!$L$47,IF(AQ26=Цены!$H$48,Цены!$L$48,IF(AQ26=Цены!$H$49,Цены!$L$49,IF(AQ26=Цены!$H$50,Цены!$L$50,IF(AQ26=Цены!$H$51,Цены!$L$51,IF(AQ26=Цены!$H$52,Цены!$L$52,IF(AQ26=Цены!$H$53,Цены!$L$53,IF(AQ26=Цены!$H$54,Цены!$L$54,IF(AQ26=Цены!$H$55,Цены!$L$55))))))))))))))))))))))))))))))))))))))))))))))))))))))</f>
        <v>0</v>
      </c>
      <c r="AT26" s="271"/>
      <c r="AU26" s="195">
        <f>IF(AQ26=Цены!$H$3,Цены!$K$3,IF(AQ26=Цены!$H$4,Цены!$K$4,IF(AQ26=Цены!$H$5,Цены!$K$5,IF(AQ26=Цены!$H$6,Цены!$K$6,IF(AQ26=Цены!$H$7,Цены!$K$7,IF(AQ26=Цены!$H$8,Цены!$K$8,IF(AQ26=Цены!$H$9,Цены!$K$9,IF(AQ26=Цены!$H$10,Цены!$K$10,IF(AQ26=Цены!$H$11,Цены!$K$11,IF(AQ26=Цены!$H$12,Цены!$K$12,IF(AQ26=Цены!$H$13,Цены!$K$13,IF(AQ26=Цены!$H$14,Цены!$K$14,IF(AQ26=Цены!$H$14,Цены!$K$14,IF(AQ26=Цены!$H$15,Цены!$K$15,IF(AQ26=Цены!$H$16,Цены!$K$16,IF(AQ26=Цены!$H$17,Цены!$K$17,IF(AQ26=Цены!$H$18,Цены!$K$18,IF(AQ26=Цены!$H$19,Цены!$K$19,IF(AQ26=Цены!$H$20,Цены!$K$20,IF(AQ26=Цены!$H$21,Цены!$K$21,IF(AQ26=Цены!$H$22,Цены!$K$22,IF(AQ26=Цены!$H$23,Цены!$K$23,IF(AQ26=Цены!$H$24,Цены!$K$24,IF(AQ26=Цены!$H$25,Цены!$K$25,IF(AQ26=Цены!$H$26,Цены!$K$26,IF(AQ26=Цены!$H$27,Цены!$K$27,IF(AQ26=Цены!$H$28,Цены!$K$28,IF(AQ26=Цены!$H$29,Цены!$K$29,IF(AQ26=Цены!$H$30,Цены!$K$30,IF(AQ26=Цены!$H$31,Цены!$K$31,IF(AQ26=Цены!$H$32,Цены!$K$32,IF(AQ26=Цены!$H$33,Цены!$K$33,IF(AQ26=Цены!$H$34,Цены!$K$34,IF(AQ26=Цены!$H$35,Цены!$K$35,IF(AQ26=Цены!$H$36,Цены!$K$36,IF(AQ26=Цены!$H$37,Цены!$K$37,IF(AQ26=Цены!$H$38,Цены!$K$38,IF(AQ26=Цены!$H$39,Цены!$K$39,IF(AQ26=Цены!$H$40,Цены!$K$40,IF(AQ26=Цены!$H$41,Цены!$K$41,IF(AQ26=Цены!$H$42,Цены!$K$42,IF(AQ26=Цены!$H$43,Цены!$K$43,IF(AQ26=Цены!$H$44,Цены!$K$44,IF(AQ26=Цены!$H$45,Цены!$K$45,IF(AQ26=Цены!$H$46,Цены!$K$46,IF(AQ26=Цены!$H$47,Цены!$K$47,IF(AQ26=Цены!$H$48,Цены!$K$48,IF(AQ26=Цены!$H$49,Цены!$K$49,IF(AQ26=Цены!$H$50,Цены!$K$50,IF(AQ26=Цены!$H$51,Цены!$K$51,IF(AQ26=Цены!$H$52,Цены!$K$52,IF(AQ26=Цены!$H$53,Цены!$K$53,IF(AQ26=Цены!$H$54,Цены!$K$54,IF(AQ26=Цены!$H$55,Цены!$K$55))))))))))))))))))))))))))))))))))))))))))))))))))))))</f>
        <v>432</v>
      </c>
      <c r="AV26" s="265"/>
      <c r="AW26" s="265"/>
      <c r="AX26" s="272"/>
      <c r="AY26" s="273"/>
      <c r="AZ26" s="273"/>
      <c r="BA26" s="268"/>
      <c r="BB26" s="274"/>
      <c r="BC26" s="275"/>
      <c r="BD26" s="263"/>
      <c r="BE26" s="208"/>
      <c r="BF26" s="196"/>
      <c r="BG26" s="197" t="b">
        <f>IF(BE26=Цены!$H$3,Цены!$L$3,IF(BE26=Цены!$H$4,Цены!$L$4,IF(BE26=Цены!$H$5,Цены!$L$5,IF(BE26=Цены!$H$6,Цены!$L$6,IF(BE26=Цены!$H$7,Цены!$L$7,IF(BE26=Цены!$H$8,Цены!$L$8,IF(BE26=Цены!$H$9,Цены!$L$9,IF(BE26=Цены!$H$10,Цены!$L$10,IF(BE26=Цены!$H$11,Цены!$L$11,IF(BE26=Цены!$H$12,Цены!$L$12,IF(BE26=Цены!$H$13,Цены!$L$13,IF(BE26=Цены!$H$14,Цены!$L$14,IF(BE26=Цены!$H$14,Цены!$L$14,IF(BE26=Цены!$H$15,Цены!$L$15,IF(BE26=Цены!$H$16,Цены!$L$16,IF(BE26=Цены!$H$17,Цены!$L$17,IF(BE26=Цены!$H$18,Цены!$L$18,IF(BE26=Цены!$H$19,Цены!$L$19,IF(BE26=Цены!$H$20,Цены!$L$20,IF(BE26=Цены!$H$21,Цены!$L$21,IF(BE26=Цены!$H$22,Цены!$L$22,IF(BE26=Цены!$H$23,Цены!$L$23,IF(BE26=Цены!$H$24,Цены!$L$24,IF(BE26=Цены!$H$25,Цены!$L$25,IF(BE26=Цены!$H$26,Цены!$L$26,IF(BE26=Цены!$H$27,Цены!$L$27,IF(BE26=Цены!$H$28,Цены!$L$28,IF(BE26=Цены!$H$29,Цены!$L$29,IF(BE26=Цены!$H$30,Цены!$L$30,IF(BE26=Цены!$H$31,Цены!$L$31,IF(BE26=Цены!$H$32,Цены!$L$32,IF(BE26=Цены!$H$33,Цены!$L$33,IF(BE26=Цены!$H$34,Цены!$L$34,IF(BE26=Цены!$H$35,Цены!$L$35,IF(BE26=Цены!$H$36,Цены!$L$36,IF(BE26=Цены!$H$37,Цены!$L$37,IF(BE26=Цены!$H$38,Цены!$L$38,IF(BE26=Цены!$H$39,Цены!$L$39,IF(BE26=Цены!$H$40,Цены!$L$40,IF(BE26=Цены!$H$41,Цены!$L$41,IF(BE26=Цены!$H$42,Цены!$L$42,IF(BE26=Цены!$H$43,Цены!$L$43,IF(BE26=Цены!$H$44,Цены!$L$44,IF(BE26=Цены!$H$45,Цены!$L$45,IF(BE26=Цены!$H$46,Цены!$L$46,IF(BE26=Цены!$H$47,Цены!$L$47,IF(BE26=Цены!$H$48,Цены!$L$48,IF(BE26=Цены!$H$49,Цены!$L$49,IF(BE26=Цены!$H$50,Цены!$L$50,IF(BE26=Цены!$H$51,Цены!$L$51,IF(BE26=Цены!$H$52,Цены!$L$52,IF(BE26=Цены!$H$53,Цены!$L$53,IF(BE26=Цены!$H$54,Цены!$L$54,IF(BE26=Цены!$H$55,Цены!$L$55))))))))))))))))))))))))))))))))))))))))))))))))))))))</f>
        <v>0</v>
      </c>
      <c r="BH26" s="280"/>
      <c r="BI26" s="198" t="b">
        <f>IF(BE26=Цены!$H$3,Цены!$K$3,IF(BE26=Цены!$H$4,Цены!$K$4,IF(BE26=Цены!$H$5,Цены!$K$5,IF(BE26=Цены!$H$6,Цены!$K$6,IF(BE26=Цены!$H$7,Цены!$K$7,IF(BE26=Цены!$H$8,Цены!$K$8,IF(BE26=Цены!$H$9,Цены!$K$9,IF(BE26=Цены!$H$10,Цены!$K$10,IF(BE26=Цены!$H$11,Цены!$K$11,IF(BE26=Цены!$H$12,Цены!$K$12,IF(BE26=Цены!$H$13,Цены!$K$13,IF(BE26=Цены!$H$14,Цены!$K$14,IF(BE26=Цены!$H$14,Цены!$K$14,IF(BE26=Цены!$H$15,Цены!$K$15,IF(BE26=Цены!$H$16,Цены!$K$16,IF(BE26=Цены!$H$17,Цены!$K$17,IF(BE26=Цены!$H$18,Цены!$K$18,IF(BE26=Цены!$H$19,Цены!$K$19,IF(BE26=Цены!$H$20,Цены!$K$20,IF(BE26=Цены!$H$21,Цены!$K$21,IF(BE26=Цены!$H$22,Цены!$K$22,IF(BE26=Цены!$H$23,Цены!$K$23,IF(BE26=Цены!$H$24,Цены!$K$24,IF(BE26=Цены!$H$25,Цены!$K$25,IF(BE26=Цены!$H$26,Цены!$K$26,IF(BE26=Цены!$H$27,Цены!$K$27,IF(BE26=Цены!$H$28,Цены!$K$28,IF(BE26=Цены!$H$29,Цены!$K$29,IF(BE26=Цены!$H$30,Цены!$K$30,IF(BE26=Цены!$H$31,Цены!$K$31,IF(BE26=Цены!$H$32,Цены!$K$32,IF(BE26=Цены!$H$33,Цены!$K$33,IF(BE26=Цены!$H$34,Цены!$K$34,IF(BE26=Цены!$H$35,Цены!$K$35,IF(BE26=Цены!$H$36,Цены!$K$36,IF(BE26=Цены!$H$37,Цены!$K$37,IF(BE26=Цены!$H$38,Цены!$K$38,IF(BE26=Цены!$H$39,Цены!$K$39,IF(BE26=Цены!$H$40,Цены!$K$40,IF(BE26=Цены!$H$41,Цены!$K$41,IF(BE26=Цены!$H$42,Цены!$K$42,IF(BE26=Цены!$H$43,Цены!$K$43,IF(BE26=Цены!$H$44,Цены!$K$44,IF(BE26=Цены!$H$45,Цены!$K$45,IF(BE26=Цены!$H$46,Цены!$K$46,IF(BE26=Цены!$H$47,Цены!$K$47,IF(BE26=Цены!$H$48,Цены!$K$48,IF(BE26=Цены!$H$49,Цены!$K$49,IF(BE26=Цены!$H$50,Цены!$K$50,IF(BE26=Цены!$H$51,Цены!$K$51,IF(BE26=Цены!$H$52,Цены!$K$52,IF(BE26=Цены!$H$53,Цены!$K$53,IF(BE26=Цены!$H$54,Цены!$K$54,IF(BE26=Цены!$H$55,Цены!$K$55))))))))))))))))))))))))))))))))))))))))))))))))))))))</f>
        <v>0</v>
      </c>
      <c r="BJ26" s="265"/>
      <c r="BK26" s="265"/>
      <c r="BL26" s="272"/>
      <c r="BM26" s="273"/>
      <c r="BN26" s="273"/>
      <c r="BO26" s="268"/>
      <c r="BP26" s="281"/>
      <c r="BQ26" s="275"/>
      <c r="BR26" s="208"/>
      <c r="BS26" s="199"/>
      <c r="BT26" s="200" t="b">
        <f>IF(BR26=Цены!$H$3,Цены!$L$3,IF(BR26=Цены!$H$4,Цены!$L$4,IF(BR26=Цены!$H$5,Цены!$L$5,IF(BR26=Цены!$H$6,Цены!$L$6,IF(BR26=Цены!$H$7,Цены!$L$7,IF(BR26=Цены!$H$8,Цены!$L$8,IF(BR26=Цены!$H$9,Цены!$L$9,IF(BR26=Цены!$H$10,Цены!$L$10,IF(BR26=Цены!$H$11,Цены!$L$11,IF(BR26=Цены!$H$12,Цены!$L$12,IF(BR26=Цены!$H$13,Цены!$L$13,IF(BR26=Цены!$H$14,Цены!$L$14,IF(BR26=Цены!$H$14,Цены!$L$14,IF(BR26=Цены!$H$15,Цены!$L$15,IF(BR26=Цены!$H$16,Цены!$L$16,IF(BR26=Цены!$H$17,Цены!$L$17,IF(BR26=Цены!$H$18,Цены!$L$18,IF(BR26=Цены!$H$19,Цены!$L$19,IF(BR26=Цены!$H$20,Цены!$L$20,IF(BR26=Цены!$H$21,Цены!$L$21,IF(BR26=Цены!$H$22,Цены!$L$22,IF(BR26=Цены!$H$23,Цены!$L$23,IF(BR26=Цены!$H$24,Цены!$L$24,IF(BR26=Цены!$H$25,Цены!$L$25,IF(BR26=Цены!$H$26,Цены!$L$26,IF(BR26=Цены!$H$27,Цены!$L$27,IF(BR26=Цены!$H$28,Цены!$L$28,IF(BR26=Цены!$H$29,Цены!$L$29,IF(BR26=Цены!$H$30,Цены!$L$30,IF(BR26=Цены!$H$31,Цены!$L$31,IF(BR26=Цены!$H$32,Цены!$L$32,IF(BR26=Цены!$H$33,Цены!$L$33,IF(BR26=Цены!$H$34,Цены!$L$34,IF(BR26=Цены!$H$35,Цены!$L$35,IF(BR26=Цены!$H$36,Цены!$L$36,IF(BR26=Цены!$H$37,Цены!$L$37,IF(BR26=Цены!$H$38,Цены!$L$38,IF(BR26=Цены!$H$39,Цены!$L$39,IF(BR26=Цены!$H$40,Цены!$L$40,IF(BR26=Цены!$H$41,Цены!$L$41,IF(BR26=Цены!$H$42,Цены!$L$42,IF(BR26=Цены!$H$43,Цены!$L$43,IF(BR26=Цены!$H$44,Цены!$L$44,IF(BR26=Цены!$H$45,Цены!$L$45,IF(BR26=Цены!$H$46,Цены!$L$46,IF(BR26=Цены!$H$47,Цены!$L$47,IF(BR26=Цены!$H$48,Цены!$L$48,IF(BR26=Цены!$H$49,Цены!$L$49,IF(BR26=Цены!$H$50,Цены!$L$50,IF(BR26=Цены!$H$51,Цены!$L$51,IF(BR26=Цены!$H$52,Цены!$L$52,IF(BR26=Цены!$H$53,Цены!$L$53,IF(BR26=Цены!$H$54,Цены!$L$54,IF(BR26=Цены!$H$55,Цены!$L$55))))))))))))))))))))))))))))))))))))))))))))))))))))))</f>
        <v>0</v>
      </c>
      <c r="BU26" s="284"/>
      <c r="BV26" s="201" t="b">
        <f>IF(BR26=Цены!$H$3,Цены!$K$3,IF(BR26=Цены!$H$4,Цены!$K$4,IF(BR26=Цены!$H$5,Цены!$K$5,IF(BR26=Цены!$H$6,Цены!$K$6,IF(BR26=Цены!$H$7,Цены!$K$7,IF(BR26=Цены!$H$8,Цены!$K$8,IF(BR26=Цены!$H$9,Цены!$K$9,IF(BR26=Цены!$H$10,Цены!$K$10,IF(BR26=Цены!$H$11,Цены!$K$11,IF(BR26=Цены!$H$12,Цены!$K$12,IF(BR26=Цены!$H$13,Цены!$K$13,IF(BR26=Цены!$H$14,Цены!$K$14,IF(BR26=Цены!$H$14,Цены!$K$14,IF(BR26=Цены!$H$15,Цены!$K$15,IF(BR26=Цены!$H$16,Цены!$K$16,IF(BR26=Цены!$H$17,Цены!$K$17,IF(BR26=Цены!$H$18,Цены!$K$18,IF(BR26=Цены!$H$19,Цены!$K$19,IF(BR26=Цены!$H$20,Цены!$K$20,IF(BR26=Цены!$H$21,Цены!$K$21,IF(BR26=Цены!$H$22,Цены!$K$22,IF(BR26=Цены!$H$23,Цены!$K$23,IF(BR26=Цены!$H$24,Цены!$K$24,IF(BR26=Цены!$H$25,Цены!$K$25,IF(BR26=Цены!$H$26,Цены!$K$26,IF(BR26=Цены!$H$27,Цены!$K$27,IF(BR26=Цены!$H$28,Цены!$K$28,IF(BR26=Цены!$H$29,Цены!$K$29,IF(BR26=Цены!$H$30,Цены!$K$30,IF(BR26=Цены!$H$31,Цены!$K$31,IF(BR26=Цены!$H$32,Цены!$K$32,IF(BR26=Цены!$H$33,Цены!$K$33,IF(BR26=Цены!$H$34,Цены!$K$34,IF(BR26=Цены!$H$35,Цены!$K$35,IF(BR26=Цены!$H$36,Цены!$K$36,IF(BR26=Цены!$H$37,Цены!$K$37,IF(BR26=Цены!$H$38,Цены!$K$38,IF(BR26=Цены!$H$39,Цены!$K$39,IF(BR26=Цены!$H$40,Цены!$K$40,IF(BR26=Цены!$H$41,Цены!$K$41,IF(BR26=Цены!$H$42,Цены!$K$42,IF(BR26=Цены!$H$43,Цены!$K$43,IF(BR26=Цены!$H$44,Цены!$K$44,IF(BR26=Цены!$H$45,Цены!$K$45,IF(BR26=Цены!$H$46,Цены!$K$46,IF(BR26=Цены!$H$47,Цены!$K$47,IF(BR26=Цены!$H$48,Цены!$K$48,IF(BR26=Цены!$H$49,Цены!$K$49,IF(BR26=Цены!$H$50,Цены!$K$50,IF(BR26=Цены!$H$51,Цены!$K$51,IF(BR26=Цены!$H$52,Цены!$K$52,IF(BR26=Цены!$H$53,Цены!$K$53,IF(BR26=Цены!$H$54,Цены!$K$54,IF(BR26=Цены!$H$55,Цены!$K$55))))))))))))))))))))))))))))))))))))))))))))))))))))))</f>
        <v>0</v>
      </c>
      <c r="BW26" s="265"/>
      <c r="BX26" s="265"/>
      <c r="BY26" s="272"/>
      <c r="BZ26" s="273"/>
      <c r="CA26" s="273"/>
      <c r="CB26" s="268"/>
      <c r="CC26" s="285"/>
      <c r="CD26" s="275"/>
      <c r="CE26" s="183" t="s">
        <v>121</v>
      </c>
      <c r="CF26" s="202">
        <v>2</v>
      </c>
      <c r="CG26" s="203">
        <f>IF(CE26=Цены!$H$3,Цены!$L$3,IF(CE26=Цены!$H$4,Цены!$L$4,IF(CE26=Цены!$H$5,Цены!$L$5,IF(CE26=Цены!$H$6,Цены!$L$6,IF(CE26=Цены!$H$7,Цены!$L$7,IF(CE26=Цены!$H$8,Цены!$L$8,IF(CE26=Цены!$H$9,Цены!$L$9,IF(CE26=Цены!$H$10,Цены!$L$10,IF(CE26=Цены!$H$11,Цены!$L$11,IF(CE26=Цены!$H$12,Цены!$L$12,IF(CE26=Цены!$H$13,Цены!$L$13,IF(CE26=Цены!$H$14,Цены!$L$14,IF(CE26=Цены!$H$14,Цены!$L$14,IF(CE26=Цены!$H$15,Цены!$L$15,IF(CE26=Цены!$H$16,Цены!$L$16,IF(CE26=Цены!$H$17,Цены!$L$17,IF(CE26=Цены!$H$18,Цены!$L$18,IF(CE26=Цены!$H$19,Цены!$L$19,IF(CE26=Цены!$H$20,Цены!$L$20,IF(CE26=Цены!$H$21,Цены!$L$21,IF(CE26=Цены!$H$22,Цены!$L$22,IF(CE26=Цены!$H$23,Цены!$L$23,IF(CE26=Цены!$H$24,Цены!$L$24,IF(CE26=Цены!$H$25,Цены!$L$25,IF(CE26=Цены!$H$26,Цены!$L$26,IF(CE26=Цены!$H$27,Цены!$L$27,IF(CE26=Цены!$H$28,Цены!$L$28,IF(CE26=Цены!$H$29,Цены!$L$29,IF(CE26=Цены!$H$30,Цены!$L$30,IF(CE26=Цены!$H$31,Цены!$L$31,IF(CE26=Цены!$H$32,Цены!$L$32,IF(CE26=Цены!$H$33,Цены!$L$33,IF(CE26=Цены!$H$34,Цены!$L$34,IF(CE26=Цены!$H$35,Цены!$L$35,IF(CE26=Цены!$H$36,Цены!$L$36,IF(CE26=Цены!$H$37,Цены!$L$37,IF(CE26=Цены!$H$38,Цены!$L$38,IF(CE26=Цены!$H$39,Цены!$L$39,IF(CE26=Цены!$H$40,Цены!$L$40,IF(CE26=Цены!$H$41,Цены!$L$41,IF(CE26=Цены!$H$42,Цены!$L$42,IF(CE26=Цены!$H$43,Цены!$L$43,IF(CE26=Цены!$H$44,Цены!$L$44,IF(CE26=Цены!$H$45,Цены!$L$45,IF(CE26=Цены!$H$46,Цены!$L$46,IF(CE26=Цены!$H$47,Цены!$L$47,IF(CE26=Цены!$H$48,Цены!$L$48,IF(CE26=Цены!$H$49,Цены!$L$49,IF(CE26=Цены!$H$50,Цены!$L$50,IF(CE26=Цены!$H$51,Цены!$L$51,IF(CE26=Цены!$H$52,Цены!$L$52,IF(CE26=Цены!$H$53,Цены!$L$53,IF(CE26=Цены!$H$54,Цены!$L$54,IF(CE26=Цены!$H$55,Цены!$L$55))))))))))))))))))))))))))))))))))))))))))))))))))))))</f>
        <v>1.32E-2</v>
      </c>
      <c r="CH26" s="282"/>
      <c r="CI26" s="204">
        <f>IF(CE26=Цены!$H$3,Цены!$K$3,IF(CE26=Цены!$H$4,Цены!$K$4,IF(CE26=Цены!$H$5,Цены!$K$5,IF(CE26=Цены!$H$6,Цены!$K$6,IF(CE26=Цены!$H$7,Цены!$K$7,IF(CE26=Цены!$H$8,Цены!$K$8,IF(CE26=Цены!$H$9,Цены!$K$9,IF(CE26=Цены!$H$10,Цены!$K$10,IF(CE26=Цены!$H$11,Цены!$K$11,IF(CE26=Цены!$H$12,Цены!$K$12,IF(CE26=Цены!$H$13,Цены!$K$13,IF(CE26=Цены!$H$14,Цены!$K$14,IF(CE26=Цены!$H$14,Цены!$K$14,IF(CE26=Цены!$H$15,Цены!$K$15,IF(CE26=Цены!$H$16,Цены!$K$16,IF(CE26=Цены!$H$17,Цены!$K$17,IF(CE26=Цены!$H$18,Цены!$K$18,IF(CE26=Цены!$H$19,Цены!$K$19,IF(CE26=Цены!$H$20,Цены!$K$20,IF(CE26=Цены!$H$21,Цены!$K$21,IF(CE26=Цены!$H$22,Цены!$K$22,IF(CE26=Цены!$H$23,Цены!$K$23,IF(CE26=Цены!$H$24,Цены!$K$24,IF(CE26=Цены!$H$25,Цены!$K$25,IF(CE26=Цены!$H$26,Цены!$K$26,IF(CE26=Цены!$H$27,Цены!$K$27,IF(CE26=Цены!$H$28,Цены!$K$28,IF(CE26=Цены!$H$29,Цены!$K$29,IF(CE26=Цены!$H$30,Цены!$K$30,IF(CE26=Цены!$H$31,Цены!$K$31,IF(CE26=Цены!$H$32,Цены!$K$32,IF(CE26=Цены!$H$33,Цены!$K$33,IF(CE26=Цены!$H$34,Цены!$K$34,IF(CE26=Цены!$H$35,Цены!$K$35,IF(CE26=Цены!$H$36,Цены!$K$36,IF(CE26=Цены!$H$37,Цены!$K$37,IF(CE26=Цены!$H$38,Цены!$K$38,IF(CE26=Цены!$H$39,Цены!$K$39,IF(CE26=Цены!$H$40,Цены!$K$40,IF(CE26=Цены!$H$41,Цены!$K$41,IF(CE26=Цены!$H$42,Цены!$K$42,IF(CE26=Цены!$H$43,Цены!$K$43,IF(CE26=Цены!$H$44,Цены!$K$44,IF(CE26=Цены!$H$45,Цены!$K$45,IF(CE26=Цены!$H$46,Цены!$K$46,IF(CE26=Цены!$H$47,Цены!$K$47,IF(CE26=Цены!$H$48,Цены!$K$48,IF(CE26=Цены!$H$49,Цены!$K$49,IF(CE26=Цены!$H$50,Цены!$K$50,IF(CE26=Цены!$H$51,Цены!$K$51,IF(CE26=Цены!$H$52,Цены!$K$52,IF(CE26=Цены!$H$53,Цены!$K$53,IF(CE26=Цены!$H$54,Цены!$K$54,IF(CE26=Цены!$H$55,Цены!$K$55))))))))))))))))))))))))))))))))))))))))))))))))))))))</f>
        <v>54</v>
      </c>
      <c r="CJ26" s="265"/>
      <c r="CK26" s="265"/>
      <c r="CL26" s="272"/>
      <c r="CM26" s="273"/>
      <c r="CN26" s="273"/>
      <c r="CO26" s="268"/>
      <c r="CP26" s="283"/>
      <c r="CQ26" s="275"/>
    </row>
    <row r="27" spans="1:95" ht="15" customHeight="1" x14ac:dyDescent="0.25">
      <c r="A27" s="337" t="s">
        <v>170</v>
      </c>
      <c r="B27" s="265" t="s">
        <v>112</v>
      </c>
      <c r="C27" s="338" t="s">
        <v>167</v>
      </c>
      <c r="D27" s="175" t="s">
        <v>166</v>
      </c>
      <c r="E27" s="176">
        <v>8</v>
      </c>
      <c r="F27" s="177">
        <f>IF(D27=Цены!$H$3,Цены!$L$3,IF(D27=Цены!$H$4,Цены!$L$4,IF(D27=Цены!$H$5,Цены!$L$5,IF(D27=Цены!$H$6,Цены!$L$6,IF(D27=Цены!$H$7,Цены!$L$7,IF(D27=Цены!$H$8,Цены!$L$8,IF(D27=Цены!$H$9,Цены!$L$9,IF(D27=Цены!$H$10,Цены!$L$10,IF(D27=Цены!$H$11,Цены!$L$11,IF(D27=Цены!$H$12,Цены!$L$12,IF(D27=Цены!$H$13,Цены!$L$13,IF(D27=Цены!$H$14,Цены!$L$14,IF(D27=Цены!$H$14,Цены!$L$14,IF(D27=Цены!$H$15,Цены!$L$15,IF(D27=Цены!$H$16,Цены!$L$16,IF(D27=Цены!$H$17,Цены!$L$17,IF(D27=Цены!$H$18,Цены!$L$18,IF(D27=Цены!$H$19,Цены!$L$19,IF(D27=Цены!$H$20,Цены!$L$20,IF(D27=Цены!$H$21,Цены!$L$21,IF(D27=Цены!$H$22,Цены!$L$22,IF(D27=Цены!$H$23,Цены!$L$23,IF(D27=Цены!$H$24,Цены!$L$24,IF(D27=Цены!$H$25,Цены!$L$25,IF(D27=Цены!$H$26,Цены!$L$26,IF(D27=Цены!$H$27,Цены!$L$27,IF(D27=Цены!$H$28,Цены!$L$28,IF(D27=Цены!$H$29,Цены!$L$29,IF(D27=Цены!$H$30,Цены!$L$30,IF(D27=Цены!$H$31,Цены!$L$31,IF(D27=Цены!$H$32,Цены!$L$32,IF(D27=Цены!$H$33,Цены!$L$33,IF(D27=Цены!$H$34,Цены!$L$34,IF(D27=Цены!$H$35,Цены!$L$35,IF(D27=Цены!$H$36,Цены!$L$36,IF(D27=Цены!$H$37,Цены!$L$37,IF(D27=Цены!$H$38,Цены!$L$38,IF(D27=Цены!$H$39,Цены!$L$39,IF(D27=Цены!$H$40,Цены!$L$40,IF(D27=Цены!$H$41,Цены!$L$41,IF(D27=Цены!$H$42,Цены!$L$42,IF(D27=Цены!$H$43,Цены!$L$43,IF(D27=Цены!$H$44,Цены!$L$44,IF(D27=Цены!$H$45,Цены!$L$45,IF(D27=Цены!$H$46,Цены!$L$46,IF(D27=Цены!$H$47,Цены!$L$47,IF(D27=Цены!$H$48,Цены!$L$48,IF(D27=Цены!$H$49,Цены!$L$49,IF(D27=Цены!$H$50,Цены!$L$50,IF(D27=Цены!$H$51,Цены!$L$51,IF(D27=Цены!$H$52,Цены!$L$52,IF(D27=Цены!$H$53,Цены!$L$53,IF(D27=Цены!$H$54,Цены!$L$54,IF(D27=Цены!$H$55,Цены!$L$55))))))))))))))))))))))))))))))))))))))))))))))))))))))</f>
        <v>1.23</v>
      </c>
      <c r="G27" s="309">
        <f>E27*F27+E28*F28+E29*F29+E30*F30</f>
        <v>11.806400000000002</v>
      </c>
      <c r="H27" s="178">
        <f>IF(D27=Цены!$H$3,Цены!$K$3,IF(D27=Цены!$H$4,Цены!$K$4,IF(D27=Цены!$H$5,Цены!$K$5,IF(D27=Цены!$H$6,Цены!$K$6,IF(D27=Цены!$H$7,Цены!$K$7,IF(D27=Цены!$H$8,Цены!$K$8,IF(D27=Цены!$H$9,Цены!$K$9,IF(D27=Цены!$H$10,Цены!$K$10,IF(D27=Цены!$H$11,Цены!$K$11,IF(D27=Цены!$H$12,Цены!$K$12,IF(D27=Цены!$H$13,Цены!$K$13,IF(D27=Цены!$H$14,Цены!$K$14,IF(D27=Цены!$H$14,Цены!$K$14,IF(D27=Цены!$H$15,Цены!$K$15,IF(D27=Цены!$H$16,Цены!$K$16,IF(D27=Цены!$H$17,Цены!$K$17,IF(D27=Цены!$H$18,Цены!$K$18,IF(D27=Цены!$H$19,Цены!$K$19,IF(D27=Цены!$H$20,Цены!$K$20,IF(D27=Цены!$H$21,Цены!$K$21,IF(D27=Цены!$H$22,Цены!$K$22,IF(D27=Цены!$H$23,Цены!$K$23,IF(D27=Цены!$H$24,Цены!$K$24,IF(D27=Цены!$H$25,Цены!$K$25,IF(D27=Цены!$H$26,Цены!$K$26,IF(D27=Цены!$H$27,Цены!$K$27,IF(D27=Цены!$H$28,Цены!$K$28,IF(D27=Цены!$H$29,Цены!$K$29,IF(D27=Цены!$H$30,Цены!$K$30,IF(D27=Цены!$H$31,Цены!$K$31,IF(D27=Цены!$H$32,Цены!$K$32,IF(D27=Цены!$H$33,Цены!$K$33,IF(D27=Цены!$H$34,Цены!$K$34,IF(D27=Цены!$H$35,Цены!$K$35,IF(D27=Цены!$H$36,Цены!$K$36,IF(D27=Цены!$H$37,Цены!$K$37,IF(D27=Цены!$H$38,Цены!$K$38,IF(D27=Цены!$H$39,Цены!$K$39,IF(D27=Цены!$H$40,Цены!$K$40,IF(D27=Цены!$H$41,Цены!$K$41,IF(D27=Цены!$H$42,Цены!$K$42,IF(D27=Цены!$H$43,Цены!$K$43,IF(D27=Цены!$H$44,Цены!$K$44,IF(D27=Цены!$H$45,Цены!$K$45,IF(D27=Цены!$H$46,Цены!$K$46,IF(D27=Цены!$H$47,Цены!$K$47,IF(D27=Цены!$H$48,Цены!$K$48,IF(D27=Цены!$H$49,Цены!$K$49,IF(D27=Цены!$H$50,Цены!$K$50,IF(D27=Цены!$H$51,Цены!$K$51,IF(D27=Цены!$H$52,Цены!$K$52,IF(D27=Цены!$H$53,Цены!$K$53,IF(D27=Цены!$H$54,Цены!$K$54,IF(D27=Цены!$H$55,Цены!$K$55))))))))))))))))))))))))))))))))))))))))))))))))))))))</f>
        <v>255</v>
      </c>
      <c r="I27" s="286">
        <v>0.35</v>
      </c>
      <c r="J27" s="265">
        <v>800</v>
      </c>
      <c r="K27" s="266">
        <f>E27*H27+E28*H28+E29*H29+E30*H30</f>
        <v>5540</v>
      </c>
      <c r="L27" s="326">
        <v>6000</v>
      </c>
      <c r="M27" s="266">
        <f t="shared" ref="M27" si="41">K27+L27</f>
        <v>11540</v>
      </c>
      <c r="N27" s="319">
        <v>8000</v>
      </c>
      <c r="O27" s="310">
        <f>N27/M27*100</f>
        <v>69.324090121317155</v>
      </c>
      <c r="P27" s="270">
        <f>MROUND(M27+N27,500)</f>
        <v>19500</v>
      </c>
      <c r="Q27" s="172" t="s">
        <v>165</v>
      </c>
      <c r="R27" s="176">
        <v>7</v>
      </c>
      <c r="S27" s="177">
        <f>IF(Q27=Цены!$H$3,Цены!$L$3,IF(Q27=Цены!$H$4,Цены!$L$4,IF(Q27=Цены!$H$5,Цены!$L$5,IF(Q27=Цены!$H$6,Цены!$L$6,IF(Q27=Цены!$H$7,Цены!$L$7,IF(Q27=Цены!$H$8,Цены!$L$8,IF(Q27=Цены!$H$9,Цены!$L$9,IF(Q27=Цены!$H$10,Цены!$L$10,IF(Q27=Цены!$H$11,Цены!$L$11,IF(Q27=Цены!$H$12,Цены!$L$12,IF(Q27=Цены!$H$13,Цены!$L$13,IF(Q27=Цены!$H$14,Цены!$L$14,IF(Q27=Цены!$H$14,Цены!$L$14,IF(Q27=Цены!$H$15,Цены!$L$15,IF(Q27=Цены!$H$16,Цены!$L$16,IF(Q27=Цены!$H$17,Цены!$L$17,IF(Q27=Цены!$H$18,Цены!$L$18,IF(Q27=Цены!$H$19,Цены!$L$19,IF(Q27=Цены!$H$20,Цены!$L$20,IF(Q27=Цены!$H$21,Цены!$L$21,IF(Q27=Цены!$H$22,Цены!$L$22,IF(Q27=Цены!$H$23,Цены!$L$23,IF(Q27=Цены!$H$24,Цены!$L$24,IF(Q27=Цены!$H$25,Цены!$L$25,IF(Q27=Цены!$H$26,Цены!$L$26,IF(Q27=Цены!$H$27,Цены!$L$27,IF(Q27=Цены!$H$28,Цены!$L$28,IF(Q27=Цены!$H$29,Цены!$L$29,IF(Q27=Цены!$H$30,Цены!$L$30,IF(Q27=Цены!$H$31,Цены!$L$31,IF(Q27=Цены!$H$32,Цены!$L$32,IF(Q27=Цены!$H$33,Цены!$L$33,IF(Q27=Цены!$H$34,Цены!$L$34,IF(Q27=Цены!$H$35,Цены!$L$35,IF(Q27=Цены!$H$36,Цены!$L$36,IF(Q27=Цены!$H$37,Цены!$L$37,IF(Q27=Цены!$H$38,Цены!$L$38,IF(Q27=Цены!$H$39,Цены!$L$39,IF(Q27=Цены!$H$40,Цены!$L$40,IF(Q27=Цены!$H$41,Цены!$L$41,IF(Q27=Цены!$H$42,Цены!$L$42,IF(Q27=Цены!$H$43,Цены!$L$43,IF(Q27=Цены!$H$44,Цены!$L$44,IF(Q27=Цены!$H$45,Цены!$L$45,IF(Q27=Цены!$H$46,Цены!$L$46,IF(Q27=Цены!$H$47,Цены!$L$47,IF(Q27=Цены!$H$48,Цены!$L$48,IF(Q27=Цены!$H$49,Цены!$L$49,IF(Q27=Цены!$H$50,Цены!$L$50,IF(Q27=Цены!$H$51,Цены!$L$51,IF(Q27=Цены!$H$52,Цены!$L$52,IF(Q27=Цены!$H$53,Цены!$L$53,IF(Q27=Цены!$H$54,Цены!$L$54,IF(Q27=Цены!$H$55,Цены!$L$55))))))))))))))))))))))))))))))))))))))))))))))))))))))</f>
        <v>1.85</v>
      </c>
      <c r="T27" s="309">
        <f>R27*S27+R28*S28+R29*S29+R30*S30</f>
        <v>15.510000000000002</v>
      </c>
      <c r="U27" s="179">
        <f>IF(Q27=Цены!$H$3,Цены!$K$3,IF(Q27=Цены!$H$4,Цены!$K$4,IF(Q27=Цены!$H$5,Цены!$K$5,IF(Q27=Цены!$H$6,Цены!$K$6,IF(Q27=Цены!$H$7,Цены!$K$7,IF(Q27=Цены!$H$8,Цены!$K$8,IF(Q27=Цены!$H$9,Цены!$K$9,IF(Q27=Цены!$H$10,Цены!$K$10,IF(Q27=Цены!$H$11,Цены!$K$11,IF(Q27=Цены!$H$12,Цены!$K$12,IF(Q27=Цены!$H$13,Цены!$K$13,IF(Q27=Цены!$H$14,Цены!$K$14,IF(Q27=Цены!$H$14,Цены!$K$14,IF(Q27=Цены!$H$15,Цены!$K$15,IF(Q27=Цены!$H$16,Цены!$K$16,IF(Q27=Цены!$H$17,Цены!$K$17,IF(Q27=Цены!$H$18,Цены!$K$18,IF(Q27=Цены!$H$19,Цены!$K$19,IF(Q27=Цены!$H$20,Цены!$K$20,IF(Q27=Цены!$H$21,Цены!$K$21,IF(Q27=Цены!$H$22,Цены!$K$22,IF(Q27=Цены!$H$23,Цены!$K$23,IF(Q27=Цены!$H$24,Цены!$K$24,IF(Q27=Цены!$H$25,Цены!$K$25,IF(Q27=Цены!$H$26,Цены!$K$26,IF(Q27=Цены!$H$27,Цены!$K$27,IF(Q27=Цены!$H$28,Цены!$K$28,IF(Q27=Цены!$H$29,Цены!$K$29,IF(Q27=Цены!$H$30,Цены!$K$30,IF(Q27=Цены!$H$31,Цены!$K$31,IF(Q27=Цены!$H$32,Цены!$K$32,IF(Q27=Цены!$H$33,Цены!$K$33,IF(Q27=Цены!$H$34,Цены!$K$34,IF(Q27=Цены!$H$35,Цены!$K$35,IF(Q27=Цены!$H$36,Цены!$K$36,IF(Q27=Цены!$H$37,Цены!$K$37,IF(Q27=Цены!$H$38,Цены!$K$38,IF(Q27=Цены!$H$39,Цены!$K$39,IF(Q27=Цены!$H$40,Цены!$K$40,IF(Q27=Цены!$H$41,Цены!$K$41,IF(Q27=Цены!$H$42,Цены!$K$42,IF(Q27=Цены!$H$43,Цены!$K$43,IF(Q27=Цены!$H$44,Цены!$K$44,IF(Q27=Цены!$H$45,Цены!$K$45,IF(Q27=Цены!$H$46,Цены!$K$46,IF(Q27=Цены!$H$47,Цены!$K$47,IF(Q27=Цены!$H$48,Цены!$K$48,IF(Q27=Цены!$H$49,Цены!$K$49,IF(Q27=Цены!$H$50,Цены!$K$50,IF(Q27=Цены!$H$51,Цены!$K$51,IF(Q27=Цены!$H$52,Цены!$K$52,IF(Q27=Цены!$H$53,Цены!$K$53,IF(Q27=Цены!$H$54,Цены!$K$54,IF(Q27=Цены!$H$55,Цены!$K$55))))))))))))))))))))))))))))))))))))))))))))))))))))))</f>
        <v>318</v>
      </c>
      <c r="V27" s="265">
        <v>4</v>
      </c>
      <c r="W27" s="265">
        <v>1000</v>
      </c>
      <c r="X27" s="266">
        <f>R27*U27+R28*U28+R29*U29+R30*U30</f>
        <v>3474</v>
      </c>
      <c r="Y27" s="267">
        <v>3000</v>
      </c>
      <c r="Z27" s="266">
        <f>X27+Y27</f>
        <v>6474</v>
      </c>
      <c r="AA27" s="319">
        <v>5000</v>
      </c>
      <c r="AB27" s="310">
        <f>AA27/Z27*100</f>
        <v>77.23200494284832</v>
      </c>
      <c r="AC27" s="270">
        <f>MROUND(Z27+AA27,500)</f>
        <v>11500</v>
      </c>
      <c r="AD27" s="172" t="s">
        <v>165</v>
      </c>
      <c r="AE27" s="176">
        <v>6</v>
      </c>
      <c r="AF27" s="177">
        <f>IF(AD27=Цены!$H$3,Цены!$L$3,IF(AD27=Цены!$H$4,Цены!$L$4,IF(AD27=Цены!$H$5,Цены!$L$5,IF(AD27=Цены!$H$6,Цены!$L$6,IF(AD27=Цены!$H$7,Цены!$L$7,IF(AD27=Цены!$H$8,Цены!$L$8,IF(AD27=Цены!$H$9,Цены!$L$9,IF(AD27=Цены!$H$10,Цены!$L$10,IF(AD27=Цены!$H$11,Цены!$L$11,IF(AD27=Цены!$H$12,Цены!$L$12,IF(AD27=Цены!$H$13,Цены!$L$13,IF(AD27=Цены!$H$14,Цены!$L$14,IF(AD27=Цены!$H$14,Цены!$L$14,IF(AD27=Цены!$H$15,Цены!$L$15,IF(AD27=Цены!$H$16,Цены!$L$16,IF(AD27=Цены!$H$17,Цены!$L$17,IF(AD27=Цены!$H$18,Цены!$L$18,IF(AD27=Цены!$H$19,Цены!$L$19,IF(AD27=Цены!$H$20,Цены!$L$20,IF(AD27=Цены!$H$21,Цены!$L$21,IF(AD27=Цены!$H$22,Цены!$L$22,IF(AD27=Цены!$H$23,Цены!$L$23,IF(AD27=Цены!$H$24,Цены!$L$24,IF(AD27=Цены!$H$25,Цены!$L$25,IF(AD27=Цены!$H$26,Цены!$L$26,IF(AD27=Цены!$H$27,Цены!$L$27,IF(AD27=Цены!$H$28,Цены!$L$28,IF(AD27=Цены!$H$29,Цены!$L$29,IF(AD27=Цены!$H$30,Цены!$L$30,IF(AD27=Цены!$H$31,Цены!$L$31,IF(AD27=Цены!$H$32,Цены!$L$32,IF(AD27=Цены!$H$33,Цены!$L$33,IF(AD27=Цены!$H$34,Цены!$L$34,IF(AD27=Цены!$H$35,Цены!$L$35,IF(AD27=Цены!$H$36,Цены!$L$36,IF(AD27=Цены!$H$37,Цены!$L$37,IF(AD27=Цены!$H$38,Цены!$L$38,IF(AD27=Цены!$H$39,Цены!$L$39,IF(AD27=Цены!$H$40,Цены!$L$40,IF(AD27=Цены!$H$41,Цены!$L$41,IF(AD27=Цены!$H$42,Цены!$L$42,IF(AD27=Цены!$H$43,Цены!$L$43,IF(AD27=Цены!$H$44,Цены!$L$44,IF(AD27=Цены!$H$45,Цены!$L$45,IF(AD27=Цены!$H$46,Цены!$L$46,IF(AD27=Цены!$H$47,Цены!$L$47,IF(AD27=Цены!$H$48,Цены!$L$48,IF(AD27=Цены!$H$49,Цены!$L$49,IF(AD27=Цены!$H$50,Цены!$L$50,IF(AD27=Цены!$H$51,Цены!$L$51,IF(AD27=Цены!$H$52,Цены!$L$52,IF(AD27=Цены!$H$53,Цены!$L$53,IF(AD27=Цены!$H$54,Цены!$L$54,IF(AD27=Цены!$H$55,Цены!$L$55))))))))))))))))))))))))))))))))))))))))))))))))))))))</f>
        <v>1.85</v>
      </c>
      <c r="AG27" s="309">
        <f>AE27*AF27+AE28*AF28+AE29*AF29+AE30*AF30</f>
        <v>30.460000000000004</v>
      </c>
      <c r="AH27" s="178">
        <f>IF(AD27=Цены!$H$3,Цены!$K$3,IF(AD27=Цены!$H$4,Цены!$K$4,IF(AD27=Цены!$H$5,Цены!$K$5,IF(AD27=Цены!$H$6,Цены!$K$6,IF(AD27=Цены!$H$7,Цены!$K$7,IF(AD27=Цены!$H$8,Цены!$K$8,IF(AD27=Цены!$H$9,Цены!$K$9,IF(AD27=Цены!$H$10,Цены!$K$10,IF(AD27=Цены!$H$11,Цены!$K$11,IF(AD27=Цены!$H$12,Цены!$K$12,IF(AD27=Цены!$H$13,Цены!$K$13,IF(AD27=Цены!$H$14,Цены!$K$14,IF(AD27=Цены!$H$14,Цены!$K$14,IF(AD27=Цены!$H$15,Цены!$K$15,IF(AD27=Цены!$H$16,Цены!$K$16,IF(AD27=Цены!$H$17,Цены!$K$17,IF(AD27=Цены!$H$18,Цены!$K$18,IF(AD27=Цены!$H$19,Цены!$K$19,IF(AD27=Цены!$H$20,Цены!$K$20,IF(AD27=Цены!$H$21,Цены!$K$21,IF(AD27=Цены!$H$22,Цены!$K$22,IF(AD27=Цены!$H$23,Цены!$K$23,IF(AD27=Цены!$H$24,Цены!$K$24,IF(AD27=Цены!$H$25,Цены!$K$25,IF(AD27=Цены!$H$26,Цены!$K$26,IF(AD27=Цены!$H$27,Цены!$K$27,IF(AD27=Цены!$H$28,Цены!$K$28,IF(AD27=Цены!$H$29,Цены!$K$29,IF(AD27=Цены!$H$30,Цены!$K$30,IF(AD27=Цены!$H$31,Цены!$K$31,IF(AD27=Цены!$H$32,Цены!$K$32,IF(AD27=Цены!$H$33,Цены!$K$33,IF(AD27=Цены!$H$34,Цены!$K$34,IF(AD27=Цены!$H$35,Цены!$K$35,IF(AD27=Цены!$H$36,Цены!$K$36,IF(AD27=Цены!$H$37,Цены!$K$37,IF(AD27=Цены!$H$38,Цены!$K$38,IF(AD27=Цены!$H$39,Цены!$K$39,IF(AD27=Цены!$H$40,Цены!$K$40,IF(AD27=Цены!$H$41,Цены!$K$41,IF(AD27=Цены!$H$42,Цены!$K$42,IF(AD27=Цены!$H$43,Цены!$K$43,IF(AD27=Цены!$H$44,Цены!$K$44,IF(AD27=Цены!$H$45,Цены!$K$45,IF(AD27=Цены!$H$46,Цены!$K$46,IF(AD27=Цены!$H$47,Цены!$K$47,IF(AD27=Цены!$H$48,Цены!$K$48,IF(AD27=Цены!$H$49,Цены!$K$49,IF(AD27=Цены!$H$50,Цены!$K$50,IF(AD27=Цены!$H$51,Цены!$K$51,IF(AD27=Цены!$H$52,Цены!$K$52,IF(AD27=Цены!$H$53,Цены!$K$53,IF(AD27=Цены!$H$54,Цены!$K$54,IF(AD27=Цены!$H$55,Цены!$K$55))))))))))))))))))))))))))))))))))))))))))))))))))))))</f>
        <v>318</v>
      </c>
      <c r="AI27" s="265">
        <v>6</v>
      </c>
      <c r="AJ27" s="265">
        <v>800</v>
      </c>
      <c r="AK27" s="266">
        <f>AE27*AH27+AE28*AH28+AE29*AH29+AE30*AH30</f>
        <v>7516</v>
      </c>
      <c r="AL27" s="267">
        <v>8000</v>
      </c>
      <c r="AM27" s="266">
        <f>AK27+AL27</f>
        <v>15516</v>
      </c>
      <c r="AN27" s="268">
        <v>9000</v>
      </c>
      <c r="AO27" s="310">
        <f>AN27/AM27*100</f>
        <v>58.004640371229698</v>
      </c>
      <c r="AP27" s="270">
        <f>MROUND(AM27+AN27,500)</f>
        <v>24500</v>
      </c>
      <c r="AQ27" s="209" t="s">
        <v>165</v>
      </c>
      <c r="AR27" s="180">
        <v>4</v>
      </c>
      <c r="AS27" s="181">
        <f>IF(AQ27=Цены!$H$3,Цены!$L$3,IF(AQ27=Цены!$H$4,Цены!$L$4,IF(AQ27=Цены!$H$5,Цены!$L$5,IF(AQ27=Цены!$H$6,Цены!$L$6,IF(AQ27=Цены!$H$7,Цены!$L$7,IF(AQ27=Цены!$H$8,Цены!$L$8,IF(AQ27=Цены!$H$9,Цены!$L$9,IF(AQ27=Цены!$H$10,Цены!$L$10,IF(AQ27=Цены!$H$11,Цены!$L$11,IF(AQ27=Цены!$H$12,Цены!$L$12,IF(AQ27=Цены!$H$13,Цены!$L$13,IF(AQ27=Цены!$H$14,Цены!$L$14,IF(AQ27=Цены!$H$14,Цены!$L$14,IF(AQ27=Цены!$H$15,Цены!$L$15,IF(AQ27=Цены!$H$16,Цены!$L$16,IF(AQ27=Цены!$H$17,Цены!$L$17,IF(AQ27=Цены!$H$18,Цены!$L$18,IF(AQ27=Цены!$H$19,Цены!$L$19,IF(AQ27=Цены!$H$20,Цены!$L$20,IF(AQ27=Цены!$H$21,Цены!$L$21,IF(AQ27=Цены!$H$22,Цены!$L$22,IF(AQ27=Цены!$H$23,Цены!$L$23,IF(AQ27=Цены!$H$24,Цены!$L$24,IF(AQ27=Цены!$H$25,Цены!$L$25,IF(AQ27=Цены!$H$26,Цены!$L$26,IF(AQ27=Цены!$H$27,Цены!$L$27,IF(AQ27=Цены!$H$28,Цены!$L$28,IF(AQ27=Цены!$H$29,Цены!$L$29,IF(AQ27=Цены!$H$30,Цены!$L$30,IF(AQ27=Цены!$H$31,Цены!$L$31,IF(AQ27=Цены!$H$32,Цены!$L$32,IF(AQ27=Цены!$H$33,Цены!$L$33,IF(AQ27=Цены!$H$34,Цены!$L$34,IF(AQ27=Цены!$H$35,Цены!$L$35,IF(AQ27=Цены!$H$36,Цены!$L$36,IF(AQ27=Цены!$H$37,Цены!$L$37,IF(AQ27=Цены!$H$38,Цены!$L$38,IF(AQ27=Цены!$H$39,Цены!$L$39,IF(AQ27=Цены!$H$40,Цены!$L$40,IF(AQ27=Цены!$H$41,Цены!$L$41,IF(AQ27=Цены!$H$42,Цены!$L$42,IF(AQ27=Цены!$H$43,Цены!$L$43,IF(AQ27=Цены!$H$44,Цены!$L$44,IF(AQ27=Цены!$H$45,Цены!$L$45,IF(AQ27=Цены!$H$46,Цены!$L$46,IF(AQ27=Цены!$H$47,Цены!$L$47,IF(AQ27=Цены!$H$48,Цены!$L$48,IF(AQ27=Цены!$H$49,Цены!$L$49,IF(AQ27=Цены!$H$50,Цены!$L$50,IF(AQ27=Цены!$H$51,Цены!$L$51,IF(AQ27=Цены!$H$52,Цены!$L$52,IF(AQ27=Цены!$H$53,Цены!$L$53,IF(AQ27=Цены!$H$54,Цены!$L$54,IF(AQ27=Цены!$H$55,Цены!$L$55))))))))))))))))))))))))))))))))))))))))))))))))))))))</f>
        <v>1.85</v>
      </c>
      <c r="AT27" s="276">
        <f>AR27*AS27+AR28*AS28+AR29*AS29+AR30*AS30</f>
        <v>7.9700000000000006</v>
      </c>
      <c r="AU27" s="182">
        <f>IF(AQ27=Цены!$H$3,Цены!$K$3,IF(AQ27=Цены!$H$4,Цены!$K$4,IF(AQ27=Цены!$H$5,Цены!$K$5,IF(AQ27=Цены!$H$6,Цены!$K$6,IF(AQ27=Цены!$H$7,Цены!$K$7,IF(AQ27=Цены!$H$8,Цены!$K$8,IF(AQ27=Цены!$H$9,Цены!$K$9,IF(AQ27=Цены!$H$10,Цены!$K$10,IF(AQ27=Цены!$H$11,Цены!$K$11,IF(AQ27=Цены!$H$12,Цены!$K$12,IF(AQ27=Цены!$H$13,Цены!$K$13,IF(AQ27=Цены!$H$14,Цены!$K$14,IF(AQ27=Цены!$H$14,Цены!$K$14,IF(AQ27=Цены!$H$15,Цены!$K$15,IF(AQ27=Цены!$H$16,Цены!$K$16,IF(AQ27=Цены!$H$17,Цены!$K$17,IF(AQ27=Цены!$H$18,Цены!$K$18,IF(AQ27=Цены!$H$19,Цены!$K$19,IF(AQ27=Цены!$H$20,Цены!$K$20,IF(AQ27=Цены!$H$21,Цены!$K$21,IF(AQ27=Цены!$H$22,Цены!$K$22,IF(AQ27=Цены!$H$23,Цены!$K$23,IF(AQ27=Цены!$H$24,Цены!$K$24,IF(AQ27=Цены!$H$25,Цены!$K$25,IF(AQ27=Цены!$H$26,Цены!$K$26,IF(AQ27=Цены!$H$27,Цены!$K$27,IF(AQ27=Цены!$H$28,Цены!$K$28,IF(AQ27=Цены!$H$29,Цены!$K$29,IF(AQ27=Цены!$H$30,Цены!$K$30,IF(AQ27=Цены!$H$31,Цены!$K$31,IF(AQ27=Цены!$H$32,Цены!$K$32,IF(AQ27=Цены!$H$33,Цены!$K$33,IF(AQ27=Цены!$H$34,Цены!$K$34,IF(AQ27=Цены!$H$35,Цены!$K$35,IF(AQ27=Цены!$H$36,Цены!$K$36,IF(AQ27=Цены!$H$37,Цены!$K$37,IF(AQ27=Цены!$H$38,Цены!$K$38,IF(AQ27=Цены!$H$39,Цены!$K$39,IF(AQ27=Цены!$H$40,Цены!$K$40,IF(AQ27=Цены!$H$41,Цены!$K$41,IF(AQ27=Цены!$H$42,Цены!$K$42,IF(AQ27=Цены!$H$43,Цены!$K$43,IF(AQ27=Цены!$H$44,Цены!$K$44,IF(AQ27=Цены!$H$45,Цены!$K$45,IF(AQ27=Цены!$H$46,Цены!$K$46,IF(AQ27=Цены!$H$47,Цены!$K$47,IF(AQ27=Цены!$H$48,Цены!$K$48,IF(AQ27=Цены!$H$49,Цены!$K$49,IF(AQ27=Цены!$H$50,Цены!$K$50,IF(AQ27=Цены!$H$51,Цены!$K$51,IF(AQ27=Цены!$H$52,Цены!$K$52,IF(AQ27=Цены!$H$53,Цены!$K$53,IF(AQ27=Цены!$H$54,Цены!$K$54,IF(AQ27=Цены!$H$55,Цены!$K$55))))))))))))))))))))))))))))))))))))))))))))))))))))))</f>
        <v>318</v>
      </c>
      <c r="AV27" s="265">
        <v>5.5</v>
      </c>
      <c r="AW27" s="265">
        <v>800</v>
      </c>
      <c r="AX27" s="266">
        <f>AR27*AU27+AR28*AU28+AR29*AU29+AR30*AU30</f>
        <v>2616</v>
      </c>
      <c r="AY27" s="267">
        <v>5000</v>
      </c>
      <c r="AZ27" s="266">
        <f>AX27+AY27</f>
        <v>7616</v>
      </c>
      <c r="BA27" s="268">
        <v>5000</v>
      </c>
      <c r="BB27" s="269">
        <f>BA27/AZ27*100</f>
        <v>65.651260504201687</v>
      </c>
      <c r="BC27" s="270">
        <f>MROUND(AZ27+BA27,500)</f>
        <v>12500</v>
      </c>
      <c r="BD27" s="258">
        <f>BC27+CQ27</f>
        <v>18500</v>
      </c>
      <c r="BE27" s="214" t="s">
        <v>166</v>
      </c>
      <c r="BF27" s="180">
        <v>5</v>
      </c>
      <c r="BG27" s="181">
        <f>IF(BE27=Цены!$H$3,Цены!$L$3,IF(BE27=Цены!$H$4,Цены!$L$4,IF(BE27=Цены!$H$5,Цены!$L$5,IF(BE27=Цены!$H$6,Цены!$L$6,IF(BE27=Цены!$H$7,Цены!$L$7,IF(BE27=Цены!$H$8,Цены!$L$8,IF(BE27=Цены!$H$9,Цены!$L$9,IF(BE27=Цены!$H$10,Цены!$L$10,IF(BE27=Цены!$H$11,Цены!$L$11,IF(BE27=Цены!$H$12,Цены!$L$12,IF(BE27=Цены!$H$13,Цены!$L$13,IF(BE27=Цены!$H$14,Цены!$L$14,IF(BE27=Цены!$H$14,Цены!$L$14,IF(BE27=Цены!$H$15,Цены!$L$15,IF(BE27=Цены!$H$16,Цены!$L$16,IF(BE27=Цены!$H$17,Цены!$L$17,IF(BE27=Цены!$H$18,Цены!$L$18,IF(BE27=Цены!$H$19,Цены!$L$19,IF(BE27=Цены!$H$20,Цены!$L$20,IF(BE27=Цены!$H$21,Цены!$L$21,IF(BE27=Цены!$H$22,Цены!$L$22,IF(BE27=Цены!$H$23,Цены!$L$23,IF(BE27=Цены!$H$24,Цены!$L$24,IF(BE27=Цены!$H$25,Цены!$L$25,IF(BE27=Цены!$H$26,Цены!$L$26,IF(BE27=Цены!$H$27,Цены!$L$27,IF(BE27=Цены!$H$28,Цены!$L$28,IF(BE27=Цены!$H$29,Цены!$L$29,IF(BE27=Цены!$H$30,Цены!$L$30,IF(BE27=Цены!$H$31,Цены!$L$31,IF(BE27=Цены!$H$32,Цены!$L$32,IF(BE27=Цены!$H$33,Цены!$L$33,IF(BE27=Цены!$H$34,Цены!$L$34,IF(BE27=Цены!$H$35,Цены!$L$35,IF(BE27=Цены!$H$36,Цены!$L$36,IF(BE27=Цены!$H$37,Цены!$L$37,IF(BE27=Цены!$H$38,Цены!$L$38,IF(BE27=Цены!$H$39,Цены!$L$39,IF(BE27=Цены!$H$40,Цены!$L$40,IF(BE27=Цены!$H$41,Цены!$L$41,IF(BE27=Цены!$H$42,Цены!$L$42,IF(BE27=Цены!$H$43,Цены!$L$43,IF(BE27=Цены!$H$44,Цены!$L$44,IF(BE27=Цены!$H$45,Цены!$L$45,IF(BE27=Цены!$H$46,Цены!$L$46,IF(BE27=Цены!$H$47,Цены!$L$47,IF(BE27=Цены!$H$48,Цены!$L$48,IF(BE27=Цены!$H$49,Цены!$L$49,IF(BE27=Цены!$H$50,Цены!$L$50,IF(BE27=Цены!$H$51,Цены!$L$51,IF(BE27=Цены!$H$52,Цены!$L$52,IF(BE27=Цены!$H$53,Цены!$L$53,IF(BE27=Цены!$H$54,Цены!$L$54,IF(BE27=Цены!$H$55,Цены!$L$55))))))))))))))))))))))))))))))))))))))))))))))))))))))</f>
        <v>1.23</v>
      </c>
      <c r="BH27" s="276">
        <f>BF27*BG27+BF28*BG28+BF29*BG29+BF30*BG30</f>
        <v>6.7200000000000006</v>
      </c>
      <c r="BI27" s="182">
        <f>IF(BE27=Цены!$H$3,Цены!$K$3,IF(BE27=Цены!$H$4,Цены!$K$4,IF(BE27=Цены!$H$5,Цены!$K$5,IF(BE27=Цены!$H$6,Цены!$K$6,IF(BE27=Цены!$H$7,Цены!$K$7,IF(BE27=Цены!$H$8,Цены!$K$8,IF(BE27=Цены!$H$9,Цены!$K$9,IF(BE27=Цены!$H$10,Цены!$K$10,IF(BE27=Цены!$H$11,Цены!$K$11,IF(BE27=Цены!$H$12,Цены!$K$12,IF(BE27=Цены!$H$13,Цены!$K$13,IF(BE27=Цены!$H$14,Цены!$K$14,IF(BE27=Цены!$H$14,Цены!$K$14,IF(BE27=Цены!$H$15,Цены!$K$15,IF(BE27=Цены!$H$16,Цены!$K$16,IF(BE27=Цены!$H$17,Цены!$K$17,IF(BE27=Цены!$H$18,Цены!$K$18,IF(BE27=Цены!$H$19,Цены!$K$19,IF(BE27=Цены!$H$20,Цены!$K$20,IF(BE27=Цены!$H$21,Цены!$K$21,IF(BE27=Цены!$H$22,Цены!$K$22,IF(BE27=Цены!$H$23,Цены!$K$23,IF(BE27=Цены!$H$24,Цены!$K$24,IF(BE27=Цены!$H$25,Цены!$K$25,IF(BE27=Цены!$H$26,Цены!$K$26,IF(BE27=Цены!$H$27,Цены!$K$27,IF(BE27=Цены!$H$28,Цены!$K$28,IF(BE27=Цены!$H$29,Цены!$K$29,IF(BE27=Цены!$H$30,Цены!$K$30,IF(BE27=Цены!$H$31,Цены!$K$31,IF(BE27=Цены!$H$32,Цены!$K$32,IF(BE27=Цены!$H$33,Цены!$K$33,IF(BE27=Цены!$H$34,Цены!$K$34,IF(BE27=Цены!$H$35,Цены!$K$35,IF(BE27=Цены!$H$36,Цены!$K$36,IF(BE27=Цены!$H$37,Цены!$K$37,IF(BE27=Цены!$H$38,Цены!$K$38,IF(BE27=Цены!$H$39,Цены!$K$39,IF(BE27=Цены!$H$40,Цены!$K$40,IF(BE27=Цены!$H$41,Цены!$K$41,IF(BE27=Цены!$H$42,Цены!$K$42,IF(BE27=Цены!$H$43,Цены!$K$43,IF(BE27=Цены!$H$44,Цены!$K$44,IF(BE27=Цены!$H$45,Цены!$K$45,IF(BE27=Цены!$H$46,Цены!$K$46,IF(BE27=Цены!$H$47,Цены!$K$47,IF(BE27=Цены!$H$48,Цены!$K$48,IF(BE27=Цены!$H$49,Цены!$K$49,IF(BE27=Цены!$H$50,Цены!$K$50,IF(BE27=Цены!$H$51,Цены!$K$51,IF(BE27=Цены!$H$52,Цены!$K$52,IF(BE27=Цены!$H$53,Цены!$K$53,IF(BE27=Цены!$H$54,Цены!$K$54,IF(BE27=Цены!$H$55,Цены!$K$55))))))))))))))))))))))))))))))))))))))))))))))))))))))</f>
        <v>255</v>
      </c>
      <c r="BJ27" s="265">
        <v>4.5</v>
      </c>
      <c r="BK27" s="265">
        <v>800</v>
      </c>
      <c r="BL27" s="266">
        <f>BF27*BI27+BF28*BI28+BF29*BI29+BF30*BI30</f>
        <v>2619</v>
      </c>
      <c r="BM27" s="267">
        <v>5000</v>
      </c>
      <c r="BN27" s="266">
        <f>BL27+BM27</f>
        <v>7619</v>
      </c>
      <c r="BO27" s="268">
        <v>5000</v>
      </c>
      <c r="BP27" s="269">
        <f>BO27/BN27*100</f>
        <v>65.625410158813494</v>
      </c>
      <c r="BQ27" s="270">
        <f>MROUND(BN27+BO27,500)</f>
        <v>12500</v>
      </c>
      <c r="BR27" s="217" t="s">
        <v>166</v>
      </c>
      <c r="BS27" s="180">
        <v>2</v>
      </c>
      <c r="BT27" s="181">
        <f>IF(BR27=Цены!$H$3,Цены!$L$3,IF(BR27=Цены!$H$4,Цены!$L$4,IF(BR27=Цены!$H$5,Цены!$L$5,IF(BR27=Цены!$H$6,Цены!$L$6,IF(BR27=Цены!$H$7,Цены!$L$7,IF(BR27=Цены!$H$8,Цены!$L$8,IF(BR27=Цены!$H$9,Цены!$L$9,IF(BR27=Цены!$H$10,Цены!$L$10,IF(BR27=Цены!$H$11,Цены!$L$11,IF(BR27=Цены!$H$12,Цены!$L$12,IF(BR27=Цены!$H$13,Цены!$L$13,IF(BR27=Цены!$H$14,Цены!$L$14,IF(BR27=Цены!$H$14,Цены!$L$14,IF(BR27=Цены!$H$15,Цены!$L$15,IF(BR27=Цены!$H$16,Цены!$L$16,IF(BR27=Цены!$H$17,Цены!$L$17,IF(BR27=Цены!$H$18,Цены!$L$18,IF(BR27=Цены!$H$19,Цены!$L$19,IF(BR27=Цены!$H$20,Цены!$L$20,IF(BR27=Цены!$H$21,Цены!$L$21,IF(BR27=Цены!$H$22,Цены!$L$22,IF(BR27=Цены!$H$23,Цены!$L$23,IF(BR27=Цены!$H$24,Цены!$L$24,IF(BR27=Цены!$H$25,Цены!$L$25,IF(BR27=Цены!$H$26,Цены!$L$26,IF(BR27=Цены!$H$27,Цены!$L$27,IF(BR27=Цены!$H$28,Цены!$L$28,IF(BR27=Цены!$H$29,Цены!$L$29,IF(BR27=Цены!$H$30,Цены!$L$30,IF(BR27=Цены!$H$31,Цены!$L$31,IF(BR27=Цены!$H$32,Цены!$L$32,IF(BR27=Цены!$H$33,Цены!$L$33,IF(BR27=Цены!$H$34,Цены!$L$34,IF(BR27=Цены!$H$35,Цены!$L$35,IF(BR27=Цены!$H$36,Цены!$L$36,IF(BR27=Цены!$H$37,Цены!$L$37,IF(BR27=Цены!$H$38,Цены!$L$38,IF(BR27=Цены!$H$39,Цены!$L$39,IF(BR27=Цены!$H$40,Цены!$L$40,IF(BR27=Цены!$H$41,Цены!$L$41,IF(BR27=Цены!$H$42,Цены!$L$42,IF(BR27=Цены!$H$43,Цены!$L$43,IF(BR27=Цены!$H$44,Цены!$L$44,IF(BR27=Цены!$H$45,Цены!$L$45,IF(BR27=Цены!$H$46,Цены!$L$46,IF(BR27=Цены!$H$47,Цены!$L$47,IF(BR27=Цены!$H$48,Цены!$L$48,IF(BR27=Цены!$H$49,Цены!$L$49,IF(BR27=Цены!$H$50,Цены!$L$50,IF(BR27=Цены!$H$51,Цены!$L$51,IF(BR27=Цены!$H$52,Цены!$L$52,IF(BR27=Цены!$H$53,Цены!$L$53,IF(BR27=Цены!$H$54,Цены!$L$54,IF(BR27=Цены!$H$55,Цены!$L$55))))))))))))))))))))))))))))))))))))))))))))))))))))))</f>
        <v>1.23</v>
      </c>
      <c r="BU27" s="276">
        <f>BS27*BT27+BS28*BT28+BS29*BT29+BS30*BT30</f>
        <v>3.66</v>
      </c>
      <c r="BV27" s="182">
        <f>IF(BR27=Цены!$H$3,Цены!$K$3,IF(BR27=Цены!$H$4,Цены!$K$4,IF(BR27=Цены!$H$5,Цены!$K$5,IF(BR27=Цены!$H$6,Цены!$K$6,IF(BR27=Цены!$H$7,Цены!$K$7,IF(BR27=Цены!$H$8,Цены!$K$8,IF(BR27=Цены!$H$9,Цены!$K$9,IF(BR27=Цены!$H$10,Цены!$K$10,IF(BR27=Цены!$H$11,Цены!$K$11,IF(BR27=Цены!$H$12,Цены!$K$12,IF(BR27=Цены!$H$13,Цены!$K$13,IF(BR27=Цены!$H$14,Цены!$K$14,IF(BR27=Цены!$H$14,Цены!$K$14,IF(BR27=Цены!$H$15,Цены!$K$15,IF(BR27=Цены!$H$16,Цены!$K$16,IF(BR27=Цены!$H$17,Цены!$K$17,IF(BR27=Цены!$H$18,Цены!$K$18,IF(BR27=Цены!$H$19,Цены!$K$19,IF(BR27=Цены!$H$20,Цены!$K$20,IF(BR27=Цены!$H$21,Цены!$K$21,IF(BR27=Цены!$H$22,Цены!$K$22,IF(BR27=Цены!$H$23,Цены!$K$23,IF(BR27=Цены!$H$24,Цены!$K$24,IF(BR27=Цены!$H$25,Цены!$K$25,IF(BR27=Цены!$H$26,Цены!$K$26,IF(BR27=Цены!$H$27,Цены!$K$27,IF(BR27=Цены!$H$28,Цены!$K$28,IF(BR27=Цены!$H$29,Цены!$K$29,IF(BR27=Цены!$H$30,Цены!$K$30,IF(BR27=Цены!$H$31,Цены!$K$31,IF(BR27=Цены!$H$32,Цены!$K$32,IF(BR27=Цены!$H$33,Цены!$K$33,IF(BR27=Цены!$H$34,Цены!$K$34,IF(BR27=Цены!$H$35,Цены!$K$35,IF(BR27=Цены!$H$36,Цены!$K$36,IF(BR27=Цены!$H$37,Цены!$K$37,IF(BR27=Цены!$H$38,Цены!$K$38,IF(BR27=Цены!$H$39,Цены!$K$39,IF(BR27=Цены!$H$40,Цены!$K$40,IF(BR27=Цены!$H$41,Цены!$K$41,IF(BR27=Цены!$H$42,Цены!$K$42,IF(BR27=Цены!$H$43,Цены!$K$43,IF(BR27=Цены!$H$44,Цены!$K$44,IF(BR27=Цены!$H$45,Цены!$K$45,IF(BR27=Цены!$H$46,Цены!$K$46,IF(BR27=Цены!$H$47,Цены!$K$47,IF(BR27=Цены!$H$48,Цены!$K$48,IF(BR27=Цены!$H$49,Цены!$K$49,IF(BR27=Цены!$H$50,Цены!$K$50,IF(BR27=Цены!$H$51,Цены!$K$51,IF(BR27=Цены!$H$52,Цены!$K$52,IF(BR27=Цены!$H$53,Цены!$K$53,IF(BR27=Цены!$H$54,Цены!$K$54,IF(BR27=Цены!$H$55,Цены!$K$55))))))))))))))))))))))))))))))))))))))))))))))))))))))</f>
        <v>255</v>
      </c>
      <c r="BW27" s="265">
        <v>1</v>
      </c>
      <c r="BX27" s="265">
        <v>800</v>
      </c>
      <c r="BY27" s="266">
        <f>BS27*BV27+BS28*BV28+BS29*BV29+BS30*BV30</f>
        <v>842</v>
      </c>
      <c r="BZ27" s="267">
        <v>1000</v>
      </c>
      <c r="CA27" s="266">
        <f>BY27+BZ27</f>
        <v>1842</v>
      </c>
      <c r="CB27" s="268">
        <v>2000</v>
      </c>
      <c r="CC27" s="269">
        <f>CB27/CA27*100</f>
        <v>108.57763300760044</v>
      </c>
      <c r="CD27" s="270">
        <f>MROUND(CA27+CB27,500)</f>
        <v>4000</v>
      </c>
      <c r="CE27" s="171" t="s">
        <v>166</v>
      </c>
      <c r="CF27" s="180">
        <v>3</v>
      </c>
      <c r="CG27" s="181">
        <f>IF(CE27=Цены!$H$3,Цены!$L$3,IF(CE27=Цены!$H$4,Цены!$L$4,IF(CE27=Цены!$H$5,Цены!$L$5,IF(CE27=Цены!$H$6,Цены!$L$6,IF(CE27=Цены!$H$7,Цены!$L$7,IF(CE27=Цены!$H$8,Цены!$L$8,IF(CE27=Цены!$H$9,Цены!$L$9,IF(CE27=Цены!$H$10,Цены!$L$10,IF(CE27=Цены!$H$11,Цены!$L$11,IF(CE27=Цены!$H$12,Цены!$L$12,IF(CE27=Цены!$H$13,Цены!$L$13,IF(CE27=Цены!$H$14,Цены!$L$14,IF(CE27=Цены!$H$14,Цены!$L$14,IF(CE27=Цены!$H$15,Цены!$L$15,IF(CE27=Цены!$H$16,Цены!$L$16,IF(CE27=Цены!$H$17,Цены!$L$17,IF(CE27=Цены!$H$18,Цены!$L$18,IF(CE27=Цены!$H$19,Цены!$L$19,IF(CE27=Цены!$H$20,Цены!$L$20,IF(CE27=Цены!$H$21,Цены!$L$21,IF(CE27=Цены!$H$22,Цены!$L$22,IF(CE27=Цены!$H$23,Цены!$L$23,IF(CE27=Цены!$H$24,Цены!$L$24,IF(CE27=Цены!$H$25,Цены!$L$25,IF(CE27=Цены!$H$26,Цены!$L$26,IF(CE27=Цены!$H$27,Цены!$L$27,IF(CE27=Цены!$H$28,Цены!$L$28,IF(CE27=Цены!$H$29,Цены!$L$29,IF(CE27=Цены!$H$30,Цены!$L$30,IF(CE27=Цены!$H$31,Цены!$L$31,IF(CE27=Цены!$H$32,Цены!$L$32,IF(CE27=Цены!$H$33,Цены!$L$33,IF(CE27=Цены!$H$34,Цены!$L$34,IF(CE27=Цены!$H$35,Цены!$L$35,IF(CE27=Цены!$H$36,Цены!$L$36,IF(CE27=Цены!$H$37,Цены!$L$37,IF(CE27=Цены!$H$38,Цены!$L$38,IF(CE27=Цены!$H$39,Цены!$L$39,IF(CE27=Цены!$H$40,Цены!$L$40,IF(CE27=Цены!$H$41,Цены!$L$41,IF(CE27=Цены!$H$42,Цены!$L$42,IF(CE27=Цены!$H$43,Цены!$L$43,IF(CE27=Цены!$H$44,Цены!$L$44,IF(CE27=Цены!$H$45,Цены!$L$45,IF(CE27=Цены!$H$46,Цены!$L$46,IF(CE27=Цены!$H$47,Цены!$L$47,IF(CE27=Цены!$H$48,Цены!$L$48,IF(CE27=Цены!$H$49,Цены!$L$49,IF(CE27=Цены!$H$50,Цены!$L$50,IF(CE27=Цены!$H$51,Цены!$L$51,IF(CE27=Цены!$H$52,Цены!$L$52,IF(CE27=Цены!$H$53,Цены!$L$53,IF(CE27=Цены!$H$54,Цены!$L$54,IF(CE27=Цены!$H$55,Цены!$L$55))))))))))))))))))))))))))))))))))))))))))))))))))))))</f>
        <v>1.23</v>
      </c>
      <c r="CH27" s="276">
        <f>CF27*CG27+CF28*CG28+CF29*CG29+CF30*CG30</f>
        <v>4.4863999999999997</v>
      </c>
      <c r="CI27" s="182">
        <f>IF(CE27=Цены!$H$3,Цены!$K$3,IF(CE27=Цены!$H$4,Цены!$K$4,IF(CE27=Цены!$H$5,Цены!$K$5,IF(CE27=Цены!$H$6,Цены!$K$6,IF(CE27=Цены!$H$7,Цены!$K$7,IF(CE27=Цены!$H$8,Цены!$K$8,IF(CE27=Цены!$H$9,Цены!$K$9,IF(CE27=Цены!$H$10,Цены!$K$10,IF(CE27=Цены!$H$11,Цены!$K$11,IF(CE27=Цены!$H$12,Цены!$K$12,IF(CE27=Цены!$H$13,Цены!$K$13,IF(CE27=Цены!$H$14,Цены!$K$14,IF(CE27=Цены!$H$14,Цены!$K$14,IF(CE27=Цены!$H$15,Цены!$K$15,IF(CE27=Цены!$H$16,Цены!$K$16,IF(CE27=Цены!$H$17,Цены!$K$17,IF(CE27=Цены!$H$18,Цены!$K$18,IF(CE27=Цены!$H$19,Цены!$K$19,IF(CE27=Цены!$H$20,Цены!$K$20,IF(CE27=Цены!$H$21,Цены!$K$21,IF(CE27=Цены!$H$22,Цены!$K$22,IF(CE27=Цены!$H$23,Цены!$K$23,IF(CE27=Цены!$H$24,Цены!$K$24,IF(CE27=Цены!$H$25,Цены!$K$25,IF(CE27=Цены!$H$26,Цены!$K$26,IF(CE27=Цены!$H$27,Цены!$K$27,IF(CE27=Цены!$H$28,Цены!$K$28,IF(CE27=Цены!$H$29,Цены!$K$29,IF(CE27=Цены!$H$30,Цены!$K$30,IF(CE27=Цены!$H$31,Цены!$K$31,IF(CE27=Цены!$H$32,Цены!$K$32,IF(CE27=Цены!$H$33,Цены!$K$33,IF(CE27=Цены!$H$34,Цены!$K$34,IF(CE27=Цены!$H$35,Цены!$K$35,IF(CE27=Цены!$H$36,Цены!$K$36,IF(CE27=Цены!$H$37,Цены!$K$37,IF(CE27=Цены!$H$38,Цены!$K$38,IF(CE27=Цены!$H$39,Цены!$K$39,IF(CE27=Цены!$H$40,Цены!$K$40,IF(CE27=Цены!$H$41,Цены!$K$41,IF(CE27=Цены!$H$42,Цены!$K$42,IF(CE27=Цены!$H$43,Цены!$K$43,IF(CE27=Цены!$H$44,Цены!$K$44,IF(CE27=Цены!$H$45,Цены!$K$45,IF(CE27=Цены!$H$46,Цены!$K$46,IF(CE27=Цены!$H$47,Цены!$K$47,IF(CE27=Цены!$H$48,Цены!$K$48,IF(CE27=Цены!$H$49,Цены!$K$49,IF(CE27=Цены!$H$50,Цены!$K$50,IF(CE27=Цены!$H$51,Цены!$K$51,IF(CE27=Цены!$H$52,Цены!$K$52,IF(CE27=Цены!$H$53,Цены!$K$53,IF(CE27=Цены!$H$54,Цены!$K$54,IF(CE27=Цены!$H$55,Цены!$K$55))))))))))))))))))))))))))))))))))))))))))))))))))))))</f>
        <v>255</v>
      </c>
      <c r="CJ27" s="265">
        <v>1.5</v>
      </c>
      <c r="CK27" s="265">
        <v>800</v>
      </c>
      <c r="CL27" s="266">
        <f>CF27*CI27+CF28*CI28+CF29*CI29+CF30*CI30</f>
        <v>2393</v>
      </c>
      <c r="CM27" s="267">
        <v>1500</v>
      </c>
      <c r="CN27" s="266">
        <f>CL27+CM27</f>
        <v>3893</v>
      </c>
      <c r="CO27" s="268">
        <v>2000</v>
      </c>
      <c r="CP27" s="269">
        <f>CO27/CN27*100</f>
        <v>51.374261494991011</v>
      </c>
      <c r="CQ27" s="270">
        <f>MROUND(CN27+CO27,500)</f>
        <v>6000</v>
      </c>
    </row>
    <row r="28" spans="1:95" ht="15" customHeight="1" x14ac:dyDescent="0.25">
      <c r="A28" s="267"/>
      <c r="B28" s="265"/>
      <c r="C28" s="265"/>
      <c r="D28" s="172" t="s">
        <v>91</v>
      </c>
      <c r="E28" s="25">
        <v>2</v>
      </c>
      <c r="F28" s="27">
        <f>IF(D28=Цены!$H$3,Цены!$L$3,IF(D28=Цены!$H$4,Цены!$L$4,IF(D28=Цены!$H$5,Цены!$L$5,IF(D28=Цены!$H$6,Цены!$L$6,IF(D28=Цены!$H$7,Цены!$L$7,IF(D28=Цены!$H$8,Цены!$L$8,IF(D28=Цены!$H$9,Цены!$L$9,IF(D28=Цены!$H$10,Цены!$L$10,IF(D28=Цены!$H$11,Цены!$L$11,IF(D28=Цены!$H$12,Цены!$L$12,IF(D28=Цены!$H$13,Цены!$L$13,IF(D28=Цены!$H$14,Цены!$L$14,IF(D28=Цены!$H$14,Цены!$L$14,IF(D28=Цены!$H$15,Цены!$L$15,IF(D28=Цены!$H$16,Цены!$L$16,IF(D28=Цены!$H$17,Цены!$L$17,IF(D28=Цены!$H$18,Цены!$L$18,IF(D28=Цены!$H$19,Цены!$L$19,IF(D28=Цены!$H$20,Цены!$L$20,IF(D28=Цены!$H$21,Цены!$L$21,IF(D28=Цены!$H$22,Цены!$L$22,IF(D28=Цены!$H$23,Цены!$L$23,IF(D28=Цены!$H$24,Цены!$L$24,IF(D28=Цены!$H$25,Цены!$L$25,IF(D28=Цены!$H$26,Цены!$L$26,IF(D28=Цены!$H$27,Цены!$L$27,IF(D28=Цены!$H$28,Цены!$L$28,IF(D28=Цены!$H$29,Цены!$L$29,IF(D28=Цены!$H$30,Цены!$L$30,IF(D28=Цены!$H$31,Цены!$L$31,IF(D28=Цены!$H$32,Цены!$L$32,IF(D28=Цены!$H$33,Цены!$L$33,IF(D28=Цены!$H$34,Цены!$L$34,IF(D28=Цены!$H$35,Цены!$L$35,IF(D28=Цены!$H$36,Цены!$L$36,IF(D28=Цены!$H$37,Цены!$L$37,IF(D28=Цены!$H$38,Цены!$L$38,IF(D28=Цены!$H$39,Цены!$L$39,IF(D28=Цены!$H$40,Цены!$L$40,IF(D28=Цены!$H$41,Цены!$L$41,IF(D28=Цены!$H$42,Цены!$L$42,IF(D28=Цены!$H$43,Цены!$L$43,IF(D28=Цены!$H$44,Цены!$L$44,IF(D28=Цены!$H$45,Цены!$L$45,IF(D28=Цены!$H$46,Цены!$L$46,IF(D28=Цены!$H$47,Цены!$L$47,IF(D28=Цены!$H$48,Цены!$L$48,IF(D28=Цены!$H$49,Цены!$L$49,IF(D28=Цены!$H$50,Цены!$L$50,IF(D28=Цены!$H$51,Цены!$L$51,IF(D28=Цены!$H$52,Цены!$L$52,IF(D28=Цены!$H$53,Цены!$L$53,IF(D28=Цены!$H$54,Цены!$L$54,IF(D28=Цены!$H$55,Цены!$L$55))))))))))))))))))))))))))))))))))))))))))))))))))))))</f>
        <v>0.19</v>
      </c>
      <c r="G28" s="309"/>
      <c r="H28" s="28">
        <f>IF(D28=Цены!$H$3,Цены!$K$3,IF(D28=Цены!$H$4,Цены!$K$4,IF(D28=Цены!$H$5,Цены!$K$5,IF(D28=Цены!$H$6,Цены!$K$6,IF(D28=Цены!$H$7,Цены!$K$7,IF(D28=Цены!$H$8,Цены!$K$8,IF(D28=Цены!$H$9,Цены!$K$9,IF(D28=Цены!$H$10,Цены!$K$10,IF(D28=Цены!$H$11,Цены!$K$11,IF(D28=Цены!$H$12,Цены!$K$12,IF(D28=Цены!$H$13,Цены!$K$13,IF(D28=Цены!$H$14,Цены!$K$14,IF(D28=Цены!$H$14,Цены!$K$14,IF(D28=Цены!$H$15,Цены!$K$15,IF(D28=Цены!$H$16,Цены!$K$16,IF(D28=Цены!$H$17,Цены!$K$17,IF(D28=Цены!$H$18,Цены!$K$18,IF(D28=Цены!$H$19,Цены!$K$19,IF(D28=Цены!$H$20,Цены!$K$20,IF(D28=Цены!$H$21,Цены!$K$21,IF(D28=Цены!$H$22,Цены!$K$22,IF(D28=Цены!$H$23,Цены!$K$23,IF(D28=Цены!$H$24,Цены!$K$24,IF(D28=Цены!$H$25,Цены!$K$25,IF(D28=Цены!$H$26,Цены!$K$26,IF(D28=Цены!$H$27,Цены!$K$27,IF(D28=Цены!$H$28,Цены!$K$28,IF(D28=Цены!$H$29,Цены!$K$29,IF(D28=Цены!$H$30,Цены!$K$30,IF(D28=Цены!$H$31,Цены!$K$31,IF(D28=Цены!$H$32,Цены!$K$32,IF(D28=Цены!$H$33,Цены!$K$33,IF(D28=Цены!$H$34,Цены!$K$34,IF(D28=Цены!$H$35,Цены!$K$35,IF(D28=Цены!$H$36,Цены!$K$36,IF(D28=Цены!$H$37,Цены!$K$37,IF(D28=Цены!$H$38,Цены!$K$38,IF(D28=Цены!$H$39,Цены!$K$39,IF(D28=Цены!$H$40,Цены!$K$40,IF(D28=Цены!$H$41,Цены!$K$41,IF(D28=Цены!$H$42,Цены!$K$42,IF(D28=Цены!$H$43,Цены!$K$43,IF(D28=Цены!$H$44,Цены!$K$44,IF(D28=Цены!$H$45,Цены!$K$45,IF(D28=Цены!$H$46,Цены!$K$46,IF(D28=Цены!$H$47,Цены!$K$47,IF(D28=Цены!$H$48,Цены!$K$48,IF(D28=Цены!$H$49,Цены!$K$49,IF(D28=Цены!$H$50,Цены!$K$50,IF(D28=Цены!$H$51,Цены!$K$51,IF(D28=Цены!$H$52,Цены!$K$52,IF(D28=Цены!$H$53,Цены!$K$53,IF(D28=Цены!$H$54,Цены!$K$54,IF(D28=Цены!$H$55,Цены!$K$55))))))))))))))))))))))))))))))))))))))))))))))))))))))</f>
        <v>448</v>
      </c>
      <c r="I28" s="286"/>
      <c r="J28" s="265"/>
      <c r="K28" s="266"/>
      <c r="L28" s="267"/>
      <c r="M28" s="267"/>
      <c r="N28" s="320"/>
      <c r="O28" s="310"/>
      <c r="P28" s="270"/>
      <c r="Q28" s="209" t="s">
        <v>80</v>
      </c>
      <c r="R28" s="30">
        <v>4</v>
      </c>
      <c r="S28" s="27">
        <f>IF(Q28=Цены!$H$3,Цены!$L$3,IF(Q28=Цены!$H$4,Цены!$L$4,IF(Q28=Цены!$H$5,Цены!$L$5,IF(Q28=Цены!$H$6,Цены!$L$6,IF(Q28=Цены!$H$7,Цены!$L$7,IF(Q28=Цены!$H$8,Цены!$L$8,IF(Q28=Цены!$H$9,Цены!$L$9,IF(Q28=Цены!$H$10,Цены!$L$10,IF(Q28=Цены!$H$11,Цены!$L$11,IF(Q28=Цены!$H$12,Цены!$L$12,IF(Q28=Цены!$H$13,Цены!$L$13,IF(Q28=Цены!$H$14,Цены!$L$14,IF(Q28=Цены!$H$14,Цены!$L$14,IF(Q28=Цены!$H$15,Цены!$L$15,IF(Q28=Цены!$H$16,Цены!$L$16,IF(Q28=Цены!$H$17,Цены!$L$17,IF(Q28=Цены!$H$18,Цены!$L$18,IF(Q28=Цены!$H$19,Цены!$L$19,IF(Q28=Цены!$H$20,Цены!$L$20,IF(Q28=Цены!$H$21,Цены!$L$21,IF(Q28=Цены!$H$22,Цены!$L$22,IF(Q28=Цены!$H$23,Цены!$L$23,IF(Q28=Цены!$H$24,Цены!$L$24,IF(Q28=Цены!$H$25,Цены!$L$25,IF(Q28=Цены!$H$26,Цены!$L$26,IF(Q28=Цены!$H$27,Цены!$L$27,IF(Q28=Цены!$H$28,Цены!$L$28,IF(Q28=Цены!$H$29,Цены!$L$29,IF(Q28=Цены!$H$30,Цены!$L$30,IF(Q28=Цены!$H$31,Цены!$L$31,IF(Q28=Цены!$H$32,Цены!$L$32,IF(Q28=Цены!$H$33,Цены!$L$33,IF(Q28=Цены!$H$34,Цены!$L$34,IF(Q28=Цены!$H$35,Цены!$L$35,IF(Q28=Цены!$H$36,Цены!$L$36,IF(Q28=Цены!$H$37,Цены!$L$37,IF(Q28=Цены!$H$38,Цены!$L$38,IF(Q28=Цены!$H$39,Цены!$L$39,IF(Q28=Цены!$H$40,Цены!$L$40,IF(Q28=Цены!$H$41,Цены!$L$41,IF(Q28=Цены!$H$42,Цены!$L$42,IF(Q28=Цены!$H$43,Цены!$L$43,IF(Q28=Цены!$H$44,Цены!$L$44,IF(Q28=Цены!$H$45,Цены!$L$45,IF(Q28=Цены!$H$46,Цены!$L$46,IF(Q28=Цены!$H$47,Цены!$L$47,IF(Q28=Цены!$H$48,Цены!$L$48,IF(Q28=Цены!$H$49,Цены!$L$49,IF(Q28=Цены!$H$50,Цены!$L$50,IF(Q28=Цены!$H$51,Цены!$L$51,IF(Q28=Цены!$H$52,Цены!$L$52,IF(Q28=Цены!$H$53,Цены!$L$53,IF(Q28=Цены!$H$54,Цены!$L$54,IF(Q28=Цены!$H$55,Цены!$L$55))))))))))))))))))))))))))))))))))))))))))))))))))))))</f>
        <v>0.64</v>
      </c>
      <c r="T28" s="309"/>
      <c r="U28" s="162">
        <f>IF(Q28=Цены!$H$3,Цены!$K$3,IF(Q28=Цены!$H$4,Цены!$K$4,IF(Q28=Цены!$H$5,Цены!$K$5,IF(Q28=Цены!$H$6,Цены!$K$6,IF(Q28=Цены!$H$7,Цены!$K$7,IF(Q28=Цены!$H$8,Цены!$K$8,IF(Q28=Цены!$H$9,Цены!$K$9,IF(Q28=Цены!$H$10,Цены!$K$10,IF(Q28=Цены!$H$11,Цены!$K$11,IF(Q28=Цены!$H$12,Цены!$K$12,IF(Q28=Цены!$H$13,Цены!$K$13,IF(Q28=Цены!$H$14,Цены!$K$14,IF(Q28=Цены!$H$14,Цены!$K$14,IF(Q28=Цены!$H$15,Цены!$K$15,IF(Q28=Цены!$H$16,Цены!$K$16,IF(Q28=Цены!$H$17,Цены!$K$17,IF(Q28=Цены!$H$18,Цены!$K$18,IF(Q28=Цены!$H$19,Цены!$K$19,IF(Q28=Цены!$H$20,Цены!$K$20,IF(Q28=Цены!$H$21,Цены!$K$21,IF(Q28=Цены!$H$22,Цены!$K$22,IF(Q28=Цены!$H$23,Цены!$K$23,IF(Q28=Цены!$H$24,Цены!$K$24,IF(Q28=Цены!$H$25,Цены!$K$25,IF(Q28=Цены!$H$26,Цены!$K$26,IF(Q28=Цены!$H$27,Цены!$K$27,IF(Q28=Цены!$H$28,Цены!$K$28,IF(Q28=Цены!$H$29,Цены!$K$29,IF(Q28=Цены!$H$30,Цены!$K$30,IF(Q28=Цены!$H$31,Цены!$K$31,IF(Q28=Цены!$H$32,Цены!$K$32,IF(Q28=Цены!$H$33,Цены!$K$33,IF(Q28=Цены!$H$34,Цены!$K$34,IF(Q28=Цены!$H$35,Цены!$K$35,IF(Q28=Цены!$H$36,Цены!$K$36,IF(Q28=Цены!$H$37,Цены!$K$37,IF(Q28=Цены!$H$38,Цены!$K$38,IF(Q28=Цены!$H$39,Цены!$K$39,IF(Q28=Цены!$H$40,Цены!$K$40,IF(Q28=Цены!$H$41,Цены!$K$41,IF(Q28=Цены!$H$42,Цены!$K$42,IF(Q28=Цены!$H$43,Цены!$K$43,IF(Q28=Цены!$H$44,Цены!$K$44,IF(Q28=Цены!$H$45,Цены!$K$45,IF(Q28=Цены!$H$46,Цены!$K$46,IF(Q28=Цены!$H$47,Цены!$K$47,IF(Q28=Цены!$H$48,Цены!$K$48,IF(Q28=Цены!$H$49,Цены!$K$49,IF(Q28=Цены!$H$50,Цены!$K$50,IF(Q28=Цены!$H$51,Цены!$K$51,IF(Q28=Цены!$H$52,Цены!$K$52,IF(Q28=Цены!$H$53,Цены!$K$53,IF(Q28=Цены!$H$54,Цены!$K$54,IF(Q28=Цены!$H$55,Цены!$K$55))))))))))))))))))))))))))))))))))))))))))))))))))))))</f>
        <v>312</v>
      </c>
      <c r="V28" s="265"/>
      <c r="W28" s="265"/>
      <c r="X28" s="266"/>
      <c r="Y28" s="267"/>
      <c r="Z28" s="267"/>
      <c r="AA28" s="320"/>
      <c r="AB28" s="310"/>
      <c r="AC28" s="270"/>
      <c r="AD28" s="172" t="s">
        <v>70</v>
      </c>
      <c r="AE28" s="128">
        <v>4</v>
      </c>
      <c r="AF28" s="27">
        <f>IF(AD28=Цены!$H$3,Цены!$L$3,IF(AD28=Цены!$H$4,Цены!$L$4,IF(AD28=Цены!$H$5,Цены!$L$5,IF(AD28=Цены!$H$6,Цены!$L$6,IF(AD28=Цены!$H$7,Цены!$L$7,IF(AD28=Цены!$H$8,Цены!$L$8,IF(AD28=Цены!$H$9,Цены!$L$9,IF(AD28=Цены!$H$10,Цены!$L$10,IF(AD28=Цены!$H$11,Цены!$L$11,IF(AD28=Цены!$H$12,Цены!$L$12,IF(AD28=Цены!$H$13,Цены!$L$13,IF(AD28=Цены!$H$14,Цены!$L$14,IF(AD28=Цены!$H$14,Цены!$L$14,IF(AD28=Цены!$H$15,Цены!$L$15,IF(AD28=Цены!$H$16,Цены!$L$16,IF(AD28=Цены!$H$17,Цены!$L$17,IF(AD28=Цены!$H$18,Цены!$L$18,IF(AD28=Цены!$H$19,Цены!$L$19,IF(AD28=Цены!$H$20,Цены!$L$20,IF(AD28=Цены!$H$21,Цены!$L$21,IF(AD28=Цены!$H$22,Цены!$L$22,IF(AD28=Цены!$H$23,Цены!$L$23,IF(AD28=Цены!$H$24,Цены!$L$24,IF(AD28=Цены!$H$25,Цены!$L$25,IF(AD28=Цены!$H$26,Цены!$L$26,IF(AD28=Цены!$H$27,Цены!$L$27,IF(AD28=Цены!$H$28,Цены!$L$28,IF(AD28=Цены!$H$29,Цены!$L$29,IF(AD28=Цены!$H$30,Цены!$L$30,IF(AD28=Цены!$H$31,Цены!$L$31,IF(AD28=Цены!$H$32,Цены!$L$32,IF(AD28=Цены!$H$33,Цены!$L$33,IF(AD28=Цены!$H$34,Цены!$L$34,IF(AD28=Цены!$H$35,Цены!$L$35,IF(AD28=Цены!$H$36,Цены!$L$36,IF(AD28=Цены!$H$37,Цены!$L$37,IF(AD28=Цены!$H$38,Цены!$L$38,IF(AD28=Цены!$H$39,Цены!$L$39,IF(AD28=Цены!$H$40,Цены!$L$40,IF(AD28=Цены!$H$41,Цены!$L$41,IF(AD28=Цены!$H$42,Цены!$L$42,IF(AD28=Цены!$H$43,Цены!$L$43,IF(AD28=Цены!$H$44,Цены!$L$44,IF(AD28=Цены!$H$45,Цены!$L$45,IF(AD28=Цены!$H$46,Цены!$L$46,IF(AD28=Цены!$H$47,Цены!$L$47,IF(AD28=Цены!$H$48,Цены!$L$48,IF(AD28=Цены!$H$49,Цены!$L$49,IF(AD28=Цены!$H$50,Цены!$L$50,IF(AD28=Цены!$H$51,Цены!$L$51,IF(AD28=Цены!$H$52,Цены!$L$52,IF(AD28=Цены!$H$53,Цены!$L$53,IF(AD28=Цены!$H$54,Цены!$L$54,IF(AD28=Цены!$H$55,Цены!$L$55))))))))))))))))))))))))))))))))))))))))))))))))))))))</f>
        <v>2.4</v>
      </c>
      <c r="AG28" s="309"/>
      <c r="AH28" s="28">
        <f>IF(AD28=Цены!$H$3,Цены!$K$3,IF(AD28=Цены!$H$4,Цены!$K$4,IF(AD28=Цены!$H$5,Цены!$K$5,IF(AD28=Цены!$H$6,Цены!$K$6,IF(AD28=Цены!$H$7,Цены!$K$7,IF(AD28=Цены!$H$8,Цены!$K$8,IF(AD28=Цены!$H$9,Цены!$K$9,IF(AD28=Цены!$H$10,Цены!$K$10,IF(AD28=Цены!$H$11,Цены!$K$11,IF(AD28=Цены!$H$12,Цены!$K$12,IF(AD28=Цены!$H$13,Цены!$K$13,IF(AD28=Цены!$H$14,Цены!$K$14,IF(AD28=Цены!$H$14,Цены!$K$14,IF(AD28=Цены!$H$15,Цены!$K$15,IF(AD28=Цены!$H$16,Цены!$K$16,IF(AD28=Цены!$H$17,Цены!$K$17,IF(AD28=Цены!$H$18,Цены!$K$18,IF(AD28=Цены!$H$19,Цены!$K$19,IF(AD28=Цены!$H$20,Цены!$K$20,IF(AD28=Цены!$H$21,Цены!$K$21,IF(AD28=Цены!$H$22,Цены!$K$22,IF(AD28=Цены!$H$23,Цены!$K$23,IF(AD28=Цены!$H$24,Цены!$K$24,IF(AD28=Цены!$H$25,Цены!$K$25,IF(AD28=Цены!$H$26,Цены!$K$26,IF(AD28=Цены!$H$27,Цены!$K$27,IF(AD28=Цены!$H$28,Цены!$K$28,IF(AD28=Цены!$H$29,Цены!$K$29,IF(AD28=Цены!$H$30,Цены!$K$30,IF(AD28=Цены!$H$31,Цены!$K$31,IF(AD28=Цены!$H$32,Цены!$K$32,IF(AD28=Цены!$H$33,Цены!$K$33,IF(AD28=Цены!$H$34,Цены!$K$34,IF(AD28=Цены!$H$35,Цены!$K$35,IF(AD28=Цены!$H$36,Цены!$K$36,IF(AD28=Цены!$H$37,Цены!$K$37,IF(AD28=Цены!$H$38,Цены!$K$38,IF(AD28=Цены!$H$39,Цены!$K$39,IF(AD28=Цены!$H$40,Цены!$K$40,IF(AD28=Цены!$H$41,Цены!$K$41,IF(AD28=Цены!$H$42,Цены!$K$42,IF(AD28=Цены!$H$43,Цены!$K$43,IF(AD28=Цены!$H$44,Цены!$K$44,IF(AD28=Цены!$H$45,Цены!$K$45,IF(AD28=Цены!$H$46,Цены!$K$46,IF(AD28=Цены!$H$47,Цены!$K$47,IF(AD28=Цены!$H$48,Цены!$K$48,IF(AD28=Цены!$H$49,Цены!$K$49,IF(AD28=Цены!$H$50,Цены!$K$50,IF(AD28=Цены!$H$51,Цены!$K$51,IF(AD28=Цены!$H$52,Цены!$K$52,IF(AD28=Цены!$H$53,Цены!$K$53,IF(AD28=Цены!$H$54,Цены!$K$54,IF(AD28=Цены!$H$55,Цены!$K$55))))))))))))))))))))))))))))))))))))))))))))))))))))))</f>
        <v>469</v>
      </c>
      <c r="AI28" s="265"/>
      <c r="AJ28" s="265"/>
      <c r="AK28" s="266"/>
      <c r="AL28" s="267"/>
      <c r="AM28" s="267"/>
      <c r="AN28" s="268"/>
      <c r="AO28" s="310"/>
      <c r="AP28" s="270"/>
      <c r="AQ28" s="209" t="s">
        <v>144</v>
      </c>
      <c r="AR28" s="129">
        <v>3</v>
      </c>
      <c r="AS28" s="33">
        <f>IF(AQ28=Цены!$H$3,Цены!$L$3,IF(AQ28=Цены!$H$4,Цены!$L$4,IF(AQ28=Цены!$H$5,Цены!$L$5,IF(AQ28=Цены!$H$6,Цены!$L$6,IF(AQ28=Цены!$H$7,Цены!$L$7,IF(AQ28=Цены!$H$8,Цены!$L$8,IF(AQ28=Цены!$H$9,Цены!$L$9,IF(AQ28=Цены!$H$10,Цены!$L$10,IF(AQ28=Цены!$H$11,Цены!$L$11,IF(AQ28=Цены!$H$12,Цены!$L$12,IF(AQ28=Цены!$H$13,Цены!$L$13,IF(AQ28=Цены!$H$14,Цены!$L$14,IF(AQ28=Цены!$H$14,Цены!$L$14,IF(AQ28=Цены!$H$15,Цены!$L$15,IF(AQ28=Цены!$H$16,Цены!$L$16,IF(AQ28=Цены!$H$17,Цены!$L$17,IF(AQ28=Цены!$H$18,Цены!$L$18,IF(AQ28=Цены!$H$19,Цены!$L$19,IF(AQ28=Цены!$H$20,Цены!$L$20,IF(AQ28=Цены!$H$21,Цены!$L$21,IF(AQ28=Цены!$H$22,Цены!$L$22,IF(AQ28=Цены!$H$23,Цены!$L$23,IF(AQ28=Цены!$H$24,Цены!$L$24,IF(AQ28=Цены!$H$25,Цены!$L$25,IF(AQ28=Цены!$H$26,Цены!$L$26,IF(AQ28=Цены!$H$27,Цены!$L$27,IF(AQ28=Цены!$H$28,Цены!$L$28,IF(AQ28=Цены!$H$29,Цены!$L$29,IF(AQ28=Цены!$H$30,Цены!$L$30,IF(AQ28=Цены!$H$31,Цены!$L$31,IF(AQ28=Цены!$H$32,Цены!$L$32,IF(AQ28=Цены!$H$33,Цены!$L$33,IF(AQ28=Цены!$H$34,Цены!$L$34,IF(AQ28=Цены!$H$35,Цены!$L$35,IF(AQ28=Цены!$H$36,Цены!$L$36,IF(AQ28=Цены!$H$37,Цены!$L$37,IF(AQ28=Цены!$H$38,Цены!$L$38,IF(AQ28=Цены!$H$39,Цены!$L$39,IF(AQ28=Цены!$H$40,Цены!$L$40,IF(AQ28=Цены!$H$41,Цены!$L$41,IF(AQ28=Цены!$H$42,Цены!$L$42,IF(AQ28=Цены!$H$43,Цены!$L$43,IF(AQ28=Цены!$H$44,Цены!$L$44,IF(AQ28=Цены!$H$45,Цены!$L$45,IF(AQ28=Цены!$H$46,Цены!$L$46,IF(AQ28=Цены!$H$47,Цены!$L$47,IF(AQ28=Цены!$H$48,Цены!$L$48,IF(AQ28=Цены!$H$49,Цены!$L$49,IF(AQ28=Цены!$H$50,Цены!$L$50,IF(AQ28=Цены!$H$51,Цены!$L$51,IF(AQ28=Цены!$H$52,Цены!$L$52,IF(AQ28=Цены!$H$53,Цены!$L$53,IF(AQ28=Цены!$H$54,Цены!$L$54,IF(AQ28=Цены!$H$55,Цены!$L$55))))))))))))))))))))))))))))))))))))))))))))))))))))))</f>
        <v>0.19</v>
      </c>
      <c r="AT28" s="276"/>
      <c r="AU28" s="34">
        <f>IF(AQ28=Цены!$H$3,Цены!$K$3,IF(AQ28=Цены!$H$4,Цены!$K$4,IF(AQ28=Цены!$H$5,Цены!$K$5,IF(AQ28=Цены!$H$6,Цены!$K$6,IF(AQ28=Цены!$H$7,Цены!$K$7,IF(AQ28=Цены!$H$8,Цены!$K$8,IF(AQ28=Цены!$H$9,Цены!$K$9,IF(AQ28=Цены!$H$10,Цены!$K$10,IF(AQ28=Цены!$H$11,Цены!$K$11,IF(AQ28=Цены!$H$12,Цены!$K$12,IF(AQ28=Цены!$H$13,Цены!$K$13,IF(AQ28=Цены!$H$14,Цены!$K$14,IF(AQ28=Цены!$H$14,Цены!$K$14,IF(AQ28=Цены!$H$15,Цены!$K$15,IF(AQ28=Цены!$H$16,Цены!$K$16,IF(AQ28=Цены!$H$17,Цены!$K$17,IF(AQ28=Цены!$H$18,Цены!$K$18,IF(AQ28=Цены!$H$19,Цены!$K$19,IF(AQ28=Цены!$H$20,Цены!$K$20,IF(AQ28=Цены!$H$21,Цены!$K$21,IF(AQ28=Цены!$H$22,Цены!$K$22,IF(AQ28=Цены!$H$23,Цены!$K$23,IF(AQ28=Цены!$H$24,Цены!$K$24,IF(AQ28=Цены!$H$25,Цены!$K$25,IF(AQ28=Цены!$H$26,Цены!$K$26,IF(AQ28=Цены!$H$27,Цены!$K$27,IF(AQ28=Цены!$H$28,Цены!$K$28,IF(AQ28=Цены!$H$29,Цены!$K$29,IF(AQ28=Цены!$H$30,Цены!$K$30,IF(AQ28=Цены!$H$31,Цены!$K$31,IF(AQ28=Цены!$H$32,Цены!$K$32,IF(AQ28=Цены!$H$33,Цены!$K$33,IF(AQ28=Цены!$H$34,Цены!$K$34,IF(AQ28=Цены!$H$35,Цены!$K$35,IF(AQ28=Цены!$H$36,Цены!$K$36,IF(AQ28=Цены!$H$37,Цены!$K$37,IF(AQ28=Цены!$H$38,Цены!$K$38,IF(AQ28=Цены!$H$39,Цены!$K$39,IF(AQ28=Цены!$H$40,Цены!$K$40,IF(AQ28=Цены!$H$41,Цены!$K$41,IF(AQ28=Цены!$H$42,Цены!$K$42,IF(AQ28=Цены!$H$43,Цены!$K$43,IF(AQ28=Цены!$H$44,Цены!$K$44,IF(AQ28=Цены!$H$45,Цены!$K$45,IF(AQ28=Цены!$H$46,Цены!$K$46,IF(AQ28=Цены!$H$47,Цены!$K$47,IF(AQ28=Цены!$H$48,Цены!$K$48,IF(AQ28=Цены!$H$49,Цены!$K$49,IF(AQ28=Цены!$H$50,Цены!$K$50,IF(AQ28=Цены!$H$51,Цены!$K$51,IF(AQ28=Цены!$H$52,Цены!$K$52,IF(AQ28=Цены!$H$53,Цены!$K$53,IF(AQ28=Цены!$H$54,Цены!$K$54,IF(AQ28=Цены!$H$55,Цены!$K$55))))))))))))))))))))))))))))))))))))))))))))))))))))))</f>
        <v>448</v>
      </c>
      <c r="AV28" s="265"/>
      <c r="AW28" s="265"/>
      <c r="AX28" s="266"/>
      <c r="AY28" s="267"/>
      <c r="AZ28" s="267"/>
      <c r="BA28" s="268"/>
      <c r="BB28" s="269"/>
      <c r="BC28" s="270"/>
      <c r="BD28" s="259"/>
      <c r="BE28" s="209" t="s">
        <v>144</v>
      </c>
      <c r="BF28" s="71">
        <v>3</v>
      </c>
      <c r="BG28" s="33">
        <f>IF(BE28=Цены!$H$3,Цены!$L$3,IF(BE28=Цены!$H$4,Цены!$L$4,IF(BE28=Цены!$H$5,Цены!$L$5,IF(BE28=Цены!$H$6,Цены!$L$6,IF(BE28=Цены!$H$7,Цены!$L$7,IF(BE28=Цены!$H$8,Цены!$L$8,IF(BE28=Цены!$H$9,Цены!$L$9,IF(BE28=Цены!$H$10,Цены!$L$10,IF(BE28=Цены!$H$11,Цены!$L$11,IF(BE28=Цены!$H$12,Цены!$L$12,IF(BE28=Цены!$H$13,Цены!$L$13,IF(BE28=Цены!$H$14,Цены!$L$14,IF(BE28=Цены!$H$14,Цены!$L$14,IF(BE28=Цены!$H$15,Цены!$L$15,IF(BE28=Цены!$H$16,Цены!$L$16,IF(BE28=Цены!$H$17,Цены!$L$17,IF(BE28=Цены!$H$18,Цены!$L$18,IF(BE28=Цены!$H$19,Цены!$L$19,IF(BE28=Цены!$H$20,Цены!$L$20,IF(BE28=Цены!$H$21,Цены!$L$21,IF(BE28=Цены!$H$22,Цены!$L$22,IF(BE28=Цены!$H$23,Цены!$L$23,IF(BE28=Цены!$H$24,Цены!$L$24,IF(BE28=Цены!$H$25,Цены!$L$25,IF(BE28=Цены!$H$26,Цены!$L$26,IF(BE28=Цены!$H$27,Цены!$L$27,IF(BE28=Цены!$H$28,Цены!$L$28,IF(BE28=Цены!$H$29,Цены!$L$29,IF(BE28=Цены!$H$30,Цены!$L$30,IF(BE28=Цены!$H$31,Цены!$L$31,IF(BE28=Цены!$H$32,Цены!$L$32,IF(BE28=Цены!$H$33,Цены!$L$33,IF(BE28=Цены!$H$34,Цены!$L$34,IF(BE28=Цены!$H$35,Цены!$L$35,IF(BE28=Цены!$H$36,Цены!$L$36,IF(BE28=Цены!$H$37,Цены!$L$37,IF(BE28=Цены!$H$38,Цены!$L$38,IF(BE28=Цены!$H$39,Цены!$L$39,IF(BE28=Цены!$H$40,Цены!$L$40,IF(BE28=Цены!$H$41,Цены!$L$41,IF(BE28=Цены!$H$42,Цены!$L$42,IF(BE28=Цены!$H$43,Цены!$L$43,IF(BE28=Цены!$H$44,Цены!$L$44,IF(BE28=Цены!$H$45,Цены!$L$45,IF(BE28=Цены!$H$46,Цены!$L$46,IF(BE28=Цены!$H$47,Цены!$L$47,IF(BE28=Цены!$H$48,Цены!$L$48,IF(BE28=Цены!$H$49,Цены!$L$49,IF(BE28=Цены!$H$50,Цены!$L$50,IF(BE28=Цены!$H$51,Цены!$L$51,IF(BE28=Цены!$H$52,Цены!$L$52,IF(BE28=Цены!$H$53,Цены!$L$53,IF(BE28=Цены!$H$54,Цены!$L$54,IF(BE28=Цены!$H$55,Цены!$L$55))))))))))))))))))))))))))))))))))))))))))))))))))))))</f>
        <v>0.19</v>
      </c>
      <c r="BH28" s="276"/>
      <c r="BI28" s="34">
        <f>IF(BE28=Цены!$H$3,Цены!$K$3,IF(BE28=Цены!$H$4,Цены!$K$4,IF(BE28=Цены!$H$5,Цены!$K$5,IF(BE28=Цены!$H$6,Цены!$K$6,IF(BE28=Цены!$H$7,Цены!$K$7,IF(BE28=Цены!$H$8,Цены!$K$8,IF(BE28=Цены!$H$9,Цены!$K$9,IF(BE28=Цены!$H$10,Цены!$K$10,IF(BE28=Цены!$H$11,Цены!$K$11,IF(BE28=Цены!$H$12,Цены!$K$12,IF(BE28=Цены!$H$13,Цены!$K$13,IF(BE28=Цены!$H$14,Цены!$K$14,IF(BE28=Цены!$H$14,Цены!$K$14,IF(BE28=Цены!$H$15,Цены!$K$15,IF(BE28=Цены!$H$16,Цены!$K$16,IF(BE28=Цены!$H$17,Цены!$K$17,IF(BE28=Цены!$H$18,Цены!$K$18,IF(BE28=Цены!$H$19,Цены!$K$19,IF(BE28=Цены!$H$20,Цены!$K$20,IF(BE28=Цены!$H$21,Цены!$K$21,IF(BE28=Цены!$H$22,Цены!$K$22,IF(BE28=Цены!$H$23,Цены!$K$23,IF(BE28=Цены!$H$24,Цены!$K$24,IF(BE28=Цены!$H$25,Цены!$K$25,IF(BE28=Цены!$H$26,Цены!$K$26,IF(BE28=Цены!$H$27,Цены!$K$27,IF(BE28=Цены!$H$28,Цены!$K$28,IF(BE28=Цены!$H$29,Цены!$K$29,IF(BE28=Цены!$H$30,Цены!$K$30,IF(BE28=Цены!$H$31,Цены!$K$31,IF(BE28=Цены!$H$32,Цены!$K$32,IF(BE28=Цены!$H$33,Цены!$K$33,IF(BE28=Цены!$H$34,Цены!$K$34,IF(BE28=Цены!$H$35,Цены!$K$35,IF(BE28=Цены!$H$36,Цены!$K$36,IF(BE28=Цены!$H$37,Цены!$K$37,IF(BE28=Цены!$H$38,Цены!$K$38,IF(BE28=Цены!$H$39,Цены!$K$39,IF(BE28=Цены!$H$40,Цены!$K$40,IF(BE28=Цены!$H$41,Цены!$K$41,IF(BE28=Цены!$H$42,Цены!$K$42,IF(BE28=Цены!$H$43,Цены!$K$43,IF(BE28=Цены!$H$44,Цены!$K$44,IF(BE28=Цены!$H$45,Цены!$K$45,IF(BE28=Цены!$H$46,Цены!$K$46,IF(BE28=Цены!$H$47,Цены!$K$47,IF(BE28=Цены!$H$48,Цены!$K$48,IF(BE28=Цены!$H$49,Цены!$K$49,IF(BE28=Цены!$H$50,Цены!$K$50,IF(BE28=Цены!$H$51,Цены!$K$51,IF(BE28=Цены!$H$52,Цены!$K$52,IF(BE28=Цены!$H$53,Цены!$K$53,IF(BE28=Цены!$H$54,Цены!$K$54,IF(BE28=Цены!$H$55,Цены!$K$55))))))))))))))))))))))))))))))))))))))))))))))))))))))</f>
        <v>448</v>
      </c>
      <c r="BJ28" s="265"/>
      <c r="BK28" s="265"/>
      <c r="BL28" s="266"/>
      <c r="BM28" s="267"/>
      <c r="BN28" s="267"/>
      <c r="BO28" s="268"/>
      <c r="BP28" s="269"/>
      <c r="BQ28" s="270"/>
      <c r="BR28" s="213" t="s">
        <v>122</v>
      </c>
      <c r="BS28" s="43">
        <v>2</v>
      </c>
      <c r="BT28" s="33">
        <f>IF(BR28=Цены!$H$3,Цены!$L$3,IF(BR28=Цены!$H$4,Цены!$L$4,IF(BR28=Цены!$H$5,Цены!$L$5,IF(BR28=Цены!$H$6,Цены!$L$6,IF(BR28=Цены!$H$7,Цены!$L$7,IF(BR28=Цены!$H$8,Цены!$L$8,IF(BR28=Цены!$H$9,Цены!$L$9,IF(BR28=Цены!$H$10,Цены!$L$10,IF(BR28=Цены!$H$11,Цены!$L$11,IF(BR28=Цены!$H$12,Цены!$L$12,IF(BR28=Цены!$H$13,Цены!$L$13,IF(BR28=Цены!$H$14,Цены!$L$14,IF(BR28=Цены!$H$14,Цены!$L$14,IF(BR28=Цены!$H$15,Цены!$L$15,IF(BR28=Цены!$H$16,Цены!$L$16,IF(BR28=Цены!$H$17,Цены!$L$17,IF(BR28=Цены!$H$18,Цены!$L$18,IF(BR28=Цены!$H$19,Цены!$L$19,IF(BR28=Цены!$H$20,Цены!$L$20,IF(BR28=Цены!$H$21,Цены!$L$21,IF(BR28=Цены!$H$22,Цены!$L$22,IF(BR28=Цены!$H$23,Цены!$L$23,IF(BR28=Цены!$H$24,Цены!$L$24,IF(BR28=Цены!$H$25,Цены!$L$25,IF(BR28=Цены!$H$26,Цены!$L$26,IF(BR28=Цены!$H$27,Цены!$L$27,IF(BR28=Цены!$H$28,Цены!$L$28,IF(BR28=Цены!$H$29,Цены!$L$29,IF(BR28=Цены!$H$30,Цены!$L$30,IF(BR28=Цены!$H$31,Цены!$L$31,IF(BR28=Цены!$H$32,Цены!$L$32,IF(BR28=Цены!$H$33,Цены!$L$33,IF(BR28=Цены!$H$34,Цены!$L$34,IF(BR28=Цены!$H$35,Цены!$L$35,IF(BR28=Цены!$H$36,Цены!$L$36,IF(BR28=Цены!$H$37,Цены!$L$37,IF(BR28=Цены!$H$38,Цены!$L$38,IF(BR28=Цены!$H$39,Цены!$L$39,IF(BR28=Цены!$H$40,Цены!$L$40,IF(BR28=Цены!$H$41,Цены!$L$41,IF(BR28=Цены!$H$42,Цены!$L$42,IF(BR28=Цены!$H$43,Цены!$L$43,IF(BR28=Цены!$H$44,Цены!$L$44,IF(BR28=Цены!$H$45,Цены!$L$45,IF(BR28=Цены!$H$46,Цены!$L$46,IF(BR28=Цены!$H$47,Цены!$L$47,IF(BR28=Цены!$H$48,Цены!$L$48,IF(BR28=Цены!$H$49,Цены!$L$49,IF(BR28=Цены!$H$50,Цены!$L$50,IF(BR28=Цены!$H$51,Цены!$L$51,IF(BR28=Цены!$H$52,Цены!$L$52,IF(BR28=Цены!$H$53,Цены!$L$53,IF(BR28=Цены!$H$54,Цены!$L$54,IF(BR28=Цены!$H$55,Цены!$L$55))))))))))))))))))))))))))))))))))))))))))))))))))))))</f>
        <v>0.6</v>
      </c>
      <c r="BU28" s="276"/>
      <c r="BV28" s="34">
        <f>IF(BR28=Цены!$H$3,Цены!$K$3,IF(BR28=Цены!$H$4,Цены!$K$4,IF(BR28=Цены!$H$5,Цены!$K$5,IF(BR28=Цены!$H$6,Цены!$K$6,IF(BR28=Цены!$H$7,Цены!$K$7,IF(BR28=Цены!$H$8,Цены!$K$8,IF(BR28=Цены!$H$9,Цены!$K$9,IF(BR28=Цены!$H$10,Цены!$K$10,IF(BR28=Цены!$H$11,Цены!$K$11,IF(BR28=Цены!$H$12,Цены!$K$12,IF(BR28=Цены!$H$13,Цены!$K$13,IF(BR28=Цены!$H$14,Цены!$K$14,IF(BR28=Цены!$H$14,Цены!$K$14,IF(BR28=Цены!$H$15,Цены!$K$15,IF(BR28=Цены!$H$16,Цены!$K$16,IF(BR28=Цены!$H$17,Цены!$K$17,IF(BR28=Цены!$H$18,Цены!$K$18,IF(BR28=Цены!$H$19,Цены!$K$19,IF(BR28=Цены!$H$20,Цены!$K$20,IF(BR28=Цены!$H$21,Цены!$K$21,IF(BR28=Цены!$H$22,Цены!$K$22,IF(BR28=Цены!$H$23,Цены!$K$23,IF(BR28=Цены!$H$24,Цены!$K$24,IF(BR28=Цены!$H$25,Цены!$K$25,IF(BR28=Цены!$H$26,Цены!$K$26,IF(BR28=Цены!$H$27,Цены!$K$27,IF(BR28=Цены!$H$28,Цены!$K$28,IF(BR28=Цены!$H$29,Цены!$K$29,IF(BR28=Цены!$H$30,Цены!$K$30,IF(BR28=Цены!$H$31,Цены!$K$31,IF(BR28=Цены!$H$32,Цены!$K$32,IF(BR28=Цены!$H$33,Цены!$K$33,IF(BR28=Цены!$H$34,Цены!$K$34,IF(BR28=Цены!$H$35,Цены!$K$35,IF(BR28=Цены!$H$36,Цены!$K$36,IF(BR28=Цены!$H$37,Цены!$K$37,IF(BR28=Цены!$H$38,Цены!$K$38,IF(BR28=Цены!$H$39,Цены!$K$39,IF(BR28=Цены!$H$40,Цены!$K$40,IF(BR28=Цены!$H$41,Цены!$K$41,IF(BR28=Цены!$H$42,Цены!$K$42,IF(BR28=Цены!$H$43,Цены!$K$43,IF(BR28=Цены!$H$44,Цены!$K$44,IF(BR28=Цены!$H$45,Цены!$K$45,IF(BR28=Цены!$H$46,Цены!$K$46,IF(BR28=Цены!$H$47,Цены!$K$47,IF(BR28=Цены!$H$48,Цены!$K$48,IF(BR28=Цены!$H$49,Цены!$K$49,IF(BR28=Цены!$H$50,Цены!$K$50,IF(BR28=Цены!$H$51,Цены!$K$51,IF(BR28=Цены!$H$52,Цены!$K$52,IF(BR28=Цены!$H$53,Цены!$K$53,IF(BR28=Цены!$H$54,Цены!$K$54,IF(BR28=Цены!$H$55,Цены!$K$55))))))))))))))))))))))))))))))))))))))))))))))))))))))</f>
        <v>166</v>
      </c>
      <c r="BW28" s="265"/>
      <c r="BX28" s="265"/>
      <c r="BY28" s="266"/>
      <c r="BZ28" s="267"/>
      <c r="CA28" s="267"/>
      <c r="CB28" s="268"/>
      <c r="CC28" s="269"/>
      <c r="CD28" s="270"/>
      <c r="CE28" s="171" t="s">
        <v>91</v>
      </c>
      <c r="CF28" s="43">
        <v>2</v>
      </c>
      <c r="CG28" s="33">
        <f>IF(CE28=Цены!$H$3,Цены!$L$3,IF(CE28=Цены!$H$4,Цены!$L$4,IF(CE28=Цены!$H$5,Цены!$L$5,IF(CE28=Цены!$H$6,Цены!$L$6,IF(CE28=Цены!$H$7,Цены!$L$7,IF(CE28=Цены!$H$8,Цены!$L$8,IF(CE28=Цены!$H$9,Цены!$L$9,IF(CE28=Цены!$H$10,Цены!$L$10,IF(CE28=Цены!$H$11,Цены!$L$11,IF(CE28=Цены!$H$12,Цены!$L$12,IF(CE28=Цены!$H$13,Цены!$L$13,IF(CE28=Цены!$H$14,Цены!$L$14,IF(CE28=Цены!$H$14,Цены!$L$14,IF(CE28=Цены!$H$15,Цены!$L$15,IF(CE28=Цены!$H$16,Цены!$L$16,IF(CE28=Цены!$H$17,Цены!$L$17,IF(CE28=Цены!$H$18,Цены!$L$18,IF(CE28=Цены!$H$19,Цены!$L$19,IF(CE28=Цены!$H$20,Цены!$L$20,IF(CE28=Цены!$H$21,Цены!$L$21,IF(CE28=Цены!$H$22,Цены!$L$22,IF(CE28=Цены!$H$23,Цены!$L$23,IF(CE28=Цены!$H$24,Цены!$L$24,IF(CE28=Цены!$H$25,Цены!$L$25,IF(CE28=Цены!$H$26,Цены!$L$26,IF(CE28=Цены!$H$27,Цены!$L$27,IF(CE28=Цены!$H$28,Цены!$L$28,IF(CE28=Цены!$H$29,Цены!$L$29,IF(CE28=Цены!$H$30,Цены!$L$30,IF(CE28=Цены!$H$31,Цены!$L$31,IF(CE28=Цены!$H$32,Цены!$L$32,IF(CE28=Цены!$H$33,Цены!$L$33,IF(CE28=Цены!$H$34,Цены!$L$34,IF(CE28=Цены!$H$35,Цены!$L$35,IF(CE28=Цены!$H$36,Цены!$L$36,IF(CE28=Цены!$H$37,Цены!$L$37,IF(CE28=Цены!$H$38,Цены!$L$38,IF(CE28=Цены!$H$39,Цены!$L$39,IF(CE28=Цены!$H$40,Цены!$L$40,IF(CE28=Цены!$H$41,Цены!$L$41,IF(CE28=Цены!$H$42,Цены!$L$42,IF(CE28=Цены!$H$43,Цены!$L$43,IF(CE28=Цены!$H$44,Цены!$L$44,IF(CE28=Цены!$H$45,Цены!$L$45,IF(CE28=Цены!$H$46,Цены!$L$46,IF(CE28=Цены!$H$47,Цены!$L$47,IF(CE28=Цены!$H$48,Цены!$L$48,IF(CE28=Цены!$H$49,Цены!$L$49,IF(CE28=Цены!$H$50,Цены!$L$50,IF(CE28=Цены!$H$51,Цены!$L$51,IF(CE28=Цены!$H$52,Цены!$L$52,IF(CE28=Цены!$H$53,Цены!$L$53,IF(CE28=Цены!$H$54,Цены!$L$54,IF(CE28=Цены!$H$55,Цены!$L$55))))))))))))))))))))))))))))))))))))))))))))))))))))))</f>
        <v>0.19</v>
      </c>
      <c r="CH28" s="276"/>
      <c r="CI28" s="34">
        <f>IF(CE28=Цены!$H$3,Цены!$K$3,IF(CE28=Цены!$H$4,Цены!$K$4,IF(CE28=Цены!$H$5,Цены!$K$5,IF(CE28=Цены!$H$6,Цены!$K$6,IF(CE28=Цены!$H$7,Цены!$K$7,IF(CE28=Цены!$H$8,Цены!$K$8,IF(CE28=Цены!$H$9,Цены!$K$9,IF(CE28=Цены!$H$10,Цены!$K$10,IF(CE28=Цены!$H$11,Цены!$K$11,IF(CE28=Цены!$H$12,Цены!$K$12,IF(CE28=Цены!$H$13,Цены!$K$13,IF(CE28=Цены!$H$14,Цены!$K$14,IF(CE28=Цены!$H$14,Цены!$K$14,IF(CE28=Цены!$H$15,Цены!$K$15,IF(CE28=Цены!$H$16,Цены!$K$16,IF(CE28=Цены!$H$17,Цены!$K$17,IF(CE28=Цены!$H$18,Цены!$K$18,IF(CE28=Цены!$H$19,Цены!$K$19,IF(CE28=Цены!$H$20,Цены!$K$20,IF(CE28=Цены!$H$21,Цены!$K$21,IF(CE28=Цены!$H$22,Цены!$K$22,IF(CE28=Цены!$H$23,Цены!$K$23,IF(CE28=Цены!$H$24,Цены!$K$24,IF(CE28=Цены!$H$25,Цены!$K$25,IF(CE28=Цены!$H$26,Цены!$K$26,IF(CE28=Цены!$H$27,Цены!$K$27,IF(CE28=Цены!$H$28,Цены!$K$28,IF(CE28=Цены!$H$29,Цены!$K$29,IF(CE28=Цены!$H$30,Цены!$K$30,IF(CE28=Цены!$H$31,Цены!$K$31,IF(CE28=Цены!$H$32,Цены!$K$32,IF(CE28=Цены!$H$33,Цены!$K$33,IF(CE28=Цены!$H$34,Цены!$K$34,IF(CE28=Цены!$H$35,Цены!$K$35,IF(CE28=Цены!$H$36,Цены!$K$36,IF(CE28=Цены!$H$37,Цены!$K$37,IF(CE28=Цены!$H$38,Цены!$K$38,IF(CE28=Цены!$H$39,Цены!$K$39,IF(CE28=Цены!$H$40,Цены!$K$40,IF(CE28=Цены!$H$41,Цены!$K$41,IF(CE28=Цены!$H$42,Цены!$K$42,IF(CE28=Цены!$H$43,Цены!$K$43,IF(CE28=Цены!$H$44,Цены!$K$44,IF(CE28=Цены!$H$45,Цены!$K$45,IF(CE28=Цены!$H$46,Цены!$K$46,IF(CE28=Цены!$H$47,Цены!$K$47,IF(CE28=Цены!$H$48,Цены!$K$48,IF(CE28=Цены!$H$49,Цены!$K$49,IF(CE28=Цены!$H$50,Цены!$K$50,IF(CE28=Цены!$H$51,Цены!$K$51,IF(CE28=Цены!$H$52,Цены!$K$52,IF(CE28=Цены!$H$53,Цены!$K$53,IF(CE28=Цены!$H$54,Цены!$K$54,IF(CE28=Цены!$H$55,Цены!$K$55))))))))))))))))))))))))))))))))))))))))))))))))))))))</f>
        <v>448</v>
      </c>
      <c r="CJ28" s="265"/>
      <c r="CK28" s="265"/>
      <c r="CL28" s="266"/>
      <c r="CM28" s="267"/>
      <c r="CN28" s="267"/>
      <c r="CO28" s="268"/>
      <c r="CP28" s="269"/>
      <c r="CQ28" s="270"/>
    </row>
    <row r="29" spans="1:95" ht="15" customHeight="1" x14ac:dyDescent="0.25">
      <c r="A29" s="267"/>
      <c r="B29" s="265"/>
      <c r="C29" s="265"/>
      <c r="D29" s="171" t="s">
        <v>123</v>
      </c>
      <c r="E29" s="25">
        <v>4</v>
      </c>
      <c r="F29" s="27">
        <f>IF(D29=Цены!$H$3,Цены!$L$3,IF(D29=Цены!$H$4,Цены!$L$4,IF(D29=Цены!$H$5,Цены!$L$5,IF(D29=Цены!$H$6,Цены!$L$6,IF(D29=Цены!$H$7,Цены!$L$7,IF(D29=Цены!$H$8,Цены!$L$8,IF(D29=Цены!$H$9,Цены!$L$9,IF(D29=Цены!$H$10,Цены!$L$10,IF(D29=Цены!$H$11,Цены!$L$11,IF(D29=Цены!$H$12,Цены!$L$12,IF(D29=Цены!$H$13,Цены!$L$13,IF(D29=Цены!$H$14,Цены!$L$14,IF(D29=Цены!$H$14,Цены!$L$14,IF(D29=Цены!$H$15,Цены!$L$15,IF(D29=Цены!$H$16,Цены!$L$16,IF(D29=Цены!$H$17,Цены!$L$17,IF(D29=Цены!$H$18,Цены!$L$18,IF(D29=Цены!$H$19,Цены!$L$19,IF(D29=Цены!$H$20,Цены!$L$20,IF(D29=Цены!$H$21,Цены!$L$21,IF(D29=Цены!$H$22,Цены!$L$22,IF(D29=Цены!$H$23,Цены!$L$23,IF(D29=Цены!$H$24,Цены!$L$24,IF(D29=Цены!$H$25,Цены!$L$25,IF(D29=Цены!$H$26,Цены!$L$26,IF(D29=Цены!$H$27,Цены!$L$27,IF(D29=Цены!$H$28,Цены!$L$28,IF(D29=Цены!$H$29,Цены!$L$29,IF(D29=Цены!$H$30,Цены!$L$30,IF(D29=Цены!$H$31,Цены!$L$31,IF(D29=Цены!$H$32,Цены!$L$32,IF(D29=Цены!$H$33,Цены!$L$33,IF(D29=Цены!$H$34,Цены!$L$34,IF(D29=Цены!$H$35,Цены!$L$35,IF(D29=Цены!$H$36,Цены!$L$36,IF(D29=Цены!$H$37,Цены!$L$37,IF(D29=Цены!$H$38,Цены!$L$38,IF(D29=Цены!$H$39,Цены!$L$39,IF(D29=Цены!$H$40,Цены!$L$40,IF(D29=Цены!$H$41,Цены!$L$41,IF(D29=Цены!$H$42,Цены!$L$42,IF(D29=Цены!$H$43,Цены!$L$43,IF(D29=Цены!$H$44,Цены!$L$44,IF(D29=Цены!$H$45,Цены!$L$45,IF(D29=Цены!$H$46,Цены!$L$46,IF(D29=Цены!$H$47,Цены!$L$47,IF(D29=Цены!$H$48,Цены!$L$48,IF(D29=Цены!$H$49,Цены!$L$49,IF(D29=Цены!$H$50,Цены!$L$50,IF(D29=Цены!$H$51,Цены!$L$51,IF(D29=Цены!$H$52,Цены!$L$52,IF(D29=Цены!$H$53,Цены!$L$53,IF(D29=Цены!$H$54,Цены!$L$54,IF(D29=Цены!$H$55,Цены!$L$55))))))))))))))))))))))))))))))))))))))))))))))))))))))</f>
        <v>0.39</v>
      </c>
      <c r="G29" s="309"/>
      <c r="H29" s="28">
        <f>IF(D29=Цены!$H$3,Цены!$K$3,IF(D29=Цены!$H$4,Цены!$K$4,IF(D29=Цены!$H$5,Цены!$K$5,IF(D29=Цены!$H$6,Цены!$K$6,IF(D29=Цены!$H$7,Цены!$K$7,IF(D29=Цены!$H$8,Цены!$K$8,IF(D29=Цены!$H$9,Цены!$K$9,IF(D29=Цены!$H$10,Цены!$K$10,IF(D29=Цены!$H$11,Цены!$K$11,IF(D29=Цены!$H$12,Цены!$K$12,IF(D29=Цены!$H$13,Цены!$K$13,IF(D29=Цены!$H$14,Цены!$K$14,IF(D29=Цены!$H$14,Цены!$K$14,IF(D29=Цены!$H$15,Цены!$K$15,IF(D29=Цены!$H$16,Цены!$K$16,IF(D29=Цены!$H$17,Цены!$K$17,IF(D29=Цены!$H$18,Цены!$K$18,IF(D29=Цены!$H$19,Цены!$K$19,IF(D29=Цены!$H$20,Цены!$K$20,IF(D29=Цены!$H$21,Цены!$K$21,IF(D29=Цены!$H$22,Цены!$K$22,IF(D29=Цены!$H$23,Цены!$K$23,IF(D29=Цены!$H$24,Цены!$K$24,IF(D29=Цены!$H$25,Цены!$K$25,IF(D29=Цены!$H$26,Цены!$K$26,IF(D29=Цены!$H$27,Цены!$K$27,IF(D29=Цены!$H$28,Цены!$K$28,IF(D29=Цены!$H$29,Цены!$K$29,IF(D29=Цены!$H$30,Цены!$K$30,IF(D29=Цены!$H$31,Цены!$K$31,IF(D29=Цены!$H$32,Цены!$K$32,IF(D29=Цены!$H$33,Цены!$K$33,IF(D29=Цены!$H$34,Цены!$K$34,IF(D29=Цены!$H$35,Цены!$K$35,IF(D29=Цены!$H$36,Цены!$K$36,IF(D29=Цены!$H$37,Цены!$K$37,IF(D29=Цены!$H$38,Цены!$K$38,IF(D29=Цены!$H$39,Цены!$K$39,IF(D29=Цены!$H$40,Цены!$K$40,IF(D29=Цены!$H$41,Цены!$K$41,IF(D29=Цены!$H$42,Цены!$K$42,IF(D29=Цены!$H$43,Цены!$K$43,IF(D29=Цены!$H$44,Цены!$K$44,IF(D29=Цены!$H$45,Цены!$K$45,IF(D29=Цены!$H$46,Цены!$K$46,IF(D29=Цены!$H$47,Цены!$K$47,IF(D29=Цены!$H$48,Цены!$K$48,IF(D29=Цены!$H$49,Цены!$K$49,IF(D29=Цены!$H$50,Цены!$K$50,IF(D29=Цены!$H$51,Цены!$K$51,IF(D29=Цены!$H$52,Цены!$K$52,IF(D29=Цены!$H$53,Цены!$K$53,IF(D29=Цены!$H$54,Цены!$K$54,IF(D29=Цены!$H$55,Цены!$K$55))))))))))))))))))))))))))))))))))))))))))))))))))))))</f>
        <v>624</v>
      </c>
      <c r="I29" s="286"/>
      <c r="J29" s="265"/>
      <c r="K29" s="266"/>
      <c r="L29" s="267"/>
      <c r="M29" s="267"/>
      <c r="N29" s="320"/>
      <c r="O29" s="310"/>
      <c r="P29" s="270"/>
      <c r="Q29" s="210"/>
      <c r="R29" s="30"/>
      <c r="S29" s="27" t="b">
        <f>IF(Q29=Цены!$H$3,Цены!$L$3,IF(Q29=Цены!$H$4,Цены!$L$4,IF(Q29=Цены!$H$5,Цены!$L$5,IF(Q29=Цены!$H$6,Цены!$L$6,IF(Q29=Цены!$H$7,Цены!$L$7,IF(Q29=Цены!$H$8,Цены!$L$8,IF(Q29=Цены!$H$9,Цены!$L$9,IF(Q29=Цены!$H$10,Цены!$L$10,IF(Q29=Цены!$H$11,Цены!$L$11,IF(Q29=Цены!$H$12,Цены!$L$12,IF(Q29=Цены!$H$13,Цены!$L$13,IF(Q29=Цены!$H$14,Цены!$L$14,IF(Q29=Цены!$H$14,Цены!$L$14,IF(Q29=Цены!$H$15,Цены!$L$15,IF(Q29=Цены!$H$16,Цены!$L$16,IF(Q29=Цены!$H$17,Цены!$L$17,IF(Q29=Цены!$H$18,Цены!$L$18,IF(Q29=Цены!$H$19,Цены!$L$19,IF(Q29=Цены!$H$20,Цены!$L$20,IF(Q29=Цены!$H$21,Цены!$L$21,IF(Q29=Цены!$H$22,Цены!$L$22,IF(Q29=Цены!$H$23,Цены!$L$23,IF(Q29=Цены!$H$24,Цены!$L$24,IF(Q29=Цены!$H$25,Цены!$L$25,IF(Q29=Цены!$H$26,Цены!$L$26,IF(Q29=Цены!$H$27,Цены!$L$27,IF(Q29=Цены!$H$28,Цены!$L$28,IF(Q29=Цены!$H$29,Цены!$L$29,IF(Q29=Цены!$H$30,Цены!$L$30,IF(Q29=Цены!$H$31,Цены!$L$31,IF(Q29=Цены!$H$32,Цены!$L$32,IF(Q29=Цены!$H$33,Цены!$L$33,IF(Q29=Цены!$H$34,Цены!$L$34,IF(Q29=Цены!$H$35,Цены!$L$35,IF(Q29=Цены!$H$36,Цены!$L$36,IF(Q29=Цены!$H$37,Цены!$L$37,IF(Q29=Цены!$H$38,Цены!$L$38,IF(Q29=Цены!$H$39,Цены!$L$39,IF(Q29=Цены!$H$40,Цены!$L$40,IF(Q29=Цены!$H$41,Цены!$L$41,IF(Q29=Цены!$H$42,Цены!$L$42,IF(Q29=Цены!$H$43,Цены!$L$43,IF(Q29=Цены!$H$44,Цены!$L$44,IF(Q29=Цены!$H$45,Цены!$L$45,IF(Q29=Цены!$H$46,Цены!$L$46,IF(Q29=Цены!$H$47,Цены!$L$47,IF(Q29=Цены!$H$48,Цены!$L$48,IF(Q29=Цены!$H$49,Цены!$L$49,IF(Q29=Цены!$H$50,Цены!$L$50,IF(Q29=Цены!$H$51,Цены!$L$51,IF(Q29=Цены!$H$52,Цены!$L$52,IF(Q29=Цены!$H$53,Цены!$L$53,IF(Q29=Цены!$H$54,Цены!$L$54,IF(Q29=Цены!$H$55,Цены!$L$55))))))))))))))))))))))))))))))))))))))))))))))))))))))</f>
        <v>0</v>
      </c>
      <c r="T29" s="309"/>
      <c r="U29" s="162" t="b">
        <f>IF(Q29=Цены!$H$3,Цены!$K$3,IF(Q29=Цены!$H$4,Цены!$K$4,IF(Q29=Цены!$H$5,Цены!$K$5,IF(Q29=Цены!$H$6,Цены!$K$6,IF(Q29=Цены!$H$7,Цены!$K$7,IF(Q29=Цены!$H$8,Цены!$K$8,IF(Q29=Цены!$H$9,Цены!$K$9,IF(Q29=Цены!$H$10,Цены!$K$10,IF(Q29=Цены!$H$11,Цены!$K$11,IF(Q29=Цены!$H$12,Цены!$K$12,IF(Q29=Цены!$H$13,Цены!$K$13,IF(Q29=Цены!$H$14,Цены!$K$14,IF(Q29=Цены!$H$14,Цены!$K$14,IF(Q29=Цены!$H$15,Цены!$K$15,IF(Q29=Цены!$H$16,Цены!$K$16,IF(Q29=Цены!$H$17,Цены!$K$17,IF(Q29=Цены!$H$18,Цены!$K$18,IF(Q29=Цены!$H$19,Цены!$K$19,IF(Q29=Цены!$H$20,Цены!$K$20,IF(Q29=Цены!$H$21,Цены!$K$21,IF(Q29=Цены!$H$22,Цены!$K$22,IF(Q29=Цены!$H$23,Цены!$K$23,IF(Q29=Цены!$H$24,Цены!$K$24,IF(Q29=Цены!$H$25,Цены!$K$25,IF(Q29=Цены!$H$26,Цены!$K$26,IF(Q29=Цены!$H$27,Цены!$K$27,IF(Q29=Цены!$H$28,Цены!$K$28,IF(Q29=Цены!$H$29,Цены!$K$29,IF(Q29=Цены!$H$30,Цены!$K$30,IF(Q29=Цены!$H$31,Цены!$K$31,IF(Q29=Цены!$H$32,Цены!$K$32,IF(Q29=Цены!$H$33,Цены!$K$33,IF(Q29=Цены!$H$34,Цены!$K$34,IF(Q29=Цены!$H$35,Цены!$K$35,IF(Q29=Цены!$H$36,Цены!$K$36,IF(Q29=Цены!$H$37,Цены!$K$37,IF(Q29=Цены!$H$38,Цены!$K$38,IF(Q29=Цены!$H$39,Цены!$K$39,IF(Q29=Цены!$H$40,Цены!$K$40,IF(Q29=Цены!$H$41,Цены!$K$41,IF(Q29=Цены!$H$42,Цены!$K$42,IF(Q29=Цены!$H$43,Цены!$K$43,IF(Q29=Цены!$H$44,Цены!$K$44,IF(Q29=Цены!$H$45,Цены!$K$45,IF(Q29=Цены!$H$46,Цены!$K$46,IF(Q29=Цены!$H$47,Цены!$K$47,IF(Q29=Цены!$H$48,Цены!$K$48,IF(Q29=Цены!$H$49,Цены!$K$49,IF(Q29=Цены!$H$50,Цены!$K$50,IF(Q29=Цены!$H$51,Цены!$K$51,IF(Q29=Цены!$H$52,Цены!$K$52,IF(Q29=Цены!$H$53,Цены!$K$53,IF(Q29=Цены!$H$54,Цены!$K$54,IF(Q29=Цены!$H$55,Цены!$K$55))))))))))))))))))))))))))))))))))))))))))))))))))))))</f>
        <v>0</v>
      </c>
      <c r="V29" s="265"/>
      <c r="W29" s="265"/>
      <c r="X29" s="266"/>
      <c r="Y29" s="267"/>
      <c r="Z29" s="267"/>
      <c r="AA29" s="320"/>
      <c r="AB29" s="310"/>
      <c r="AC29" s="270"/>
      <c r="AD29" s="209" t="s">
        <v>88</v>
      </c>
      <c r="AE29" s="128">
        <v>5</v>
      </c>
      <c r="AF29" s="27">
        <f>IF(AD29=Цены!$H$3,Цены!$L$3,IF(AD29=Цены!$H$4,Цены!$L$4,IF(AD29=Цены!$H$5,Цены!$L$5,IF(AD29=Цены!$H$6,Цены!$L$6,IF(AD29=Цены!$H$7,Цены!$L$7,IF(AD29=Цены!$H$8,Цены!$L$8,IF(AD29=Цены!$H$9,Цены!$L$9,IF(AD29=Цены!$H$10,Цены!$L$10,IF(AD29=Цены!$H$11,Цены!$L$11,IF(AD29=Цены!$H$12,Цены!$L$12,IF(AD29=Цены!$H$13,Цены!$L$13,IF(AD29=Цены!$H$14,Цены!$L$14,IF(AD29=Цены!$H$14,Цены!$L$14,IF(AD29=Цены!$H$15,Цены!$L$15,IF(AD29=Цены!$H$16,Цены!$L$16,IF(AD29=Цены!$H$17,Цены!$L$17,IF(AD29=Цены!$H$18,Цены!$L$18,IF(AD29=Цены!$H$19,Цены!$L$19,IF(AD29=Цены!$H$20,Цены!$L$20,IF(AD29=Цены!$H$21,Цены!$L$21,IF(AD29=Цены!$H$22,Цены!$L$22,IF(AD29=Цены!$H$23,Цены!$L$23,IF(AD29=Цены!$H$24,Цены!$L$24,IF(AD29=Цены!$H$25,Цены!$L$25,IF(AD29=Цены!$H$26,Цены!$L$26,IF(AD29=Цены!$H$27,Цены!$L$27,IF(AD29=Цены!$H$28,Цены!$L$28,IF(AD29=Цены!$H$29,Цены!$L$29,IF(AD29=Цены!$H$30,Цены!$L$30,IF(AD29=Цены!$H$31,Цены!$L$31,IF(AD29=Цены!$H$32,Цены!$L$32,IF(AD29=Цены!$H$33,Цены!$L$33,IF(AD29=Цены!$H$34,Цены!$L$34,IF(AD29=Цены!$H$35,Цены!$L$35,IF(AD29=Цены!$H$36,Цены!$L$36,IF(AD29=Цены!$H$37,Цены!$L$37,IF(AD29=Цены!$H$38,Цены!$L$38,IF(AD29=Цены!$H$39,Цены!$L$39,IF(AD29=Цены!$H$40,Цены!$L$40,IF(AD29=Цены!$H$41,Цены!$L$41,IF(AD29=Цены!$H$42,Цены!$L$42,IF(AD29=Цены!$H$43,Цены!$L$43,IF(AD29=Цены!$H$44,Цены!$L$44,IF(AD29=Цены!$H$45,Цены!$L$45,IF(AD29=Цены!$H$46,Цены!$L$46,IF(AD29=Цены!$H$47,Цены!$L$47,IF(AD29=Цены!$H$48,Цены!$L$48,IF(AD29=Цены!$H$49,Цены!$L$49,IF(AD29=Цены!$H$50,Цены!$L$50,IF(AD29=Цены!$H$51,Цены!$L$51,IF(AD29=Цены!$H$52,Цены!$L$52,IF(AD29=Цены!$H$53,Цены!$L$53,IF(AD29=Цены!$H$54,Цены!$L$54,IF(AD29=Цены!$H$55,Цены!$L$55))))))))))))))))))))))))))))))))))))))))))))))))))))))</f>
        <v>1.8</v>
      </c>
      <c r="AG29" s="309"/>
      <c r="AH29" s="28">
        <f>IF(AD29=Цены!$H$3,Цены!$K$3,IF(AD29=Цены!$H$4,Цены!$K$4,IF(AD29=Цены!$H$5,Цены!$K$5,IF(AD29=Цены!$H$6,Цены!$K$6,IF(AD29=Цены!$H$7,Цены!$K$7,IF(AD29=Цены!$H$8,Цены!$K$8,IF(AD29=Цены!$H$9,Цены!$K$9,IF(AD29=Цены!$H$10,Цены!$K$10,IF(AD29=Цены!$H$11,Цены!$K$11,IF(AD29=Цены!$H$12,Цены!$K$12,IF(AD29=Цены!$H$13,Цены!$K$13,IF(AD29=Цены!$H$14,Цены!$K$14,IF(AD29=Цены!$H$14,Цены!$K$14,IF(AD29=Цены!$H$15,Цены!$K$15,IF(AD29=Цены!$H$16,Цены!$K$16,IF(AD29=Цены!$H$17,Цены!$K$17,IF(AD29=Цены!$H$18,Цены!$K$18,IF(AD29=Цены!$H$19,Цены!$K$19,IF(AD29=Цены!$H$20,Цены!$K$20,IF(AD29=Цены!$H$21,Цены!$K$21,IF(AD29=Цены!$H$22,Цены!$K$22,IF(AD29=Цены!$H$23,Цены!$K$23,IF(AD29=Цены!$H$24,Цены!$K$24,IF(AD29=Цены!$H$25,Цены!$K$25,IF(AD29=Цены!$H$26,Цены!$K$26,IF(AD29=Цены!$H$27,Цены!$K$27,IF(AD29=Цены!$H$28,Цены!$K$28,IF(AD29=Цены!$H$29,Цены!$K$29,IF(AD29=Цены!$H$30,Цены!$K$30,IF(AD29=Цены!$H$31,Цены!$K$31,IF(AD29=Цены!$H$32,Цены!$K$32,IF(AD29=Цены!$H$33,Цены!$K$33,IF(AD29=Цены!$H$34,Цены!$K$34,IF(AD29=Цены!$H$35,Цены!$K$35,IF(AD29=Цены!$H$36,Цены!$K$36,IF(AD29=Цены!$H$37,Цены!$K$37,IF(AD29=Цены!$H$38,Цены!$K$38,IF(AD29=Цены!$H$39,Цены!$K$39,IF(AD29=Цены!$H$40,Цены!$K$40,IF(AD29=Цены!$H$41,Цены!$K$41,IF(AD29=Цены!$H$42,Цены!$K$42,IF(AD29=Цены!$H$43,Цены!$K$43,IF(AD29=Цены!$H$44,Цены!$K$44,IF(AD29=Цены!$H$45,Цены!$K$45,IF(AD29=Цены!$H$46,Цены!$K$46,IF(AD29=Цены!$H$47,Цены!$K$47,IF(AD29=Цены!$H$48,Цены!$K$48,IF(AD29=Цены!$H$49,Цены!$K$49,IF(AD29=Цены!$H$50,Цены!$K$50,IF(AD29=Цены!$H$51,Цены!$K$51,IF(AD29=Цены!$H$52,Цены!$K$52,IF(AD29=Цены!$H$53,Цены!$K$53,IF(AD29=Цены!$H$54,Цены!$K$54,IF(AD29=Цены!$H$55,Цены!$K$55))))))))))))))))))))))))))))))))))))))))))))))))))))))</f>
        <v>388</v>
      </c>
      <c r="AI29" s="265"/>
      <c r="AJ29" s="265"/>
      <c r="AK29" s="266"/>
      <c r="AL29" s="267"/>
      <c r="AM29" s="267"/>
      <c r="AN29" s="268"/>
      <c r="AO29" s="310"/>
      <c r="AP29" s="270"/>
      <c r="AQ29" s="209"/>
      <c r="AR29" s="129"/>
      <c r="AS29" s="33" t="b">
        <f>IF(AQ29=Цены!$H$3,Цены!$L$3,IF(AQ29=Цены!$H$4,Цены!$L$4,IF(AQ29=Цены!$H$5,Цены!$L$5,IF(AQ29=Цены!$H$6,Цены!$L$6,IF(AQ29=Цены!$H$7,Цены!$L$7,IF(AQ29=Цены!$H$8,Цены!$L$8,IF(AQ29=Цены!$H$9,Цены!$L$9,IF(AQ29=Цены!$H$10,Цены!$L$10,IF(AQ29=Цены!$H$11,Цены!$L$11,IF(AQ29=Цены!$H$12,Цены!$L$12,IF(AQ29=Цены!$H$13,Цены!$L$13,IF(AQ29=Цены!$H$14,Цены!$L$14,IF(AQ29=Цены!$H$14,Цены!$L$14,IF(AQ29=Цены!$H$15,Цены!$L$15,IF(AQ29=Цены!$H$16,Цены!$L$16,IF(AQ29=Цены!$H$17,Цены!$L$17,IF(AQ29=Цены!$H$18,Цены!$L$18,IF(AQ29=Цены!$H$19,Цены!$L$19,IF(AQ29=Цены!$H$20,Цены!$L$20,IF(AQ29=Цены!$H$21,Цены!$L$21,IF(AQ29=Цены!$H$22,Цены!$L$22,IF(AQ29=Цены!$H$23,Цены!$L$23,IF(AQ29=Цены!$H$24,Цены!$L$24,IF(AQ29=Цены!$H$25,Цены!$L$25,IF(AQ29=Цены!$H$26,Цены!$L$26,IF(AQ29=Цены!$H$27,Цены!$L$27,IF(AQ29=Цены!$H$28,Цены!$L$28,IF(AQ29=Цены!$H$29,Цены!$L$29,IF(AQ29=Цены!$H$30,Цены!$L$30,IF(AQ29=Цены!$H$31,Цены!$L$31,IF(AQ29=Цены!$H$32,Цены!$L$32,IF(AQ29=Цены!$H$33,Цены!$L$33,IF(AQ29=Цены!$H$34,Цены!$L$34,IF(AQ29=Цены!$H$35,Цены!$L$35,IF(AQ29=Цены!$H$36,Цены!$L$36,IF(AQ29=Цены!$H$37,Цены!$L$37,IF(AQ29=Цены!$H$38,Цены!$L$38,IF(AQ29=Цены!$H$39,Цены!$L$39,IF(AQ29=Цены!$H$40,Цены!$L$40,IF(AQ29=Цены!$H$41,Цены!$L$41,IF(AQ29=Цены!$H$42,Цены!$L$42,IF(AQ29=Цены!$H$43,Цены!$L$43,IF(AQ29=Цены!$H$44,Цены!$L$44,IF(AQ29=Цены!$H$45,Цены!$L$45,IF(AQ29=Цены!$H$46,Цены!$L$46,IF(AQ29=Цены!$H$47,Цены!$L$47,IF(AQ29=Цены!$H$48,Цены!$L$48,IF(AQ29=Цены!$H$49,Цены!$L$49,IF(AQ29=Цены!$H$50,Цены!$L$50,IF(AQ29=Цены!$H$51,Цены!$L$51,IF(AQ29=Цены!$H$52,Цены!$L$52,IF(AQ29=Цены!$H$53,Цены!$L$53,IF(AQ29=Цены!$H$54,Цены!$L$54,IF(AQ29=Цены!$H$55,Цены!$L$55))))))))))))))))))))))))))))))))))))))))))))))))))))))</f>
        <v>0</v>
      </c>
      <c r="AT29" s="276"/>
      <c r="AU29" s="34" t="b">
        <f>IF(AQ29=Цены!$H$3,Цены!$K$3,IF(AQ29=Цены!$H$4,Цены!$K$4,IF(AQ29=Цены!$H$5,Цены!$K$5,IF(AQ29=Цены!$H$6,Цены!$K$6,IF(AQ29=Цены!$H$7,Цены!$K$7,IF(AQ29=Цены!$H$8,Цены!$K$8,IF(AQ29=Цены!$H$9,Цены!$K$9,IF(AQ29=Цены!$H$10,Цены!$K$10,IF(AQ29=Цены!$H$11,Цены!$K$11,IF(AQ29=Цены!$H$12,Цены!$K$12,IF(AQ29=Цены!$H$13,Цены!$K$13,IF(AQ29=Цены!$H$14,Цены!$K$14,IF(AQ29=Цены!$H$14,Цены!$K$14,IF(AQ29=Цены!$H$15,Цены!$K$15,IF(AQ29=Цены!$H$16,Цены!$K$16,IF(AQ29=Цены!$H$17,Цены!$K$17,IF(AQ29=Цены!$H$18,Цены!$K$18,IF(AQ29=Цены!$H$19,Цены!$K$19,IF(AQ29=Цены!$H$20,Цены!$K$20,IF(AQ29=Цены!$H$21,Цены!$K$21,IF(AQ29=Цены!$H$22,Цены!$K$22,IF(AQ29=Цены!$H$23,Цены!$K$23,IF(AQ29=Цены!$H$24,Цены!$K$24,IF(AQ29=Цены!$H$25,Цены!$K$25,IF(AQ29=Цены!$H$26,Цены!$K$26,IF(AQ29=Цены!$H$27,Цены!$K$27,IF(AQ29=Цены!$H$28,Цены!$K$28,IF(AQ29=Цены!$H$29,Цены!$K$29,IF(AQ29=Цены!$H$30,Цены!$K$30,IF(AQ29=Цены!$H$31,Цены!$K$31,IF(AQ29=Цены!$H$32,Цены!$K$32,IF(AQ29=Цены!$H$33,Цены!$K$33,IF(AQ29=Цены!$H$34,Цены!$K$34,IF(AQ29=Цены!$H$35,Цены!$K$35,IF(AQ29=Цены!$H$36,Цены!$K$36,IF(AQ29=Цены!$H$37,Цены!$K$37,IF(AQ29=Цены!$H$38,Цены!$K$38,IF(AQ29=Цены!$H$39,Цены!$K$39,IF(AQ29=Цены!$H$40,Цены!$K$40,IF(AQ29=Цены!$H$41,Цены!$K$41,IF(AQ29=Цены!$H$42,Цены!$K$42,IF(AQ29=Цены!$H$43,Цены!$K$43,IF(AQ29=Цены!$H$44,Цены!$K$44,IF(AQ29=Цены!$H$45,Цены!$K$45,IF(AQ29=Цены!$H$46,Цены!$K$46,IF(AQ29=Цены!$H$47,Цены!$K$47,IF(AQ29=Цены!$H$48,Цены!$K$48,IF(AQ29=Цены!$H$49,Цены!$K$49,IF(AQ29=Цены!$H$50,Цены!$K$50,IF(AQ29=Цены!$H$51,Цены!$K$51,IF(AQ29=Цены!$H$52,Цены!$K$52,IF(AQ29=Цены!$H$53,Цены!$K$53,IF(AQ29=Цены!$H$54,Цены!$K$54,IF(AQ29=Цены!$H$55,Цены!$K$55))))))))))))))))))))))))))))))))))))))))))))))))))))))</f>
        <v>0</v>
      </c>
      <c r="AV29" s="265"/>
      <c r="AW29" s="265"/>
      <c r="AX29" s="266"/>
      <c r="AY29" s="267"/>
      <c r="AZ29" s="267"/>
      <c r="BA29" s="268"/>
      <c r="BB29" s="269"/>
      <c r="BC29" s="270"/>
      <c r="BD29" s="259"/>
      <c r="BE29" s="210"/>
      <c r="BF29" s="71"/>
      <c r="BG29" s="33" t="b">
        <f>IF(BE29=Цены!$H$3,Цены!$L$3,IF(BE29=Цены!$H$4,Цены!$L$4,IF(BE29=Цены!$H$5,Цены!$L$5,IF(BE29=Цены!$H$6,Цены!$L$6,IF(BE29=Цены!$H$7,Цены!$L$7,IF(BE29=Цены!$H$8,Цены!$L$8,IF(BE29=Цены!$H$9,Цены!$L$9,IF(BE29=Цены!$H$10,Цены!$L$10,IF(BE29=Цены!$H$11,Цены!$L$11,IF(BE29=Цены!$H$12,Цены!$L$12,IF(BE29=Цены!$H$13,Цены!$L$13,IF(BE29=Цены!$H$14,Цены!$L$14,IF(BE29=Цены!$H$14,Цены!$L$14,IF(BE29=Цены!$H$15,Цены!$L$15,IF(BE29=Цены!$H$16,Цены!$L$16,IF(BE29=Цены!$H$17,Цены!$L$17,IF(BE29=Цены!$H$18,Цены!$L$18,IF(BE29=Цены!$H$19,Цены!$L$19,IF(BE29=Цены!$H$20,Цены!$L$20,IF(BE29=Цены!$H$21,Цены!$L$21,IF(BE29=Цены!$H$22,Цены!$L$22,IF(BE29=Цены!$H$23,Цены!$L$23,IF(BE29=Цены!$H$24,Цены!$L$24,IF(BE29=Цены!$H$25,Цены!$L$25,IF(BE29=Цены!$H$26,Цены!$L$26,IF(BE29=Цены!$H$27,Цены!$L$27,IF(BE29=Цены!$H$28,Цены!$L$28,IF(BE29=Цены!$H$29,Цены!$L$29,IF(BE29=Цены!$H$30,Цены!$L$30,IF(BE29=Цены!$H$31,Цены!$L$31,IF(BE29=Цены!$H$32,Цены!$L$32,IF(BE29=Цены!$H$33,Цены!$L$33,IF(BE29=Цены!$H$34,Цены!$L$34,IF(BE29=Цены!$H$35,Цены!$L$35,IF(BE29=Цены!$H$36,Цены!$L$36,IF(BE29=Цены!$H$37,Цены!$L$37,IF(BE29=Цены!$H$38,Цены!$L$38,IF(BE29=Цены!$H$39,Цены!$L$39,IF(BE29=Цены!$H$40,Цены!$L$40,IF(BE29=Цены!$H$41,Цены!$L$41,IF(BE29=Цены!$H$42,Цены!$L$42,IF(BE29=Цены!$H$43,Цены!$L$43,IF(BE29=Цены!$H$44,Цены!$L$44,IF(BE29=Цены!$H$45,Цены!$L$45,IF(BE29=Цены!$H$46,Цены!$L$46,IF(BE29=Цены!$H$47,Цены!$L$47,IF(BE29=Цены!$H$48,Цены!$L$48,IF(BE29=Цены!$H$49,Цены!$L$49,IF(BE29=Цены!$H$50,Цены!$L$50,IF(BE29=Цены!$H$51,Цены!$L$51,IF(BE29=Цены!$H$52,Цены!$L$52,IF(BE29=Цены!$H$53,Цены!$L$53,IF(BE29=Цены!$H$54,Цены!$L$54,IF(BE29=Цены!$H$55,Цены!$L$55))))))))))))))))))))))))))))))))))))))))))))))))))))))</f>
        <v>0</v>
      </c>
      <c r="BH29" s="276"/>
      <c r="BI29" s="34" t="b">
        <f>IF(BE29=Цены!$H$3,Цены!$K$3,IF(BE29=Цены!$H$4,Цены!$K$4,IF(BE29=Цены!$H$5,Цены!$K$5,IF(BE29=Цены!$H$6,Цены!$K$6,IF(BE29=Цены!$H$7,Цены!$K$7,IF(BE29=Цены!$H$8,Цены!$K$8,IF(BE29=Цены!$H$9,Цены!$K$9,IF(BE29=Цены!$H$10,Цены!$K$10,IF(BE29=Цены!$H$11,Цены!$K$11,IF(BE29=Цены!$H$12,Цены!$K$12,IF(BE29=Цены!$H$13,Цены!$K$13,IF(BE29=Цены!$H$14,Цены!$K$14,IF(BE29=Цены!$H$14,Цены!$K$14,IF(BE29=Цены!$H$15,Цены!$K$15,IF(BE29=Цены!$H$16,Цены!$K$16,IF(BE29=Цены!$H$17,Цены!$K$17,IF(BE29=Цены!$H$18,Цены!$K$18,IF(BE29=Цены!$H$19,Цены!$K$19,IF(BE29=Цены!$H$20,Цены!$K$20,IF(BE29=Цены!$H$21,Цены!$K$21,IF(BE29=Цены!$H$22,Цены!$K$22,IF(BE29=Цены!$H$23,Цены!$K$23,IF(BE29=Цены!$H$24,Цены!$K$24,IF(BE29=Цены!$H$25,Цены!$K$25,IF(BE29=Цены!$H$26,Цены!$K$26,IF(BE29=Цены!$H$27,Цены!$K$27,IF(BE29=Цены!$H$28,Цены!$K$28,IF(BE29=Цены!$H$29,Цены!$K$29,IF(BE29=Цены!$H$30,Цены!$K$30,IF(BE29=Цены!$H$31,Цены!$K$31,IF(BE29=Цены!$H$32,Цены!$K$32,IF(BE29=Цены!$H$33,Цены!$K$33,IF(BE29=Цены!$H$34,Цены!$K$34,IF(BE29=Цены!$H$35,Цены!$K$35,IF(BE29=Цены!$H$36,Цены!$K$36,IF(BE29=Цены!$H$37,Цены!$K$37,IF(BE29=Цены!$H$38,Цены!$K$38,IF(BE29=Цены!$H$39,Цены!$K$39,IF(BE29=Цены!$H$40,Цены!$K$40,IF(BE29=Цены!$H$41,Цены!$K$41,IF(BE29=Цены!$H$42,Цены!$K$42,IF(BE29=Цены!$H$43,Цены!$K$43,IF(BE29=Цены!$H$44,Цены!$K$44,IF(BE29=Цены!$H$45,Цены!$K$45,IF(BE29=Цены!$H$46,Цены!$K$46,IF(BE29=Цены!$H$47,Цены!$K$47,IF(BE29=Цены!$H$48,Цены!$K$48,IF(BE29=Цены!$H$49,Цены!$K$49,IF(BE29=Цены!$H$50,Цены!$K$50,IF(BE29=Цены!$H$51,Цены!$K$51,IF(BE29=Цены!$H$52,Цены!$K$52,IF(BE29=Цены!$H$53,Цены!$K$53,IF(BE29=Цены!$H$54,Цены!$K$54,IF(BE29=Цены!$H$55,Цены!$K$55))))))))))))))))))))))))))))))))))))))))))))))))))))))</f>
        <v>0</v>
      </c>
      <c r="BJ29" s="265"/>
      <c r="BK29" s="265"/>
      <c r="BL29" s="266"/>
      <c r="BM29" s="267"/>
      <c r="BN29" s="267"/>
      <c r="BO29" s="268"/>
      <c r="BP29" s="269"/>
      <c r="BQ29" s="270"/>
      <c r="BR29" s="210"/>
      <c r="BS29" s="43"/>
      <c r="BT29" s="33" t="b">
        <f>IF(BR29=Цены!$H$3,Цены!$L$3,IF(BR29=Цены!$H$4,Цены!$L$4,IF(BR29=Цены!$H$5,Цены!$L$5,IF(BR29=Цены!$H$6,Цены!$L$6,IF(BR29=Цены!$H$7,Цены!$L$7,IF(BR29=Цены!$H$8,Цены!$L$8,IF(BR29=Цены!$H$9,Цены!$L$9,IF(BR29=Цены!$H$10,Цены!$L$10,IF(BR29=Цены!$H$11,Цены!$L$11,IF(BR29=Цены!$H$12,Цены!$L$12,IF(BR29=Цены!$H$13,Цены!$L$13,IF(BR29=Цены!$H$14,Цены!$L$14,IF(BR29=Цены!$H$14,Цены!$L$14,IF(BR29=Цены!$H$15,Цены!$L$15,IF(BR29=Цены!$H$16,Цены!$L$16,IF(BR29=Цены!$H$17,Цены!$L$17,IF(BR29=Цены!$H$18,Цены!$L$18,IF(BR29=Цены!$H$19,Цены!$L$19,IF(BR29=Цены!$H$20,Цены!$L$20,IF(BR29=Цены!$H$21,Цены!$L$21,IF(BR29=Цены!$H$22,Цены!$L$22,IF(BR29=Цены!$H$23,Цены!$L$23,IF(BR29=Цены!$H$24,Цены!$L$24,IF(BR29=Цены!$H$25,Цены!$L$25,IF(BR29=Цены!$H$26,Цены!$L$26,IF(BR29=Цены!$H$27,Цены!$L$27,IF(BR29=Цены!$H$28,Цены!$L$28,IF(BR29=Цены!$H$29,Цены!$L$29,IF(BR29=Цены!$H$30,Цены!$L$30,IF(BR29=Цены!$H$31,Цены!$L$31,IF(BR29=Цены!$H$32,Цены!$L$32,IF(BR29=Цены!$H$33,Цены!$L$33,IF(BR29=Цены!$H$34,Цены!$L$34,IF(BR29=Цены!$H$35,Цены!$L$35,IF(BR29=Цены!$H$36,Цены!$L$36,IF(BR29=Цены!$H$37,Цены!$L$37,IF(BR29=Цены!$H$38,Цены!$L$38,IF(BR29=Цены!$H$39,Цены!$L$39,IF(BR29=Цены!$H$40,Цены!$L$40,IF(BR29=Цены!$H$41,Цены!$L$41,IF(BR29=Цены!$H$42,Цены!$L$42,IF(BR29=Цены!$H$43,Цены!$L$43,IF(BR29=Цены!$H$44,Цены!$L$44,IF(BR29=Цены!$H$45,Цены!$L$45,IF(BR29=Цены!$H$46,Цены!$L$46,IF(BR29=Цены!$H$47,Цены!$L$47,IF(BR29=Цены!$H$48,Цены!$L$48,IF(BR29=Цены!$H$49,Цены!$L$49,IF(BR29=Цены!$H$50,Цены!$L$50,IF(BR29=Цены!$H$51,Цены!$L$51,IF(BR29=Цены!$H$52,Цены!$L$52,IF(BR29=Цены!$H$53,Цены!$L$53,IF(BR29=Цены!$H$54,Цены!$L$54,IF(BR29=Цены!$H$55,Цены!$L$55))))))))))))))))))))))))))))))))))))))))))))))))))))))</f>
        <v>0</v>
      </c>
      <c r="BU29" s="276"/>
      <c r="BV29" s="34" t="b">
        <f>IF(BR29=Цены!$H$3,Цены!$K$3,IF(BR29=Цены!$H$4,Цены!$K$4,IF(BR29=Цены!$H$5,Цены!$K$5,IF(BR29=Цены!$H$6,Цены!$K$6,IF(BR29=Цены!$H$7,Цены!$K$7,IF(BR29=Цены!$H$8,Цены!$K$8,IF(BR29=Цены!$H$9,Цены!$K$9,IF(BR29=Цены!$H$10,Цены!$K$10,IF(BR29=Цены!$H$11,Цены!$K$11,IF(BR29=Цены!$H$12,Цены!$K$12,IF(BR29=Цены!$H$13,Цены!$K$13,IF(BR29=Цены!$H$14,Цены!$K$14,IF(BR29=Цены!$H$14,Цены!$K$14,IF(BR29=Цены!$H$15,Цены!$K$15,IF(BR29=Цены!$H$16,Цены!$K$16,IF(BR29=Цены!$H$17,Цены!$K$17,IF(BR29=Цены!$H$18,Цены!$K$18,IF(BR29=Цены!$H$19,Цены!$K$19,IF(BR29=Цены!$H$20,Цены!$K$20,IF(BR29=Цены!$H$21,Цены!$K$21,IF(BR29=Цены!$H$22,Цены!$K$22,IF(BR29=Цены!$H$23,Цены!$K$23,IF(BR29=Цены!$H$24,Цены!$K$24,IF(BR29=Цены!$H$25,Цены!$K$25,IF(BR29=Цены!$H$26,Цены!$K$26,IF(BR29=Цены!$H$27,Цены!$K$27,IF(BR29=Цены!$H$28,Цены!$K$28,IF(BR29=Цены!$H$29,Цены!$K$29,IF(BR29=Цены!$H$30,Цены!$K$30,IF(BR29=Цены!$H$31,Цены!$K$31,IF(BR29=Цены!$H$32,Цены!$K$32,IF(BR29=Цены!$H$33,Цены!$K$33,IF(BR29=Цены!$H$34,Цены!$K$34,IF(BR29=Цены!$H$35,Цены!$K$35,IF(BR29=Цены!$H$36,Цены!$K$36,IF(BR29=Цены!$H$37,Цены!$K$37,IF(BR29=Цены!$H$38,Цены!$K$38,IF(BR29=Цены!$H$39,Цены!$K$39,IF(BR29=Цены!$H$40,Цены!$K$40,IF(BR29=Цены!$H$41,Цены!$K$41,IF(BR29=Цены!$H$42,Цены!$K$42,IF(BR29=Цены!$H$43,Цены!$K$43,IF(BR29=Цены!$H$44,Цены!$K$44,IF(BR29=Цены!$H$45,Цены!$K$45,IF(BR29=Цены!$H$46,Цены!$K$46,IF(BR29=Цены!$H$47,Цены!$K$47,IF(BR29=Цены!$H$48,Цены!$K$48,IF(BR29=Цены!$H$49,Цены!$K$49,IF(BR29=Цены!$H$50,Цены!$K$50,IF(BR29=Цены!$H$51,Цены!$K$51,IF(BR29=Цены!$H$52,Цены!$K$52,IF(BR29=Цены!$H$53,Цены!$K$53,IF(BR29=Цены!$H$54,Цены!$K$54,IF(BR29=Цены!$H$55,Цены!$K$55))))))))))))))))))))))))))))))))))))))))))))))))))))))</f>
        <v>0</v>
      </c>
      <c r="BW29" s="265"/>
      <c r="BX29" s="265"/>
      <c r="BY29" s="266"/>
      <c r="BZ29" s="267"/>
      <c r="CA29" s="267"/>
      <c r="CB29" s="268"/>
      <c r="CC29" s="269"/>
      <c r="CD29" s="270"/>
      <c r="CE29" s="171" t="s">
        <v>123</v>
      </c>
      <c r="CF29" s="43">
        <v>1</v>
      </c>
      <c r="CG29" s="33">
        <f>IF(CE29=Цены!$H$3,Цены!$L$3,IF(CE29=Цены!$H$4,Цены!$L$4,IF(CE29=Цены!$H$5,Цены!$L$5,IF(CE29=Цены!$H$6,Цены!$L$6,IF(CE29=Цены!$H$7,Цены!$L$7,IF(CE29=Цены!$H$8,Цены!$L$8,IF(CE29=Цены!$H$9,Цены!$L$9,IF(CE29=Цены!$H$10,Цены!$L$10,IF(CE29=Цены!$H$11,Цены!$L$11,IF(CE29=Цены!$H$12,Цены!$L$12,IF(CE29=Цены!$H$13,Цены!$L$13,IF(CE29=Цены!$H$14,Цены!$L$14,IF(CE29=Цены!$H$14,Цены!$L$14,IF(CE29=Цены!$H$15,Цены!$L$15,IF(CE29=Цены!$H$16,Цены!$L$16,IF(CE29=Цены!$H$17,Цены!$L$17,IF(CE29=Цены!$H$18,Цены!$L$18,IF(CE29=Цены!$H$19,Цены!$L$19,IF(CE29=Цены!$H$20,Цены!$L$20,IF(CE29=Цены!$H$21,Цены!$L$21,IF(CE29=Цены!$H$22,Цены!$L$22,IF(CE29=Цены!$H$23,Цены!$L$23,IF(CE29=Цены!$H$24,Цены!$L$24,IF(CE29=Цены!$H$25,Цены!$L$25,IF(CE29=Цены!$H$26,Цены!$L$26,IF(CE29=Цены!$H$27,Цены!$L$27,IF(CE29=Цены!$H$28,Цены!$L$28,IF(CE29=Цены!$H$29,Цены!$L$29,IF(CE29=Цены!$H$30,Цены!$L$30,IF(CE29=Цены!$H$31,Цены!$L$31,IF(CE29=Цены!$H$32,Цены!$L$32,IF(CE29=Цены!$H$33,Цены!$L$33,IF(CE29=Цены!$H$34,Цены!$L$34,IF(CE29=Цены!$H$35,Цены!$L$35,IF(CE29=Цены!$H$36,Цены!$L$36,IF(CE29=Цены!$H$37,Цены!$L$37,IF(CE29=Цены!$H$38,Цены!$L$38,IF(CE29=Цены!$H$39,Цены!$L$39,IF(CE29=Цены!$H$40,Цены!$L$40,IF(CE29=Цены!$H$41,Цены!$L$41,IF(CE29=Цены!$H$42,Цены!$L$42,IF(CE29=Цены!$H$43,Цены!$L$43,IF(CE29=Цены!$H$44,Цены!$L$44,IF(CE29=Цены!$H$45,Цены!$L$45,IF(CE29=Цены!$H$46,Цены!$L$46,IF(CE29=Цены!$H$47,Цены!$L$47,IF(CE29=Цены!$H$48,Цены!$L$48,IF(CE29=Цены!$H$49,Цены!$L$49,IF(CE29=Цены!$H$50,Цены!$L$50,IF(CE29=Цены!$H$51,Цены!$L$51,IF(CE29=Цены!$H$52,Цены!$L$52,IF(CE29=Цены!$H$53,Цены!$L$53,IF(CE29=Цены!$H$54,Цены!$L$54,IF(CE29=Цены!$H$55,Цены!$L$55))))))))))))))))))))))))))))))))))))))))))))))))))))))</f>
        <v>0.39</v>
      </c>
      <c r="CH29" s="276"/>
      <c r="CI29" s="34">
        <f>IF(CE29=Цены!$H$3,Цены!$K$3,IF(CE29=Цены!$H$4,Цены!$K$4,IF(CE29=Цены!$H$5,Цены!$K$5,IF(CE29=Цены!$H$6,Цены!$K$6,IF(CE29=Цены!$H$7,Цены!$K$7,IF(CE29=Цены!$H$8,Цены!$K$8,IF(CE29=Цены!$H$9,Цены!$K$9,IF(CE29=Цены!$H$10,Цены!$K$10,IF(CE29=Цены!$H$11,Цены!$K$11,IF(CE29=Цены!$H$12,Цены!$K$12,IF(CE29=Цены!$H$13,Цены!$K$13,IF(CE29=Цены!$H$14,Цены!$K$14,IF(CE29=Цены!$H$14,Цены!$K$14,IF(CE29=Цены!$H$15,Цены!$K$15,IF(CE29=Цены!$H$16,Цены!$K$16,IF(CE29=Цены!$H$17,Цены!$K$17,IF(CE29=Цены!$H$18,Цены!$K$18,IF(CE29=Цены!$H$19,Цены!$K$19,IF(CE29=Цены!$H$20,Цены!$K$20,IF(CE29=Цены!$H$21,Цены!$K$21,IF(CE29=Цены!$H$22,Цены!$K$22,IF(CE29=Цены!$H$23,Цены!$K$23,IF(CE29=Цены!$H$24,Цены!$K$24,IF(CE29=Цены!$H$25,Цены!$K$25,IF(CE29=Цены!$H$26,Цены!$K$26,IF(CE29=Цены!$H$27,Цены!$K$27,IF(CE29=Цены!$H$28,Цены!$K$28,IF(CE29=Цены!$H$29,Цены!$K$29,IF(CE29=Цены!$H$30,Цены!$K$30,IF(CE29=Цены!$H$31,Цены!$K$31,IF(CE29=Цены!$H$32,Цены!$K$32,IF(CE29=Цены!$H$33,Цены!$K$33,IF(CE29=Цены!$H$34,Цены!$K$34,IF(CE29=Цены!$H$35,Цены!$K$35,IF(CE29=Цены!$H$36,Цены!$K$36,IF(CE29=Цены!$H$37,Цены!$K$37,IF(CE29=Цены!$H$38,Цены!$K$38,IF(CE29=Цены!$H$39,Цены!$K$39,IF(CE29=Цены!$H$40,Цены!$K$40,IF(CE29=Цены!$H$41,Цены!$K$41,IF(CE29=Цены!$H$42,Цены!$K$42,IF(CE29=Цены!$H$43,Цены!$K$43,IF(CE29=Цены!$H$44,Цены!$K$44,IF(CE29=Цены!$H$45,Цены!$K$45,IF(CE29=Цены!$H$46,Цены!$K$46,IF(CE29=Цены!$H$47,Цены!$K$47,IF(CE29=Цены!$H$48,Цены!$K$48,IF(CE29=Цены!$H$49,Цены!$K$49,IF(CE29=Цены!$H$50,Цены!$K$50,IF(CE29=Цены!$H$51,Цены!$K$51,IF(CE29=Цены!$H$52,Цены!$K$52,IF(CE29=Цены!$H$53,Цены!$K$53,IF(CE29=Цены!$H$54,Цены!$K$54,IF(CE29=Цены!$H$55,Цены!$K$55))))))))))))))))))))))))))))))))))))))))))))))))))))))</f>
        <v>624</v>
      </c>
      <c r="CJ29" s="265"/>
      <c r="CK29" s="265"/>
      <c r="CL29" s="266"/>
      <c r="CM29" s="267"/>
      <c r="CN29" s="267"/>
      <c r="CO29" s="268"/>
      <c r="CP29" s="269"/>
      <c r="CQ29" s="270"/>
    </row>
    <row r="30" spans="1:95" ht="15" customHeight="1" x14ac:dyDescent="0.25">
      <c r="A30" s="267"/>
      <c r="B30" s="265"/>
      <c r="C30" s="265"/>
      <c r="D30" s="171" t="s">
        <v>121</v>
      </c>
      <c r="E30" s="25">
        <v>2</v>
      </c>
      <c r="F30" s="27">
        <f>IF(D30=Цены!$H$3,Цены!$L$3,IF(D30=Цены!$H$4,Цены!$L$4,IF(D30=Цены!$H$5,Цены!$L$5,IF(D30=Цены!$H$6,Цены!$L$6,IF(D30=Цены!$H$7,Цены!$L$7,IF(D30=Цены!$H$8,Цены!$L$8,IF(D30=Цены!$H$9,Цены!$L$9,IF(D30=Цены!$H$10,Цены!$L$10,IF(D30=Цены!$H$11,Цены!$L$11,IF(D30=Цены!$H$12,Цены!$L$12,IF(D30=Цены!$H$13,Цены!$L$13,IF(D30=Цены!$H$14,Цены!$L$14,IF(D30=Цены!$H$14,Цены!$L$14,IF(D30=Цены!$H$15,Цены!$L$15,IF(D30=Цены!$H$16,Цены!$L$16,IF(D30=Цены!$H$17,Цены!$L$17,IF(D30=Цены!$H$18,Цены!$L$18,IF(D30=Цены!$H$19,Цены!$L$19,IF(D30=Цены!$H$20,Цены!$L$20,IF(D30=Цены!$H$21,Цены!$L$21,IF(D30=Цены!$H$22,Цены!$L$22,IF(D30=Цены!$H$23,Цены!$L$23,IF(D30=Цены!$H$24,Цены!$L$24,IF(D30=Цены!$H$25,Цены!$L$25,IF(D30=Цены!$H$26,Цены!$L$26,IF(D30=Цены!$H$27,Цены!$L$27,IF(D30=Цены!$H$28,Цены!$L$28,IF(D30=Цены!$H$29,Цены!$L$29,IF(D30=Цены!$H$30,Цены!$L$30,IF(D30=Цены!$H$31,Цены!$L$31,IF(D30=Цены!$H$32,Цены!$L$32,IF(D30=Цены!$H$33,Цены!$L$33,IF(D30=Цены!$H$34,Цены!$L$34,IF(D30=Цены!$H$35,Цены!$L$35,IF(D30=Цены!$H$36,Цены!$L$36,IF(D30=Цены!$H$37,Цены!$L$37,IF(D30=Цены!$H$38,Цены!$L$38,IF(D30=Цены!$H$39,Цены!$L$39,IF(D30=Цены!$H$40,Цены!$L$40,IF(D30=Цены!$H$41,Цены!$L$41,IF(D30=Цены!$H$42,Цены!$L$42,IF(D30=Цены!$H$43,Цены!$L$43,IF(D30=Цены!$H$44,Цены!$L$44,IF(D30=Цены!$H$45,Цены!$L$45,IF(D30=Цены!$H$46,Цены!$L$46,IF(D30=Цены!$H$47,Цены!$L$47,IF(D30=Цены!$H$48,Цены!$L$48,IF(D30=Цены!$H$49,Цены!$L$49,IF(D30=Цены!$H$50,Цены!$L$50,IF(D30=Цены!$H$51,Цены!$L$51,IF(D30=Цены!$H$52,Цены!$L$52,IF(D30=Цены!$H$53,Цены!$L$53,IF(D30=Цены!$H$54,Цены!$L$54,IF(D30=Цены!$H$55,Цены!$L$55))))))))))))))))))))))))))))))))))))))))))))))))))))))</f>
        <v>1.32E-2</v>
      </c>
      <c r="G30" s="309"/>
      <c r="H30" s="28">
        <f>IF(D30=Цены!$H$3,Цены!$K$3,IF(D30=Цены!$H$4,Цены!$K$4,IF(D30=Цены!$H$5,Цены!$K$5,IF(D30=Цены!$H$6,Цены!$K$6,IF(D30=Цены!$H$7,Цены!$K$7,IF(D30=Цены!$H$8,Цены!$K$8,IF(D30=Цены!$H$9,Цены!$K$9,IF(D30=Цены!$H$10,Цены!$K$10,IF(D30=Цены!$H$11,Цены!$K$11,IF(D30=Цены!$H$12,Цены!$K$12,IF(D30=Цены!$H$13,Цены!$K$13,IF(D30=Цены!$H$14,Цены!$K$14,IF(D30=Цены!$H$14,Цены!$K$14,IF(D30=Цены!$H$15,Цены!$K$15,IF(D30=Цены!$H$16,Цены!$K$16,IF(D30=Цены!$H$17,Цены!$K$17,IF(D30=Цены!$H$18,Цены!$K$18,IF(D30=Цены!$H$19,Цены!$K$19,IF(D30=Цены!$H$20,Цены!$K$20,IF(D30=Цены!$H$21,Цены!$K$21,IF(D30=Цены!$H$22,Цены!$K$22,IF(D30=Цены!$H$23,Цены!$K$23,IF(D30=Цены!$H$24,Цены!$K$24,IF(D30=Цены!$H$25,Цены!$K$25,IF(D30=Цены!$H$26,Цены!$K$26,IF(D30=Цены!$H$27,Цены!$K$27,IF(D30=Цены!$H$28,Цены!$K$28,IF(D30=Цены!$H$29,Цены!$K$29,IF(D30=Цены!$H$30,Цены!$K$30,IF(D30=Цены!$H$31,Цены!$K$31,IF(D30=Цены!$H$32,Цены!$K$32,IF(D30=Цены!$H$33,Цены!$K$33,IF(D30=Цены!$H$34,Цены!$K$34,IF(D30=Цены!$H$35,Цены!$K$35,IF(D30=Цены!$H$36,Цены!$K$36,IF(D30=Цены!$H$37,Цены!$K$37,IF(D30=Цены!$H$38,Цены!$K$38,IF(D30=Цены!$H$39,Цены!$K$39,IF(D30=Цены!$H$40,Цены!$K$40,IF(D30=Цены!$H$41,Цены!$K$41,IF(D30=Цены!$H$42,Цены!$K$42,IF(D30=Цены!$H$43,Цены!$K$43,IF(D30=Цены!$H$44,Цены!$K$44,IF(D30=Цены!$H$45,Цены!$K$45,IF(D30=Цены!$H$46,Цены!$K$46,IF(D30=Цены!$H$47,Цены!$K$47,IF(D30=Цены!$H$48,Цены!$K$48,IF(D30=Цены!$H$49,Цены!$K$49,IF(D30=Цены!$H$50,Цены!$K$50,IF(D30=Цены!$H$51,Цены!$K$51,IF(D30=Цены!$H$52,Цены!$K$52,IF(D30=Цены!$H$53,Цены!$K$53,IF(D30=Цены!$H$54,Цены!$K$54,IF(D30=Цены!$H$55,Цены!$K$55))))))))))))))))))))))))))))))))))))))))))))))))))))))</f>
        <v>54</v>
      </c>
      <c r="I30" s="286"/>
      <c r="J30" s="265"/>
      <c r="K30" s="266"/>
      <c r="L30" s="267"/>
      <c r="M30" s="267"/>
      <c r="N30" s="320"/>
      <c r="O30" s="310"/>
      <c r="P30" s="270"/>
      <c r="Q30" s="210"/>
      <c r="R30" s="30"/>
      <c r="S30" s="27" t="b">
        <f>IF(Q30=Цены!$H$3,Цены!$L$3,IF(Q30=Цены!$H$4,Цены!$L$4,IF(Q30=Цены!$H$5,Цены!$L$5,IF(Q30=Цены!$H$6,Цены!$L$6,IF(Q30=Цены!$H$7,Цены!$L$7,IF(Q30=Цены!$H$8,Цены!$L$8,IF(Q30=Цены!$H$9,Цены!$L$9,IF(Q30=Цены!$H$10,Цены!$L$10,IF(Q30=Цены!$H$11,Цены!$L$11,IF(Q30=Цены!$H$12,Цены!$L$12,IF(Q30=Цены!$H$13,Цены!$L$13,IF(Q30=Цены!$H$14,Цены!$L$14,IF(Q30=Цены!$H$14,Цены!$L$14,IF(Q30=Цены!$H$15,Цены!$L$15,IF(Q30=Цены!$H$16,Цены!$L$16,IF(Q30=Цены!$H$17,Цены!$L$17,IF(Q30=Цены!$H$18,Цены!$L$18,IF(Q30=Цены!$H$19,Цены!$L$19,IF(Q30=Цены!$H$20,Цены!$L$20,IF(Q30=Цены!$H$21,Цены!$L$21,IF(Q30=Цены!$H$22,Цены!$L$22,IF(Q30=Цены!$H$23,Цены!$L$23,IF(Q30=Цены!$H$24,Цены!$L$24,IF(Q30=Цены!$H$25,Цены!$L$25,IF(Q30=Цены!$H$26,Цены!$L$26,IF(Q30=Цены!$H$27,Цены!$L$27,IF(Q30=Цены!$H$28,Цены!$L$28,IF(Q30=Цены!$H$29,Цены!$L$29,IF(Q30=Цены!$H$30,Цены!$L$30,IF(Q30=Цены!$H$31,Цены!$L$31,IF(Q30=Цены!$H$32,Цены!$L$32,IF(Q30=Цены!$H$33,Цены!$L$33,IF(Q30=Цены!$H$34,Цены!$L$34,IF(Q30=Цены!$H$35,Цены!$L$35,IF(Q30=Цены!$H$36,Цены!$L$36,IF(Q30=Цены!$H$37,Цены!$L$37,IF(Q30=Цены!$H$38,Цены!$L$38,IF(Q30=Цены!$H$39,Цены!$L$39,IF(Q30=Цены!$H$40,Цены!$L$40,IF(Q30=Цены!$H$41,Цены!$L$41,IF(Q30=Цены!$H$42,Цены!$L$42,IF(Q30=Цены!$H$43,Цены!$L$43,IF(Q30=Цены!$H$44,Цены!$L$44,IF(Q30=Цены!$H$45,Цены!$L$45,IF(Q30=Цены!$H$46,Цены!$L$46,IF(Q30=Цены!$H$47,Цены!$L$47,IF(Q30=Цены!$H$48,Цены!$L$48,IF(Q30=Цены!$H$49,Цены!$L$49,IF(Q30=Цены!$H$50,Цены!$L$50,IF(Q30=Цены!$H$51,Цены!$L$51,IF(Q30=Цены!$H$52,Цены!$L$52,IF(Q30=Цены!$H$53,Цены!$L$53,IF(Q30=Цены!$H$54,Цены!$L$54,IF(Q30=Цены!$H$55,Цены!$L$55))))))))))))))))))))))))))))))))))))))))))))))))))))))</f>
        <v>0</v>
      </c>
      <c r="T30" s="309"/>
      <c r="U30" s="162" t="b">
        <f>IF(Q30=Цены!$H$3,Цены!$K$3,IF(Q30=Цены!$H$4,Цены!$K$4,IF(Q30=Цены!$H$5,Цены!$K$5,IF(Q30=Цены!$H$6,Цены!$K$6,IF(Q30=Цены!$H$7,Цены!$K$7,IF(Q30=Цены!$H$8,Цены!$K$8,IF(Q30=Цены!$H$9,Цены!$K$9,IF(Q30=Цены!$H$10,Цены!$K$10,IF(Q30=Цены!$H$11,Цены!$K$11,IF(Q30=Цены!$H$12,Цены!$K$12,IF(Q30=Цены!$H$13,Цены!$K$13,IF(Q30=Цены!$H$14,Цены!$K$14,IF(Q30=Цены!$H$14,Цены!$K$14,IF(Q30=Цены!$H$15,Цены!$K$15,IF(Q30=Цены!$H$16,Цены!$K$16,IF(Q30=Цены!$H$17,Цены!$K$17,IF(Q30=Цены!$H$18,Цены!$K$18,IF(Q30=Цены!$H$19,Цены!$K$19,IF(Q30=Цены!$H$20,Цены!$K$20,IF(Q30=Цены!$H$21,Цены!$K$21,IF(Q30=Цены!$H$22,Цены!$K$22,IF(Q30=Цены!$H$23,Цены!$K$23,IF(Q30=Цены!$H$24,Цены!$K$24,IF(Q30=Цены!$H$25,Цены!$K$25,IF(Q30=Цены!$H$26,Цены!$K$26,IF(Q30=Цены!$H$27,Цены!$K$27,IF(Q30=Цены!$H$28,Цены!$K$28,IF(Q30=Цены!$H$29,Цены!$K$29,IF(Q30=Цены!$H$30,Цены!$K$30,IF(Q30=Цены!$H$31,Цены!$K$31,IF(Q30=Цены!$H$32,Цены!$K$32,IF(Q30=Цены!$H$33,Цены!$K$33,IF(Q30=Цены!$H$34,Цены!$K$34,IF(Q30=Цены!$H$35,Цены!$K$35,IF(Q30=Цены!$H$36,Цены!$K$36,IF(Q30=Цены!$H$37,Цены!$K$37,IF(Q30=Цены!$H$38,Цены!$K$38,IF(Q30=Цены!$H$39,Цены!$K$39,IF(Q30=Цены!$H$40,Цены!$K$40,IF(Q30=Цены!$H$41,Цены!$K$41,IF(Q30=Цены!$H$42,Цены!$K$42,IF(Q30=Цены!$H$43,Цены!$K$43,IF(Q30=Цены!$H$44,Цены!$K$44,IF(Q30=Цены!$H$45,Цены!$K$45,IF(Q30=Цены!$H$46,Цены!$K$46,IF(Q30=Цены!$H$47,Цены!$K$47,IF(Q30=Цены!$H$48,Цены!$K$48,IF(Q30=Цены!$H$49,Цены!$K$49,IF(Q30=Цены!$H$50,Цены!$K$50,IF(Q30=Цены!$H$51,Цены!$K$51,IF(Q30=Цены!$H$52,Цены!$K$52,IF(Q30=Цены!$H$53,Цены!$K$53,IF(Q30=Цены!$H$54,Цены!$K$54,IF(Q30=Цены!$H$55,Цены!$K$55))))))))))))))))))))))))))))))))))))))))))))))))))))))</f>
        <v>0</v>
      </c>
      <c r="V30" s="265"/>
      <c r="W30" s="265"/>
      <c r="X30" s="266"/>
      <c r="Y30" s="267"/>
      <c r="Z30" s="267"/>
      <c r="AA30" s="320"/>
      <c r="AB30" s="310"/>
      <c r="AC30" s="270"/>
      <c r="AD30" s="209" t="s">
        <v>144</v>
      </c>
      <c r="AE30" s="128">
        <v>4</v>
      </c>
      <c r="AF30" s="27">
        <f>IF(AD30=Цены!$H$3,Цены!$L$3,IF(AD30=Цены!$H$4,Цены!$L$4,IF(AD30=Цены!$H$5,Цены!$L$5,IF(AD30=Цены!$H$6,Цены!$L$6,IF(AD30=Цены!$H$7,Цены!$L$7,IF(AD30=Цены!$H$8,Цены!$L$8,IF(AD30=Цены!$H$9,Цены!$L$9,IF(AD30=Цены!$H$10,Цены!$L$10,IF(AD30=Цены!$H$11,Цены!$L$11,IF(AD30=Цены!$H$12,Цены!$L$12,IF(AD30=Цены!$H$13,Цены!$L$13,IF(AD30=Цены!$H$14,Цены!$L$14,IF(AD30=Цены!$H$14,Цены!$L$14,IF(AD30=Цены!$H$15,Цены!$L$15,IF(AD30=Цены!$H$16,Цены!$L$16,IF(AD30=Цены!$H$17,Цены!$L$17,IF(AD30=Цены!$H$18,Цены!$L$18,IF(AD30=Цены!$H$19,Цены!$L$19,IF(AD30=Цены!$H$20,Цены!$L$20,IF(AD30=Цены!$H$21,Цены!$L$21,IF(AD30=Цены!$H$22,Цены!$L$22,IF(AD30=Цены!$H$23,Цены!$L$23,IF(AD30=Цены!$H$24,Цены!$L$24,IF(AD30=Цены!$H$25,Цены!$L$25,IF(AD30=Цены!$H$26,Цены!$L$26,IF(AD30=Цены!$H$27,Цены!$L$27,IF(AD30=Цены!$H$28,Цены!$L$28,IF(AD30=Цены!$H$29,Цены!$L$29,IF(AD30=Цены!$H$30,Цены!$L$30,IF(AD30=Цены!$H$31,Цены!$L$31,IF(AD30=Цены!$H$32,Цены!$L$32,IF(AD30=Цены!$H$33,Цены!$L$33,IF(AD30=Цены!$H$34,Цены!$L$34,IF(AD30=Цены!$H$35,Цены!$L$35,IF(AD30=Цены!$H$36,Цены!$L$36,IF(AD30=Цены!$H$37,Цены!$L$37,IF(AD30=Цены!$H$38,Цены!$L$38,IF(AD30=Цены!$H$39,Цены!$L$39,IF(AD30=Цены!$H$40,Цены!$L$40,IF(AD30=Цены!$H$41,Цены!$L$41,IF(AD30=Цены!$H$42,Цены!$L$42,IF(AD30=Цены!$H$43,Цены!$L$43,IF(AD30=Цены!$H$44,Цены!$L$44,IF(AD30=Цены!$H$45,Цены!$L$45,IF(AD30=Цены!$H$46,Цены!$L$46,IF(AD30=Цены!$H$47,Цены!$L$47,IF(AD30=Цены!$H$48,Цены!$L$48,IF(AD30=Цены!$H$49,Цены!$L$49,IF(AD30=Цены!$H$50,Цены!$L$50,IF(AD30=Цены!$H$51,Цены!$L$51,IF(AD30=Цены!$H$52,Цены!$L$52,IF(AD30=Цены!$H$53,Цены!$L$53,IF(AD30=Цены!$H$54,Цены!$L$54,IF(AD30=Цены!$H$55,Цены!$L$55))))))))))))))))))))))))))))))))))))))))))))))))))))))</f>
        <v>0.19</v>
      </c>
      <c r="AG30" s="309"/>
      <c r="AH30" s="28">
        <f>IF(AD30=Цены!$H$3,Цены!$K$3,IF(AD30=Цены!$H$4,Цены!$K$4,IF(AD30=Цены!$H$5,Цены!$K$5,IF(AD30=Цены!$H$6,Цены!$K$6,IF(AD30=Цены!$H$7,Цены!$K$7,IF(AD30=Цены!$H$8,Цены!$K$8,IF(AD30=Цены!$H$9,Цены!$K$9,IF(AD30=Цены!$H$10,Цены!$K$10,IF(AD30=Цены!$H$11,Цены!$K$11,IF(AD30=Цены!$H$12,Цены!$K$12,IF(AD30=Цены!$H$13,Цены!$K$13,IF(AD30=Цены!$H$14,Цены!$K$14,IF(AD30=Цены!$H$14,Цены!$K$14,IF(AD30=Цены!$H$15,Цены!$K$15,IF(AD30=Цены!$H$16,Цены!$K$16,IF(AD30=Цены!$H$17,Цены!$K$17,IF(AD30=Цены!$H$18,Цены!$K$18,IF(AD30=Цены!$H$19,Цены!$K$19,IF(AD30=Цены!$H$20,Цены!$K$20,IF(AD30=Цены!$H$21,Цены!$K$21,IF(AD30=Цены!$H$22,Цены!$K$22,IF(AD30=Цены!$H$23,Цены!$K$23,IF(AD30=Цены!$H$24,Цены!$K$24,IF(AD30=Цены!$H$25,Цены!$K$25,IF(AD30=Цены!$H$26,Цены!$K$26,IF(AD30=Цены!$H$27,Цены!$K$27,IF(AD30=Цены!$H$28,Цены!$K$28,IF(AD30=Цены!$H$29,Цены!$K$29,IF(AD30=Цены!$H$30,Цены!$K$30,IF(AD30=Цены!$H$31,Цены!$K$31,IF(AD30=Цены!$H$32,Цены!$K$32,IF(AD30=Цены!$H$33,Цены!$K$33,IF(AD30=Цены!$H$34,Цены!$K$34,IF(AD30=Цены!$H$35,Цены!$K$35,IF(AD30=Цены!$H$36,Цены!$K$36,IF(AD30=Цены!$H$37,Цены!$K$37,IF(AD30=Цены!$H$38,Цены!$K$38,IF(AD30=Цены!$H$39,Цены!$K$39,IF(AD30=Цены!$H$40,Цены!$K$40,IF(AD30=Цены!$H$41,Цены!$K$41,IF(AD30=Цены!$H$42,Цены!$K$42,IF(AD30=Цены!$H$43,Цены!$K$43,IF(AD30=Цены!$H$44,Цены!$K$44,IF(AD30=Цены!$H$45,Цены!$K$45,IF(AD30=Цены!$H$46,Цены!$K$46,IF(AD30=Цены!$H$47,Цены!$K$47,IF(AD30=Цены!$H$48,Цены!$K$48,IF(AD30=Цены!$H$49,Цены!$K$49,IF(AD30=Цены!$H$50,Цены!$K$50,IF(AD30=Цены!$H$51,Цены!$K$51,IF(AD30=Цены!$H$52,Цены!$K$52,IF(AD30=Цены!$H$53,Цены!$K$53,IF(AD30=Цены!$H$54,Цены!$K$54,IF(AD30=Цены!$H$55,Цены!$K$55))))))))))))))))))))))))))))))))))))))))))))))))))))))</f>
        <v>448</v>
      </c>
      <c r="AI30" s="265"/>
      <c r="AJ30" s="265"/>
      <c r="AK30" s="266"/>
      <c r="AL30" s="267"/>
      <c r="AM30" s="267"/>
      <c r="AN30" s="268"/>
      <c r="AO30" s="310"/>
      <c r="AP30" s="270"/>
      <c r="AQ30" s="213"/>
      <c r="AR30" s="129"/>
      <c r="AS30" s="33" t="b">
        <f>IF(AQ30=Цены!$H$3,Цены!$L$3,IF(AQ30=Цены!$H$4,Цены!$L$4,IF(AQ30=Цены!$H$5,Цены!$L$5,IF(AQ30=Цены!$H$6,Цены!$L$6,IF(AQ30=Цены!$H$7,Цены!$L$7,IF(AQ30=Цены!$H$8,Цены!$L$8,IF(AQ30=Цены!$H$9,Цены!$L$9,IF(AQ30=Цены!$H$10,Цены!$L$10,IF(AQ30=Цены!$H$11,Цены!$L$11,IF(AQ30=Цены!$H$12,Цены!$L$12,IF(AQ30=Цены!$H$13,Цены!$L$13,IF(AQ30=Цены!$H$14,Цены!$L$14,IF(AQ30=Цены!$H$14,Цены!$L$14,IF(AQ30=Цены!$H$15,Цены!$L$15,IF(AQ30=Цены!$H$16,Цены!$L$16,IF(AQ30=Цены!$H$17,Цены!$L$17,IF(AQ30=Цены!$H$18,Цены!$L$18,IF(AQ30=Цены!$H$19,Цены!$L$19,IF(AQ30=Цены!$H$20,Цены!$L$20,IF(AQ30=Цены!$H$21,Цены!$L$21,IF(AQ30=Цены!$H$22,Цены!$L$22,IF(AQ30=Цены!$H$23,Цены!$L$23,IF(AQ30=Цены!$H$24,Цены!$L$24,IF(AQ30=Цены!$H$25,Цены!$L$25,IF(AQ30=Цены!$H$26,Цены!$L$26,IF(AQ30=Цены!$H$27,Цены!$L$27,IF(AQ30=Цены!$H$28,Цены!$L$28,IF(AQ30=Цены!$H$29,Цены!$L$29,IF(AQ30=Цены!$H$30,Цены!$L$30,IF(AQ30=Цены!$H$31,Цены!$L$31,IF(AQ30=Цены!$H$32,Цены!$L$32,IF(AQ30=Цены!$H$33,Цены!$L$33,IF(AQ30=Цены!$H$34,Цены!$L$34,IF(AQ30=Цены!$H$35,Цены!$L$35,IF(AQ30=Цены!$H$36,Цены!$L$36,IF(AQ30=Цены!$H$37,Цены!$L$37,IF(AQ30=Цены!$H$38,Цены!$L$38,IF(AQ30=Цены!$H$39,Цены!$L$39,IF(AQ30=Цены!$H$40,Цены!$L$40,IF(AQ30=Цены!$H$41,Цены!$L$41,IF(AQ30=Цены!$H$42,Цены!$L$42,IF(AQ30=Цены!$H$43,Цены!$L$43,IF(AQ30=Цены!$H$44,Цены!$L$44,IF(AQ30=Цены!$H$45,Цены!$L$45,IF(AQ30=Цены!$H$46,Цены!$L$46,IF(AQ30=Цены!$H$47,Цены!$L$47,IF(AQ30=Цены!$H$48,Цены!$L$48,IF(AQ30=Цены!$H$49,Цены!$L$49,IF(AQ30=Цены!$H$50,Цены!$L$50,IF(AQ30=Цены!$H$51,Цены!$L$51,IF(AQ30=Цены!$H$52,Цены!$L$52,IF(AQ30=Цены!$H$53,Цены!$L$53,IF(AQ30=Цены!$H$54,Цены!$L$54,IF(AQ30=Цены!$H$55,Цены!$L$55))))))))))))))))))))))))))))))))))))))))))))))))))))))</f>
        <v>0</v>
      </c>
      <c r="AT30" s="276"/>
      <c r="AU30" s="34" t="b">
        <f>IF(AQ30=Цены!$H$3,Цены!$K$3,IF(AQ30=Цены!$H$4,Цены!$K$4,IF(AQ30=Цены!$H$5,Цены!$K$5,IF(AQ30=Цены!$H$6,Цены!$K$6,IF(AQ30=Цены!$H$7,Цены!$K$7,IF(AQ30=Цены!$H$8,Цены!$K$8,IF(AQ30=Цены!$H$9,Цены!$K$9,IF(AQ30=Цены!$H$10,Цены!$K$10,IF(AQ30=Цены!$H$11,Цены!$K$11,IF(AQ30=Цены!$H$12,Цены!$K$12,IF(AQ30=Цены!$H$13,Цены!$K$13,IF(AQ30=Цены!$H$14,Цены!$K$14,IF(AQ30=Цены!$H$14,Цены!$K$14,IF(AQ30=Цены!$H$15,Цены!$K$15,IF(AQ30=Цены!$H$16,Цены!$K$16,IF(AQ30=Цены!$H$17,Цены!$K$17,IF(AQ30=Цены!$H$18,Цены!$K$18,IF(AQ30=Цены!$H$19,Цены!$K$19,IF(AQ30=Цены!$H$20,Цены!$K$20,IF(AQ30=Цены!$H$21,Цены!$K$21,IF(AQ30=Цены!$H$22,Цены!$K$22,IF(AQ30=Цены!$H$23,Цены!$K$23,IF(AQ30=Цены!$H$24,Цены!$K$24,IF(AQ30=Цены!$H$25,Цены!$K$25,IF(AQ30=Цены!$H$26,Цены!$K$26,IF(AQ30=Цены!$H$27,Цены!$K$27,IF(AQ30=Цены!$H$28,Цены!$K$28,IF(AQ30=Цены!$H$29,Цены!$K$29,IF(AQ30=Цены!$H$30,Цены!$K$30,IF(AQ30=Цены!$H$31,Цены!$K$31,IF(AQ30=Цены!$H$32,Цены!$K$32,IF(AQ30=Цены!$H$33,Цены!$K$33,IF(AQ30=Цены!$H$34,Цены!$K$34,IF(AQ30=Цены!$H$35,Цены!$K$35,IF(AQ30=Цены!$H$36,Цены!$K$36,IF(AQ30=Цены!$H$37,Цены!$K$37,IF(AQ30=Цены!$H$38,Цены!$K$38,IF(AQ30=Цены!$H$39,Цены!$K$39,IF(AQ30=Цены!$H$40,Цены!$K$40,IF(AQ30=Цены!$H$41,Цены!$K$41,IF(AQ30=Цены!$H$42,Цены!$K$42,IF(AQ30=Цены!$H$43,Цены!$K$43,IF(AQ30=Цены!$H$44,Цены!$K$44,IF(AQ30=Цены!$H$45,Цены!$K$45,IF(AQ30=Цены!$H$46,Цены!$K$46,IF(AQ30=Цены!$H$47,Цены!$K$47,IF(AQ30=Цены!$H$48,Цены!$K$48,IF(AQ30=Цены!$H$49,Цены!$K$49,IF(AQ30=Цены!$H$50,Цены!$K$50,IF(AQ30=Цены!$H$51,Цены!$K$51,IF(AQ30=Цены!$H$52,Цены!$K$52,IF(AQ30=Цены!$H$53,Цены!$K$53,IF(AQ30=Цены!$H$54,Цены!$K$54,IF(AQ30=Цены!$H$55,Цены!$K$55))))))))))))))))))))))))))))))))))))))))))))))))))))))</f>
        <v>0</v>
      </c>
      <c r="AV30" s="265"/>
      <c r="AW30" s="265"/>
      <c r="AX30" s="266"/>
      <c r="AY30" s="267"/>
      <c r="AZ30" s="267"/>
      <c r="BA30" s="268"/>
      <c r="BB30" s="269"/>
      <c r="BC30" s="270"/>
      <c r="BD30" s="260"/>
      <c r="BE30" s="210"/>
      <c r="BF30" s="71"/>
      <c r="BG30" s="33" t="b">
        <f>IF(BE30=Цены!$H$3,Цены!$L$3,IF(BE30=Цены!$H$4,Цены!$L$4,IF(BE30=Цены!$H$5,Цены!$L$5,IF(BE30=Цены!$H$6,Цены!$L$6,IF(BE30=Цены!$H$7,Цены!$L$7,IF(BE30=Цены!$H$8,Цены!$L$8,IF(BE30=Цены!$H$9,Цены!$L$9,IF(BE30=Цены!$H$10,Цены!$L$10,IF(BE30=Цены!$H$11,Цены!$L$11,IF(BE30=Цены!$H$12,Цены!$L$12,IF(BE30=Цены!$H$13,Цены!$L$13,IF(BE30=Цены!$H$14,Цены!$L$14,IF(BE30=Цены!$H$14,Цены!$L$14,IF(BE30=Цены!$H$15,Цены!$L$15,IF(BE30=Цены!$H$16,Цены!$L$16,IF(BE30=Цены!$H$17,Цены!$L$17,IF(BE30=Цены!$H$18,Цены!$L$18,IF(BE30=Цены!$H$19,Цены!$L$19,IF(BE30=Цены!$H$20,Цены!$L$20,IF(BE30=Цены!$H$21,Цены!$L$21,IF(BE30=Цены!$H$22,Цены!$L$22,IF(BE30=Цены!$H$23,Цены!$L$23,IF(BE30=Цены!$H$24,Цены!$L$24,IF(BE30=Цены!$H$25,Цены!$L$25,IF(BE30=Цены!$H$26,Цены!$L$26,IF(BE30=Цены!$H$27,Цены!$L$27,IF(BE30=Цены!$H$28,Цены!$L$28,IF(BE30=Цены!$H$29,Цены!$L$29,IF(BE30=Цены!$H$30,Цены!$L$30,IF(BE30=Цены!$H$31,Цены!$L$31,IF(BE30=Цены!$H$32,Цены!$L$32,IF(BE30=Цены!$H$33,Цены!$L$33,IF(BE30=Цены!$H$34,Цены!$L$34,IF(BE30=Цены!$H$35,Цены!$L$35,IF(BE30=Цены!$H$36,Цены!$L$36,IF(BE30=Цены!$H$37,Цены!$L$37,IF(BE30=Цены!$H$38,Цены!$L$38,IF(BE30=Цены!$H$39,Цены!$L$39,IF(BE30=Цены!$H$40,Цены!$L$40,IF(BE30=Цены!$H$41,Цены!$L$41,IF(BE30=Цены!$H$42,Цены!$L$42,IF(BE30=Цены!$H$43,Цены!$L$43,IF(BE30=Цены!$H$44,Цены!$L$44,IF(BE30=Цены!$H$45,Цены!$L$45,IF(BE30=Цены!$H$46,Цены!$L$46,IF(BE30=Цены!$H$47,Цены!$L$47,IF(BE30=Цены!$H$48,Цены!$L$48,IF(BE30=Цены!$H$49,Цены!$L$49,IF(BE30=Цены!$H$50,Цены!$L$50,IF(BE30=Цены!$H$51,Цены!$L$51,IF(BE30=Цены!$H$52,Цены!$L$52,IF(BE30=Цены!$H$53,Цены!$L$53,IF(BE30=Цены!$H$54,Цены!$L$54,IF(BE30=Цены!$H$55,Цены!$L$55))))))))))))))))))))))))))))))))))))))))))))))))))))))</f>
        <v>0</v>
      </c>
      <c r="BH30" s="276"/>
      <c r="BI30" s="34" t="b">
        <f>IF(BE30=Цены!$H$3,Цены!$K$3,IF(BE30=Цены!$H$4,Цены!$K$4,IF(BE30=Цены!$H$5,Цены!$K$5,IF(BE30=Цены!$H$6,Цены!$K$6,IF(BE30=Цены!$H$7,Цены!$K$7,IF(BE30=Цены!$H$8,Цены!$K$8,IF(BE30=Цены!$H$9,Цены!$K$9,IF(BE30=Цены!$H$10,Цены!$K$10,IF(BE30=Цены!$H$11,Цены!$K$11,IF(BE30=Цены!$H$12,Цены!$K$12,IF(BE30=Цены!$H$13,Цены!$K$13,IF(BE30=Цены!$H$14,Цены!$K$14,IF(BE30=Цены!$H$14,Цены!$K$14,IF(BE30=Цены!$H$15,Цены!$K$15,IF(BE30=Цены!$H$16,Цены!$K$16,IF(BE30=Цены!$H$17,Цены!$K$17,IF(BE30=Цены!$H$18,Цены!$K$18,IF(BE30=Цены!$H$19,Цены!$K$19,IF(BE30=Цены!$H$20,Цены!$K$20,IF(BE30=Цены!$H$21,Цены!$K$21,IF(BE30=Цены!$H$22,Цены!$K$22,IF(BE30=Цены!$H$23,Цены!$K$23,IF(BE30=Цены!$H$24,Цены!$K$24,IF(BE30=Цены!$H$25,Цены!$K$25,IF(BE30=Цены!$H$26,Цены!$K$26,IF(BE30=Цены!$H$27,Цены!$K$27,IF(BE30=Цены!$H$28,Цены!$K$28,IF(BE30=Цены!$H$29,Цены!$K$29,IF(BE30=Цены!$H$30,Цены!$K$30,IF(BE30=Цены!$H$31,Цены!$K$31,IF(BE30=Цены!$H$32,Цены!$K$32,IF(BE30=Цены!$H$33,Цены!$K$33,IF(BE30=Цены!$H$34,Цены!$K$34,IF(BE30=Цены!$H$35,Цены!$K$35,IF(BE30=Цены!$H$36,Цены!$K$36,IF(BE30=Цены!$H$37,Цены!$K$37,IF(BE30=Цены!$H$38,Цены!$K$38,IF(BE30=Цены!$H$39,Цены!$K$39,IF(BE30=Цены!$H$40,Цены!$K$40,IF(BE30=Цены!$H$41,Цены!$K$41,IF(BE30=Цены!$H$42,Цены!$K$42,IF(BE30=Цены!$H$43,Цены!$K$43,IF(BE30=Цены!$H$44,Цены!$K$44,IF(BE30=Цены!$H$45,Цены!$K$45,IF(BE30=Цены!$H$46,Цены!$K$46,IF(BE30=Цены!$H$47,Цены!$K$47,IF(BE30=Цены!$H$48,Цены!$K$48,IF(BE30=Цены!$H$49,Цены!$K$49,IF(BE30=Цены!$H$50,Цены!$K$50,IF(BE30=Цены!$H$51,Цены!$K$51,IF(BE30=Цены!$H$52,Цены!$K$52,IF(BE30=Цены!$H$53,Цены!$K$53,IF(BE30=Цены!$H$54,Цены!$K$54,IF(BE30=Цены!$H$55,Цены!$K$55))))))))))))))))))))))))))))))))))))))))))))))))))))))</f>
        <v>0</v>
      </c>
      <c r="BJ30" s="265"/>
      <c r="BK30" s="265"/>
      <c r="BL30" s="266"/>
      <c r="BM30" s="267"/>
      <c r="BN30" s="267"/>
      <c r="BO30" s="268"/>
      <c r="BP30" s="269"/>
      <c r="BQ30" s="270"/>
      <c r="BR30" s="210"/>
      <c r="BS30" s="43"/>
      <c r="BT30" s="33" t="b">
        <f>IF(BR30=Цены!$H$3,Цены!$L$3,IF(BR30=Цены!$H$4,Цены!$L$4,IF(BR30=Цены!$H$5,Цены!$L$5,IF(BR30=Цены!$H$6,Цены!$L$6,IF(BR30=Цены!$H$7,Цены!$L$7,IF(BR30=Цены!$H$8,Цены!$L$8,IF(BR30=Цены!$H$9,Цены!$L$9,IF(BR30=Цены!$H$10,Цены!$L$10,IF(BR30=Цены!$H$11,Цены!$L$11,IF(BR30=Цены!$H$12,Цены!$L$12,IF(BR30=Цены!$H$13,Цены!$L$13,IF(BR30=Цены!$H$14,Цены!$L$14,IF(BR30=Цены!$H$14,Цены!$L$14,IF(BR30=Цены!$H$15,Цены!$L$15,IF(BR30=Цены!$H$16,Цены!$L$16,IF(BR30=Цены!$H$17,Цены!$L$17,IF(BR30=Цены!$H$18,Цены!$L$18,IF(BR30=Цены!$H$19,Цены!$L$19,IF(BR30=Цены!$H$20,Цены!$L$20,IF(BR30=Цены!$H$21,Цены!$L$21,IF(BR30=Цены!$H$22,Цены!$L$22,IF(BR30=Цены!$H$23,Цены!$L$23,IF(BR30=Цены!$H$24,Цены!$L$24,IF(BR30=Цены!$H$25,Цены!$L$25,IF(BR30=Цены!$H$26,Цены!$L$26,IF(BR30=Цены!$H$27,Цены!$L$27,IF(BR30=Цены!$H$28,Цены!$L$28,IF(BR30=Цены!$H$29,Цены!$L$29,IF(BR30=Цены!$H$30,Цены!$L$30,IF(BR30=Цены!$H$31,Цены!$L$31,IF(BR30=Цены!$H$32,Цены!$L$32,IF(BR30=Цены!$H$33,Цены!$L$33,IF(BR30=Цены!$H$34,Цены!$L$34,IF(BR30=Цены!$H$35,Цены!$L$35,IF(BR30=Цены!$H$36,Цены!$L$36,IF(BR30=Цены!$H$37,Цены!$L$37,IF(BR30=Цены!$H$38,Цены!$L$38,IF(BR30=Цены!$H$39,Цены!$L$39,IF(BR30=Цены!$H$40,Цены!$L$40,IF(BR30=Цены!$H$41,Цены!$L$41,IF(BR30=Цены!$H$42,Цены!$L$42,IF(BR30=Цены!$H$43,Цены!$L$43,IF(BR30=Цены!$H$44,Цены!$L$44,IF(BR30=Цены!$H$45,Цены!$L$45,IF(BR30=Цены!$H$46,Цены!$L$46,IF(BR30=Цены!$H$47,Цены!$L$47,IF(BR30=Цены!$H$48,Цены!$L$48,IF(BR30=Цены!$H$49,Цены!$L$49,IF(BR30=Цены!$H$50,Цены!$L$50,IF(BR30=Цены!$H$51,Цены!$L$51,IF(BR30=Цены!$H$52,Цены!$L$52,IF(BR30=Цены!$H$53,Цены!$L$53,IF(BR30=Цены!$H$54,Цены!$L$54,IF(BR30=Цены!$H$55,Цены!$L$55))))))))))))))))))))))))))))))))))))))))))))))))))))))</f>
        <v>0</v>
      </c>
      <c r="BU30" s="276"/>
      <c r="BV30" s="34" t="b">
        <f>IF(BR30=Цены!$H$3,Цены!$K$3,IF(BR30=Цены!$H$4,Цены!$K$4,IF(BR30=Цены!$H$5,Цены!$K$5,IF(BR30=Цены!$H$6,Цены!$K$6,IF(BR30=Цены!$H$7,Цены!$K$7,IF(BR30=Цены!$H$8,Цены!$K$8,IF(BR30=Цены!$H$9,Цены!$K$9,IF(BR30=Цены!$H$10,Цены!$K$10,IF(BR30=Цены!$H$11,Цены!$K$11,IF(BR30=Цены!$H$12,Цены!$K$12,IF(BR30=Цены!$H$13,Цены!$K$13,IF(BR30=Цены!$H$14,Цены!$K$14,IF(BR30=Цены!$H$14,Цены!$K$14,IF(BR30=Цены!$H$15,Цены!$K$15,IF(BR30=Цены!$H$16,Цены!$K$16,IF(BR30=Цены!$H$17,Цены!$K$17,IF(BR30=Цены!$H$18,Цены!$K$18,IF(BR30=Цены!$H$19,Цены!$K$19,IF(BR30=Цены!$H$20,Цены!$K$20,IF(BR30=Цены!$H$21,Цены!$K$21,IF(BR30=Цены!$H$22,Цены!$K$22,IF(BR30=Цены!$H$23,Цены!$K$23,IF(BR30=Цены!$H$24,Цены!$K$24,IF(BR30=Цены!$H$25,Цены!$K$25,IF(BR30=Цены!$H$26,Цены!$K$26,IF(BR30=Цены!$H$27,Цены!$K$27,IF(BR30=Цены!$H$28,Цены!$K$28,IF(BR30=Цены!$H$29,Цены!$K$29,IF(BR30=Цены!$H$30,Цены!$K$30,IF(BR30=Цены!$H$31,Цены!$K$31,IF(BR30=Цены!$H$32,Цены!$K$32,IF(BR30=Цены!$H$33,Цены!$K$33,IF(BR30=Цены!$H$34,Цены!$K$34,IF(BR30=Цены!$H$35,Цены!$K$35,IF(BR30=Цены!$H$36,Цены!$K$36,IF(BR30=Цены!$H$37,Цены!$K$37,IF(BR30=Цены!$H$38,Цены!$K$38,IF(BR30=Цены!$H$39,Цены!$K$39,IF(BR30=Цены!$H$40,Цены!$K$40,IF(BR30=Цены!$H$41,Цены!$K$41,IF(BR30=Цены!$H$42,Цены!$K$42,IF(BR30=Цены!$H$43,Цены!$K$43,IF(BR30=Цены!$H$44,Цены!$K$44,IF(BR30=Цены!$H$45,Цены!$K$45,IF(BR30=Цены!$H$46,Цены!$K$46,IF(BR30=Цены!$H$47,Цены!$K$47,IF(BR30=Цены!$H$48,Цены!$K$48,IF(BR30=Цены!$H$49,Цены!$K$49,IF(BR30=Цены!$H$50,Цены!$K$50,IF(BR30=Цены!$H$51,Цены!$K$51,IF(BR30=Цены!$H$52,Цены!$K$52,IF(BR30=Цены!$H$53,Цены!$K$53,IF(BR30=Цены!$H$54,Цены!$K$54,IF(BR30=Цены!$H$55,Цены!$K$55))))))))))))))))))))))))))))))))))))))))))))))))))))))</f>
        <v>0</v>
      </c>
      <c r="BW30" s="265"/>
      <c r="BX30" s="265"/>
      <c r="BY30" s="266"/>
      <c r="BZ30" s="267"/>
      <c r="CA30" s="267"/>
      <c r="CB30" s="268"/>
      <c r="CC30" s="269"/>
      <c r="CD30" s="270"/>
      <c r="CE30" s="171" t="s">
        <v>121</v>
      </c>
      <c r="CF30" s="43">
        <v>2</v>
      </c>
      <c r="CG30" s="33">
        <f>IF(CE30=Цены!$H$3,Цены!$L$3,IF(CE30=Цены!$H$4,Цены!$L$4,IF(CE30=Цены!$H$5,Цены!$L$5,IF(CE30=Цены!$H$6,Цены!$L$6,IF(CE30=Цены!$H$7,Цены!$L$7,IF(CE30=Цены!$H$8,Цены!$L$8,IF(CE30=Цены!$H$9,Цены!$L$9,IF(CE30=Цены!$H$10,Цены!$L$10,IF(CE30=Цены!$H$11,Цены!$L$11,IF(CE30=Цены!$H$12,Цены!$L$12,IF(CE30=Цены!$H$13,Цены!$L$13,IF(CE30=Цены!$H$14,Цены!$L$14,IF(CE30=Цены!$H$14,Цены!$L$14,IF(CE30=Цены!$H$15,Цены!$L$15,IF(CE30=Цены!$H$16,Цены!$L$16,IF(CE30=Цены!$H$17,Цены!$L$17,IF(CE30=Цены!$H$18,Цены!$L$18,IF(CE30=Цены!$H$19,Цены!$L$19,IF(CE30=Цены!$H$20,Цены!$L$20,IF(CE30=Цены!$H$21,Цены!$L$21,IF(CE30=Цены!$H$22,Цены!$L$22,IF(CE30=Цены!$H$23,Цены!$L$23,IF(CE30=Цены!$H$24,Цены!$L$24,IF(CE30=Цены!$H$25,Цены!$L$25,IF(CE30=Цены!$H$26,Цены!$L$26,IF(CE30=Цены!$H$27,Цены!$L$27,IF(CE30=Цены!$H$28,Цены!$L$28,IF(CE30=Цены!$H$29,Цены!$L$29,IF(CE30=Цены!$H$30,Цены!$L$30,IF(CE30=Цены!$H$31,Цены!$L$31,IF(CE30=Цены!$H$32,Цены!$L$32,IF(CE30=Цены!$H$33,Цены!$L$33,IF(CE30=Цены!$H$34,Цены!$L$34,IF(CE30=Цены!$H$35,Цены!$L$35,IF(CE30=Цены!$H$36,Цены!$L$36,IF(CE30=Цены!$H$37,Цены!$L$37,IF(CE30=Цены!$H$38,Цены!$L$38,IF(CE30=Цены!$H$39,Цены!$L$39,IF(CE30=Цены!$H$40,Цены!$L$40,IF(CE30=Цены!$H$41,Цены!$L$41,IF(CE30=Цены!$H$42,Цены!$L$42,IF(CE30=Цены!$H$43,Цены!$L$43,IF(CE30=Цены!$H$44,Цены!$L$44,IF(CE30=Цены!$H$45,Цены!$L$45,IF(CE30=Цены!$H$46,Цены!$L$46,IF(CE30=Цены!$H$47,Цены!$L$47,IF(CE30=Цены!$H$48,Цены!$L$48,IF(CE30=Цены!$H$49,Цены!$L$49,IF(CE30=Цены!$H$50,Цены!$L$50,IF(CE30=Цены!$H$51,Цены!$L$51,IF(CE30=Цены!$H$52,Цены!$L$52,IF(CE30=Цены!$H$53,Цены!$L$53,IF(CE30=Цены!$H$54,Цены!$L$54,IF(CE30=Цены!$H$55,Цены!$L$55))))))))))))))))))))))))))))))))))))))))))))))))))))))</f>
        <v>1.32E-2</v>
      </c>
      <c r="CH30" s="276"/>
      <c r="CI30" s="34">
        <f>IF(CE30=Цены!$H$3,Цены!$K$3,IF(CE30=Цены!$H$4,Цены!$K$4,IF(CE30=Цены!$H$5,Цены!$K$5,IF(CE30=Цены!$H$6,Цены!$K$6,IF(CE30=Цены!$H$7,Цены!$K$7,IF(CE30=Цены!$H$8,Цены!$K$8,IF(CE30=Цены!$H$9,Цены!$K$9,IF(CE30=Цены!$H$10,Цены!$K$10,IF(CE30=Цены!$H$11,Цены!$K$11,IF(CE30=Цены!$H$12,Цены!$K$12,IF(CE30=Цены!$H$13,Цены!$K$13,IF(CE30=Цены!$H$14,Цены!$K$14,IF(CE30=Цены!$H$14,Цены!$K$14,IF(CE30=Цены!$H$15,Цены!$K$15,IF(CE30=Цены!$H$16,Цены!$K$16,IF(CE30=Цены!$H$17,Цены!$K$17,IF(CE30=Цены!$H$18,Цены!$K$18,IF(CE30=Цены!$H$19,Цены!$K$19,IF(CE30=Цены!$H$20,Цены!$K$20,IF(CE30=Цены!$H$21,Цены!$K$21,IF(CE30=Цены!$H$22,Цены!$K$22,IF(CE30=Цены!$H$23,Цены!$K$23,IF(CE30=Цены!$H$24,Цены!$K$24,IF(CE30=Цены!$H$25,Цены!$K$25,IF(CE30=Цены!$H$26,Цены!$K$26,IF(CE30=Цены!$H$27,Цены!$K$27,IF(CE30=Цены!$H$28,Цены!$K$28,IF(CE30=Цены!$H$29,Цены!$K$29,IF(CE30=Цены!$H$30,Цены!$K$30,IF(CE30=Цены!$H$31,Цены!$K$31,IF(CE30=Цены!$H$32,Цены!$K$32,IF(CE30=Цены!$H$33,Цены!$K$33,IF(CE30=Цены!$H$34,Цены!$K$34,IF(CE30=Цены!$H$35,Цены!$K$35,IF(CE30=Цены!$H$36,Цены!$K$36,IF(CE30=Цены!$H$37,Цены!$K$37,IF(CE30=Цены!$H$38,Цены!$K$38,IF(CE30=Цены!$H$39,Цены!$K$39,IF(CE30=Цены!$H$40,Цены!$K$40,IF(CE30=Цены!$H$41,Цены!$K$41,IF(CE30=Цены!$H$42,Цены!$K$42,IF(CE30=Цены!$H$43,Цены!$K$43,IF(CE30=Цены!$H$44,Цены!$K$44,IF(CE30=Цены!$H$45,Цены!$K$45,IF(CE30=Цены!$H$46,Цены!$K$46,IF(CE30=Цены!$H$47,Цены!$K$47,IF(CE30=Цены!$H$48,Цены!$K$48,IF(CE30=Цены!$H$49,Цены!$K$49,IF(CE30=Цены!$H$50,Цены!$K$50,IF(CE30=Цены!$H$51,Цены!$K$51,IF(CE30=Цены!$H$52,Цены!$K$52,IF(CE30=Цены!$H$53,Цены!$K$53,IF(CE30=Цены!$H$54,Цены!$K$54,IF(CE30=Цены!$H$55,Цены!$K$55))))))))))))))))))))))))))))))))))))))))))))))))))))))</f>
        <v>54</v>
      </c>
      <c r="CJ30" s="265"/>
      <c r="CK30" s="265"/>
      <c r="CL30" s="266"/>
      <c r="CM30" s="267"/>
      <c r="CN30" s="267"/>
      <c r="CO30" s="268"/>
      <c r="CP30" s="269"/>
      <c r="CQ30" s="270"/>
    </row>
    <row r="31" spans="1:95" s="40" customFormat="1" ht="15" customHeight="1" x14ac:dyDescent="0.25">
      <c r="A31" s="267"/>
      <c r="B31" s="265"/>
      <c r="C31" s="355" t="s">
        <v>168</v>
      </c>
      <c r="D31" s="173" t="s">
        <v>67</v>
      </c>
      <c r="E31" s="168">
        <v>8</v>
      </c>
      <c r="F31" s="46">
        <f>IF(D31=Цены!$H$3,Цены!$L$3,IF(D31=Цены!$H$4,Цены!$L$4,IF(D31=Цены!$H$5,Цены!$L$5,IF(D31=Цены!$H$6,Цены!$L$6,IF(D31=Цены!$H$7,Цены!$L$7,IF(D31=Цены!$H$8,Цены!$L$8,IF(D31=Цены!$H$9,Цены!$L$9,IF(D31=Цены!$H$10,Цены!$L$10,IF(D31=Цены!$H$11,Цены!$L$11,IF(D31=Цены!$H$12,Цены!$L$12,IF(D31=Цены!$H$13,Цены!$L$13,IF(D31=Цены!$H$14,Цены!$L$14,IF(D31=Цены!$H$14,Цены!$L$14,IF(D31=Цены!$H$15,Цены!$L$15,IF(D31=Цены!$H$16,Цены!$L$16,IF(D31=Цены!$H$17,Цены!$L$17,IF(D31=Цены!$H$18,Цены!$L$18,IF(D31=Цены!$H$19,Цены!$L$19,IF(D31=Цены!$H$20,Цены!$L$20,IF(D31=Цены!$H$21,Цены!$L$21,IF(D31=Цены!$H$22,Цены!$L$22,IF(D31=Цены!$H$23,Цены!$L$23,IF(D31=Цены!$H$24,Цены!$L$24,IF(D31=Цены!$H$25,Цены!$L$25,IF(D31=Цены!$H$26,Цены!$L$26,IF(D31=Цены!$H$27,Цены!$L$27,IF(D31=Цены!$H$28,Цены!$L$28,IF(D31=Цены!$H$29,Цены!$L$29,IF(D31=Цены!$H$30,Цены!$L$30,IF(D31=Цены!$H$31,Цены!$L$31,IF(D31=Цены!$H$32,Цены!$L$32,IF(D31=Цены!$H$33,Цены!$L$33,IF(D31=Цены!$H$34,Цены!$L$34,IF(D31=Цены!$H$35,Цены!$L$35,IF(D31=Цены!$H$36,Цены!$L$36,IF(D31=Цены!$H$37,Цены!$L$37,IF(D31=Цены!$H$38,Цены!$L$38,IF(D31=Цены!$H$39,Цены!$L$39,IF(D31=Цены!$H$40,Цены!$L$40,IF(D31=Цены!$H$41,Цены!$L$41,IF(D31=Цены!$H$42,Цены!$L$42,IF(D31=Цены!$H$43,Цены!$L$43,IF(D31=Цены!$H$44,Цены!$L$44,IF(D31=Цены!$H$45,Цены!$L$45,IF(D31=Цены!$H$46,Цены!$L$46,IF(D31=Цены!$H$47,Цены!$L$47,IF(D31=Цены!$H$48,Цены!$L$48,IF(D31=Цены!$H$49,Цены!$L$49,IF(D31=Цены!$H$50,Цены!$L$50,IF(D31=Цены!$H$51,Цены!$L$51,IF(D31=Цены!$H$52,Цены!$L$52,IF(D31=Цены!$H$53,Цены!$L$53,IF(D31=Цены!$H$54,Цены!$L$54,IF(D31=Цены!$H$55,Цены!$L$55))))))))))))))))))))))))))))))))))))))))))))))))))))))</f>
        <v>0.9</v>
      </c>
      <c r="G31" s="339">
        <f>E31*F31+E32*F32+E33*F33+E34*F34</f>
        <v>13.599600000000001</v>
      </c>
      <c r="H31" s="47">
        <f>IF(D31=Цены!$H$3,Цены!$K$3,IF(D31=Цены!$H$4,Цены!$K$4,IF(D31=Цены!$H$5,Цены!$K$5,IF(D31=Цены!$H$6,Цены!$K$6,IF(D31=Цены!$H$7,Цены!$K$7,IF(D31=Цены!$H$8,Цены!$K$8,IF(D31=Цены!$H$9,Цены!$K$9,IF(D31=Цены!$H$10,Цены!$K$10,IF(D31=Цены!$H$11,Цены!$K$11,IF(D31=Цены!$H$12,Цены!$K$12,IF(D31=Цены!$H$13,Цены!$K$13,IF(D31=Цены!$H$14,Цены!$K$14,IF(D31=Цены!$H$14,Цены!$K$14,IF(D31=Цены!$H$15,Цены!$K$15,IF(D31=Цены!$H$16,Цены!$K$16,IF(D31=Цены!$H$17,Цены!$K$17,IF(D31=Цены!$H$18,Цены!$K$18,IF(D31=Цены!$H$19,Цены!$K$19,IF(D31=Цены!$H$20,Цены!$K$20,IF(D31=Цены!$H$21,Цены!$K$21,IF(D31=Цены!$H$22,Цены!$K$22,IF(D31=Цены!$H$23,Цены!$K$23,IF(D31=Цены!$H$24,Цены!$K$24,IF(D31=Цены!$H$25,Цены!$K$25,IF(D31=Цены!$H$26,Цены!$K$26,IF(D31=Цены!$H$27,Цены!$K$27,IF(D31=Цены!$H$28,Цены!$K$28,IF(D31=Цены!$H$29,Цены!$K$29,IF(D31=Цены!$H$30,Цены!$K$30,IF(D31=Цены!$H$31,Цены!$K$31,IF(D31=Цены!$H$32,Цены!$K$32,IF(D31=Цены!$H$33,Цены!$K$33,IF(D31=Цены!$H$34,Цены!$K$34,IF(D31=Цены!$H$35,Цены!$K$35,IF(D31=Цены!$H$36,Цены!$K$36,IF(D31=Цены!$H$37,Цены!$K$37,IF(D31=Цены!$H$38,Цены!$K$38,IF(D31=Цены!$H$39,Цены!$K$39,IF(D31=Цены!$H$40,Цены!$K$40,IF(D31=Цены!$H$41,Цены!$K$41,IF(D31=Цены!$H$42,Цены!$K$42,IF(D31=Цены!$H$43,Цены!$K$43,IF(D31=Цены!$H$44,Цены!$K$44,IF(D31=Цены!$H$45,Цены!$K$45,IF(D31=Цены!$H$46,Цены!$K$46,IF(D31=Цены!$H$47,Цены!$K$47,IF(D31=Цены!$H$48,Цены!$K$48,IF(D31=Цены!$H$49,Цены!$K$49,IF(D31=Цены!$H$50,Цены!$K$50,IF(D31=Цены!$H$51,Цены!$K$51,IF(D31=Цены!$H$52,Цены!$K$52,IF(D31=Цены!$H$53,Цены!$K$53,IF(D31=Цены!$H$54,Цены!$K$54,IF(D31=Цены!$H$55,Цены!$K$55))))))))))))))))))))))))))))))))))))))))))))))))))))))</f>
        <v>338</v>
      </c>
      <c r="I31" s="286"/>
      <c r="J31" s="265"/>
      <c r="K31" s="272">
        <f>E31*H31+E32*H32+E33*H33+E34*H34</f>
        <v>7666</v>
      </c>
      <c r="L31" s="327">
        <v>6000</v>
      </c>
      <c r="M31" s="272">
        <f>K31+L31</f>
        <v>13666</v>
      </c>
      <c r="N31" s="320"/>
      <c r="O31" s="332">
        <f>N27/M31*100</f>
        <v>58.539440948338935</v>
      </c>
      <c r="P31" s="275">
        <f>MROUND(M31+N27,500)</f>
        <v>21500</v>
      </c>
      <c r="Q31" s="206" t="s">
        <v>143</v>
      </c>
      <c r="R31" s="37">
        <v>8</v>
      </c>
      <c r="S31" s="38">
        <f>IF(Q31=Цены!$H$3,Цены!$L$3,IF(Q31=Цены!$H$4,Цены!$L$4,IF(Q31=Цены!$H$5,Цены!$L$5,IF(Q31=Цены!$H$6,Цены!$L$6,IF(Q31=Цены!$H$7,Цены!$L$7,IF(Q31=Цены!$H$8,Цены!$L$8,IF(Q31=Цены!$H$9,Цены!$L$9,IF(Q31=Цены!$H$10,Цены!$L$10,IF(Q31=Цены!$H$11,Цены!$L$11,IF(Q31=Цены!$H$12,Цены!$L$12,IF(Q31=Цены!$H$13,Цены!$L$13,IF(Q31=Цены!$H$14,Цены!$L$14,IF(Q31=Цены!$H$14,Цены!$L$14,IF(Q31=Цены!$H$15,Цены!$L$15,IF(Q31=Цены!$H$16,Цены!$L$16,IF(Q31=Цены!$H$17,Цены!$L$17,IF(Q31=Цены!$H$18,Цены!$L$18,IF(Q31=Цены!$H$19,Цены!$L$19,IF(Q31=Цены!$H$20,Цены!$L$20,IF(Q31=Цены!$H$21,Цены!$L$21,IF(Q31=Цены!$H$22,Цены!$L$22,IF(Q31=Цены!$H$23,Цены!$L$23,IF(Q31=Цены!$H$24,Цены!$L$24,IF(Q31=Цены!$H$25,Цены!$L$25,IF(Q31=Цены!$H$26,Цены!$L$26,IF(Q31=Цены!$H$27,Цены!$L$27,IF(Q31=Цены!$H$28,Цены!$L$28,IF(Q31=Цены!$H$29,Цены!$L$29,IF(Q31=Цены!$H$30,Цены!$L$30,IF(Q31=Цены!$H$31,Цены!$L$31,IF(Q31=Цены!$H$32,Цены!$L$32,IF(Q31=Цены!$H$33,Цены!$L$33,IF(Q31=Цены!$H$34,Цены!$L$34,IF(Q31=Цены!$H$35,Цены!$L$35,IF(Q31=Цены!$H$36,Цены!$L$36,IF(Q31=Цены!$H$37,Цены!$L$37,IF(Q31=Цены!$H$38,Цены!$L$38,IF(Q31=Цены!$H$39,Цены!$L$39,IF(Q31=Цены!$H$40,Цены!$L$40,IF(Q31=Цены!$H$41,Цены!$L$41,IF(Q31=Цены!$H$42,Цены!$L$42,IF(Q31=Цены!$H$43,Цены!$L$43,IF(Q31=Цены!$H$44,Цены!$L$44,IF(Q31=Цены!$H$45,Цены!$L$45,IF(Q31=Цены!$H$46,Цены!$L$46,IF(Q31=Цены!$H$47,Цены!$L$47,IF(Q31=Цены!$H$48,Цены!$L$48,IF(Q31=Цены!$H$49,Цены!$L$49,IF(Q31=Цены!$H$50,Цены!$L$50,IF(Q31=Цены!$H$51,Цены!$L$51,IF(Q31=Цены!$H$52,Цены!$L$52,IF(Q31=Цены!$H$53,Цены!$L$53,IF(Q31=Цены!$H$54,Цены!$L$54,IF(Q31=Цены!$H$55,Цены!$L$55))))))))))))))))))))))))))))))))))))))))))))))))))))))</f>
        <v>2.4</v>
      </c>
      <c r="T31" s="322">
        <f>R31*S31+R32*S32+R33*S33+R34*S34</f>
        <v>23.799999999999997</v>
      </c>
      <c r="U31" s="161">
        <f>IF(Q31=Цены!$H$3,Цены!$K$3,IF(Q31=Цены!$H$4,Цены!$K$4,IF(Q31=Цены!$H$5,Цены!$K$5,IF(Q31=Цены!$H$6,Цены!$K$6,IF(Q31=Цены!$H$7,Цены!$K$7,IF(Q31=Цены!$H$8,Цены!$K$8,IF(Q31=Цены!$H$9,Цены!$K$9,IF(Q31=Цены!$H$10,Цены!$K$10,IF(Q31=Цены!$H$11,Цены!$K$11,IF(Q31=Цены!$H$12,Цены!$K$12,IF(Q31=Цены!$H$13,Цены!$K$13,IF(Q31=Цены!$H$14,Цены!$K$14,IF(Q31=Цены!$H$14,Цены!$K$14,IF(Q31=Цены!$H$15,Цены!$K$15,IF(Q31=Цены!$H$16,Цены!$K$16,IF(Q31=Цены!$H$17,Цены!$K$17,IF(Q31=Цены!$H$18,Цены!$K$18,IF(Q31=Цены!$H$19,Цены!$K$19,IF(Q31=Цены!$H$20,Цены!$K$20,IF(Q31=Цены!$H$21,Цены!$K$21,IF(Q31=Цены!$H$22,Цены!$K$22,IF(Q31=Цены!$H$23,Цены!$K$23,IF(Q31=Цены!$H$24,Цены!$K$24,IF(Q31=Цены!$H$25,Цены!$K$25,IF(Q31=Цены!$H$26,Цены!$K$26,IF(Q31=Цены!$H$27,Цены!$K$27,IF(Q31=Цены!$H$28,Цены!$K$28,IF(Q31=Цены!$H$29,Цены!$K$29,IF(Q31=Цены!$H$30,Цены!$K$30,IF(Q31=Цены!$H$31,Цены!$K$31,IF(Q31=Цены!$H$32,Цены!$K$32,IF(Q31=Цены!$H$33,Цены!$K$33,IF(Q31=Цены!$H$34,Цены!$K$34,IF(Q31=Цены!$H$35,Цены!$K$35,IF(Q31=Цены!$H$36,Цены!$K$36,IF(Q31=Цены!$H$37,Цены!$K$37,IF(Q31=Цены!$H$38,Цены!$K$38,IF(Q31=Цены!$H$39,Цены!$K$39,IF(Q31=Цены!$H$40,Цены!$K$40,IF(Q31=Цены!$H$41,Цены!$K$41,IF(Q31=Цены!$H$42,Цены!$K$42,IF(Q31=Цены!$H$43,Цены!$K$43,IF(Q31=Цены!$H$44,Цены!$K$44,IF(Q31=Цены!$H$45,Цены!$K$45,IF(Q31=Цены!$H$46,Цены!$K$46,IF(Q31=Цены!$H$47,Цены!$K$47,IF(Q31=Цены!$H$48,Цены!$K$48,IF(Q31=Цены!$H$49,Цены!$K$49,IF(Q31=Цены!$H$50,Цены!$K$50,IF(Q31=Цены!$H$51,Цены!$K$51,IF(Q31=Цены!$H$52,Цены!$K$52,IF(Q31=Цены!$H$53,Цены!$K$53,IF(Q31=Цены!$H$54,Цены!$K$54,IF(Q31=Цены!$H$55,Цены!$K$55))))))))))))))))))))))))))))))))))))))))))))))))))))))</f>
        <v>469</v>
      </c>
      <c r="V31" s="265"/>
      <c r="W31" s="265"/>
      <c r="X31" s="272">
        <f t="shared" ref="X31" si="42">R31*U31+R32*U32+R33*U33+R34*U34</f>
        <v>5352</v>
      </c>
      <c r="Y31" s="273">
        <v>3000</v>
      </c>
      <c r="Z31" s="272">
        <f t="shared" ref="Z31" si="43">X31+Y31</f>
        <v>8352</v>
      </c>
      <c r="AA31" s="320"/>
      <c r="AB31" s="323">
        <f>AA27/Z31*100</f>
        <v>59.865900383141771</v>
      </c>
      <c r="AC31" s="275">
        <f>MROUND(Z31+AA27,500)</f>
        <v>13500</v>
      </c>
      <c r="AD31" s="211" t="s">
        <v>69</v>
      </c>
      <c r="AE31" s="130">
        <v>6</v>
      </c>
      <c r="AF31" s="68">
        <f>IF(AD31=Цены!$H$3,Цены!$L$3,IF(AD31=Цены!$H$4,Цены!$L$4,IF(AD31=Цены!$H$5,Цены!$L$5,IF(AD31=Цены!$H$6,Цены!$L$6,IF(AD31=Цены!$H$7,Цены!$L$7,IF(AD31=Цены!$H$8,Цены!$L$8,IF(AD31=Цены!$H$9,Цены!$L$9,IF(AD31=Цены!$H$10,Цены!$L$10,IF(AD31=Цены!$H$11,Цены!$L$11,IF(AD31=Цены!$H$12,Цены!$L$12,IF(AD31=Цены!$H$13,Цены!$L$13,IF(AD31=Цены!$H$14,Цены!$L$14,IF(AD31=Цены!$H$14,Цены!$L$14,IF(AD31=Цены!$H$15,Цены!$L$15,IF(AD31=Цены!$H$16,Цены!$L$16,IF(AD31=Цены!$H$17,Цены!$L$17,IF(AD31=Цены!$H$18,Цены!$L$18,IF(AD31=Цены!$H$19,Цены!$L$19,IF(AD31=Цены!$H$20,Цены!$L$20,IF(AD31=Цены!$H$21,Цены!$L$21,IF(AD31=Цены!$H$22,Цены!$L$22,IF(AD31=Цены!$H$23,Цены!$L$23,IF(AD31=Цены!$H$24,Цены!$L$24,IF(AD31=Цены!$H$25,Цены!$L$25,IF(AD31=Цены!$H$26,Цены!$L$26,IF(AD31=Цены!$H$27,Цены!$L$27,IF(AD31=Цены!$H$28,Цены!$L$28,IF(AD31=Цены!$H$29,Цены!$L$29,IF(AD31=Цены!$H$30,Цены!$L$30,IF(AD31=Цены!$H$31,Цены!$L$31,IF(AD31=Цены!$H$32,Цены!$L$32,IF(AD31=Цены!$H$33,Цены!$L$33,IF(AD31=Цены!$H$34,Цены!$L$34,IF(AD31=Цены!$H$35,Цены!$L$35,IF(AD31=Цены!$H$36,Цены!$L$36,IF(AD31=Цены!$H$37,Цены!$L$37,IF(AD31=Цены!$H$38,Цены!$L$38,IF(AD31=Цены!$H$39,Цены!$L$39,IF(AD31=Цены!$H$40,Цены!$L$40,IF(AD31=Цены!$H$41,Цены!$L$41,IF(AD31=Цены!$H$42,Цены!$L$42,IF(AD31=Цены!$H$43,Цены!$L$43,IF(AD31=Цены!$H$44,Цены!$L$44,IF(AD31=Цены!$H$45,Цены!$L$45,IF(AD31=Цены!$H$46,Цены!$L$46,IF(AD31=Цены!$H$47,Цены!$L$47,IF(AD31=Цены!$H$48,Цены!$L$48,IF(AD31=Цены!$H$49,Цены!$L$49,IF(AD31=Цены!$H$50,Цены!$L$50,IF(AD31=Цены!$H$51,Цены!$L$51,IF(AD31=Цены!$H$52,Цены!$L$52,IF(AD31=Цены!$H$53,Цены!$L$53,IF(AD31=Цены!$H$54,Цены!$L$54,IF(AD31=Цены!$H$55,Цены!$L$55))))))))))))))))))))))))))))))))))))))))))))))))))))))</f>
        <v>1.19</v>
      </c>
      <c r="AG31" s="311">
        <f>AE31*AF31+AE32*AF32+AE33*AF33+AE34*AF34</f>
        <v>38.94</v>
      </c>
      <c r="AH31" s="69">
        <f>IF(AD31=Цены!$H$3,Цены!$K$3,IF(AD31=Цены!$H$4,Цены!$K$4,IF(AD31=Цены!$H$5,Цены!$K$5,IF(AD31=Цены!$H$6,Цены!$K$6,IF(AD31=Цены!$H$7,Цены!$K$7,IF(AD31=Цены!$H$8,Цены!$K$8,IF(AD31=Цены!$H$9,Цены!$K$9,IF(AD31=Цены!$H$10,Цены!$K$10,IF(AD31=Цены!$H$11,Цены!$K$11,IF(AD31=Цены!$H$12,Цены!$K$12,IF(AD31=Цены!$H$13,Цены!$K$13,IF(AD31=Цены!$H$14,Цены!$K$14,IF(AD31=Цены!$H$14,Цены!$K$14,IF(AD31=Цены!$H$15,Цены!$K$15,IF(AD31=Цены!$H$16,Цены!$K$16,IF(AD31=Цены!$H$17,Цены!$K$17,IF(AD31=Цены!$H$18,Цены!$K$18,IF(AD31=Цены!$H$19,Цены!$K$19,IF(AD31=Цены!$H$20,Цены!$K$20,IF(AD31=Цены!$H$21,Цены!$K$21,IF(AD31=Цены!$H$22,Цены!$K$22,IF(AD31=Цены!$H$23,Цены!$K$23,IF(AD31=Цены!$H$24,Цены!$K$24,IF(AD31=Цены!$H$25,Цены!$K$25,IF(AD31=Цены!$H$26,Цены!$K$26,IF(AD31=Цены!$H$27,Цены!$K$27,IF(AD31=Цены!$H$28,Цены!$K$28,IF(AD31=Цены!$H$29,Цены!$K$29,IF(AD31=Цены!$H$30,Цены!$K$30,IF(AD31=Цены!$H$31,Цены!$K$31,IF(AD31=Цены!$H$32,Цены!$K$32,IF(AD31=Цены!$H$33,Цены!$K$33,IF(AD31=Цены!$H$34,Цены!$K$34,IF(AD31=Цены!$H$35,Цены!$K$35,IF(AD31=Цены!$H$36,Цены!$K$36,IF(AD31=Цены!$H$37,Цены!$K$37,IF(AD31=Цены!$H$38,Цены!$K$38,IF(AD31=Цены!$H$39,Цены!$K$39,IF(AD31=Цены!$H$40,Цены!$K$40,IF(AD31=Цены!$H$41,Цены!$K$41,IF(AD31=Цены!$H$42,Цены!$K$42,IF(AD31=Цены!$H$43,Цены!$K$43,IF(AD31=Цены!$H$44,Цены!$K$44,IF(AD31=Цены!$H$45,Цены!$K$45,IF(AD31=Цены!$H$46,Цены!$K$46,IF(AD31=Цены!$H$47,Цены!$K$47,IF(AD31=Цены!$H$48,Цены!$K$48,IF(AD31=Цены!$H$49,Цены!$K$49,IF(AD31=Цены!$H$50,Цены!$K$50,IF(AD31=Цены!$H$51,Цены!$K$51,IF(AD31=Цены!$H$52,Цены!$K$52,IF(AD31=Цены!$H$53,Цены!$K$53,IF(AD31=Цены!$H$54,Цены!$K$54,IF(AD31=Цены!$H$55,Цены!$K$55))))))))))))))))))))))))))))))))))))))))))))))))))))))</f>
        <v>398</v>
      </c>
      <c r="AI31" s="265"/>
      <c r="AJ31" s="265"/>
      <c r="AK31" s="272">
        <f t="shared" ref="AK31" si="44">AE31*AH31+AE32*AH32+AE33*AH33+AE34*AH34</f>
        <v>10224</v>
      </c>
      <c r="AL31" s="273">
        <v>8000</v>
      </c>
      <c r="AM31" s="272">
        <f t="shared" ref="AM31" si="45">AK31+AL31</f>
        <v>18224</v>
      </c>
      <c r="AN31" s="268"/>
      <c r="AO31" s="312">
        <f>AN27/AM31*100</f>
        <v>49.385425812115891</v>
      </c>
      <c r="AP31" s="275">
        <f>MROUND(AM31+AN27,500)</f>
        <v>27000</v>
      </c>
      <c r="AQ31" s="206" t="s">
        <v>146</v>
      </c>
      <c r="AR31" s="131">
        <v>4</v>
      </c>
      <c r="AS31" s="80">
        <f>IF(AQ31=Цены!$H$3,Цены!$L$3,IF(AQ31=Цены!$H$4,Цены!$L$4,IF(AQ31=Цены!$H$5,Цены!$L$5,IF(AQ31=Цены!$H$6,Цены!$L$6,IF(AQ31=Цены!$H$7,Цены!$L$7,IF(AQ31=Цены!$H$8,Цены!$L$8,IF(AQ31=Цены!$H$9,Цены!$L$9,IF(AQ31=Цены!$H$10,Цены!$L$10,IF(AQ31=Цены!$H$11,Цены!$L$11,IF(AQ31=Цены!$H$12,Цены!$L$12,IF(AQ31=Цены!$H$13,Цены!$L$13,IF(AQ31=Цены!$H$14,Цены!$L$14,IF(AQ31=Цены!$H$14,Цены!$L$14,IF(AQ31=Цены!$H$15,Цены!$L$15,IF(AQ31=Цены!$H$16,Цены!$L$16,IF(AQ31=Цены!$H$17,Цены!$L$17,IF(AQ31=Цены!$H$18,Цены!$L$18,IF(AQ31=Цены!$H$19,Цены!$L$19,IF(AQ31=Цены!$H$20,Цены!$L$20,IF(AQ31=Цены!$H$21,Цены!$L$21,IF(AQ31=Цены!$H$22,Цены!$L$22,IF(AQ31=Цены!$H$23,Цены!$L$23,IF(AQ31=Цены!$H$24,Цены!$L$24,IF(AQ31=Цены!$H$25,Цены!$L$25,IF(AQ31=Цены!$H$26,Цены!$L$26,IF(AQ31=Цены!$H$27,Цены!$L$27,IF(AQ31=Цены!$H$28,Цены!$L$28,IF(AQ31=Цены!$H$29,Цены!$L$29,IF(AQ31=Цены!$H$30,Цены!$L$30,IF(AQ31=Цены!$H$31,Цены!$L$31,IF(AQ31=Цены!$H$32,Цены!$L$32,IF(AQ31=Цены!$H$33,Цены!$L$33,IF(AQ31=Цены!$H$34,Цены!$L$34,IF(AQ31=Цены!$H$35,Цены!$L$35,IF(AQ31=Цены!$H$36,Цены!$L$36,IF(AQ31=Цены!$H$37,Цены!$L$37,IF(AQ31=Цены!$H$38,Цены!$L$38,IF(AQ31=Цены!$H$39,Цены!$L$39,IF(AQ31=Цены!$H$40,Цены!$L$40,IF(AQ31=Цены!$H$41,Цены!$L$41,IF(AQ31=Цены!$H$42,Цены!$L$42,IF(AQ31=Цены!$H$43,Цены!$L$43,IF(AQ31=Цены!$H$44,Цены!$L$44,IF(AQ31=Цены!$H$45,Цены!$L$45,IF(AQ31=Цены!$H$46,Цены!$L$46,IF(AQ31=Цены!$H$47,Цены!$L$47,IF(AQ31=Цены!$H$48,Цены!$L$48,IF(AQ31=Цены!$H$49,Цены!$L$49,IF(AQ31=Цены!$H$50,Цены!$L$50,IF(AQ31=Цены!$H$51,Цены!$L$51,IF(AQ31=Цены!$H$52,Цены!$L$52,IF(AQ31=Цены!$H$53,Цены!$L$53,IF(AQ31=Цены!$H$54,Цены!$L$54,IF(AQ31=Цены!$H$55,Цены!$L$55))))))))))))))))))))))))))))))))))))))))))))))))))))))</f>
        <v>1.19</v>
      </c>
      <c r="AT31" s="271">
        <f>AR31*AS31+AR32*AS32+AR33*AS33+AR34*AS34</f>
        <v>16.009999999999998</v>
      </c>
      <c r="AU31" s="81">
        <f>IF(AQ31=Цены!$H$3,Цены!$K$3,IF(AQ31=Цены!$H$4,Цены!$K$4,IF(AQ31=Цены!$H$5,Цены!$K$5,IF(AQ31=Цены!$H$6,Цены!$K$6,IF(AQ31=Цены!$H$7,Цены!$K$7,IF(AQ31=Цены!$H$8,Цены!$K$8,IF(AQ31=Цены!$H$9,Цены!$K$9,IF(AQ31=Цены!$H$10,Цены!$K$10,IF(AQ31=Цены!$H$11,Цены!$K$11,IF(AQ31=Цены!$H$12,Цены!$K$12,IF(AQ31=Цены!$H$13,Цены!$K$13,IF(AQ31=Цены!$H$14,Цены!$K$14,IF(AQ31=Цены!$H$14,Цены!$K$14,IF(AQ31=Цены!$H$15,Цены!$K$15,IF(AQ31=Цены!$H$16,Цены!$K$16,IF(AQ31=Цены!$H$17,Цены!$K$17,IF(AQ31=Цены!$H$18,Цены!$K$18,IF(AQ31=Цены!$H$19,Цены!$K$19,IF(AQ31=Цены!$H$20,Цены!$K$20,IF(AQ31=Цены!$H$21,Цены!$K$21,IF(AQ31=Цены!$H$22,Цены!$K$22,IF(AQ31=Цены!$H$23,Цены!$K$23,IF(AQ31=Цены!$H$24,Цены!$K$24,IF(AQ31=Цены!$H$25,Цены!$K$25,IF(AQ31=Цены!$H$26,Цены!$K$26,IF(AQ31=Цены!$H$27,Цены!$K$27,IF(AQ31=Цены!$H$28,Цены!$K$28,IF(AQ31=Цены!$H$29,Цены!$K$29,IF(AQ31=Цены!$H$30,Цены!$K$30,IF(AQ31=Цены!$H$31,Цены!$K$31,IF(AQ31=Цены!$H$32,Цены!$K$32,IF(AQ31=Цены!$H$33,Цены!$K$33,IF(AQ31=Цены!$H$34,Цены!$K$34,IF(AQ31=Цены!$H$35,Цены!$K$35,IF(AQ31=Цены!$H$36,Цены!$K$36,IF(AQ31=Цены!$H$37,Цены!$K$37,IF(AQ31=Цены!$H$38,Цены!$K$38,IF(AQ31=Цены!$H$39,Цены!$K$39,IF(AQ31=Цены!$H$40,Цены!$K$40,IF(AQ31=Цены!$H$41,Цены!$K$41,IF(AQ31=Цены!$H$42,Цены!$K$42,IF(AQ31=Цены!$H$43,Цены!$K$43,IF(AQ31=Цены!$H$44,Цены!$K$44,IF(AQ31=Цены!$H$45,Цены!$K$45,IF(AQ31=Цены!$H$46,Цены!$K$46,IF(AQ31=Цены!$H$47,Цены!$K$47,IF(AQ31=Цены!$H$48,Цены!$K$48,IF(AQ31=Цены!$H$49,Цены!$K$49,IF(AQ31=Цены!$H$50,Цены!$K$50,IF(AQ31=Цены!$H$51,Цены!$K$51,IF(AQ31=Цены!$H$52,Цены!$K$52,IF(AQ31=Цены!$H$53,Цены!$K$53,IF(AQ31=Цены!$H$54,Цены!$K$54,IF(AQ31=Цены!$H$55,Цены!$K$55))))))))))))))))))))))))))))))))))))))))))))))))))))))</f>
        <v>398</v>
      </c>
      <c r="AV31" s="265"/>
      <c r="AW31" s="265"/>
      <c r="AX31" s="272">
        <f t="shared" ref="AX31" si="46">AR31*AU31+AR32*AU32+AR33*AU33+AR34*AU34</f>
        <v>4880</v>
      </c>
      <c r="AY31" s="273">
        <v>5000</v>
      </c>
      <c r="AZ31" s="272">
        <f t="shared" ref="AZ31" si="47">AX31+AY31</f>
        <v>9880</v>
      </c>
      <c r="BA31" s="268"/>
      <c r="BB31" s="274">
        <f>BA27/AZ31*100</f>
        <v>50.607287449392715</v>
      </c>
      <c r="BC31" s="275">
        <f>MROUND(AZ31+BA27,500)</f>
        <v>15000</v>
      </c>
      <c r="BD31" s="261">
        <f>BC31+CQ31</f>
        <v>21500</v>
      </c>
      <c r="BE31" s="206" t="s">
        <v>141</v>
      </c>
      <c r="BF31" s="106">
        <v>5</v>
      </c>
      <c r="BG31" s="103">
        <f>IF(BE31=Цены!$H$3,Цены!$L$3,IF(BE31=Цены!$H$4,Цены!$L$4,IF(BE31=Цены!$H$5,Цены!$L$5,IF(BE31=Цены!$H$6,Цены!$L$6,IF(BE31=Цены!$H$7,Цены!$L$7,IF(BE31=Цены!$H$8,Цены!$L$8,IF(BE31=Цены!$H$9,Цены!$L$9,IF(BE31=Цены!$H$10,Цены!$L$10,IF(BE31=Цены!$H$11,Цены!$L$11,IF(BE31=Цены!$H$12,Цены!$L$12,IF(BE31=Цены!$H$13,Цены!$L$13,IF(BE31=Цены!$H$14,Цены!$L$14,IF(BE31=Цены!$H$14,Цены!$L$14,IF(BE31=Цены!$H$15,Цены!$L$15,IF(BE31=Цены!$H$16,Цены!$L$16,IF(BE31=Цены!$H$17,Цены!$L$17,IF(BE31=Цены!$H$18,Цены!$L$18,IF(BE31=Цены!$H$19,Цены!$L$19,IF(BE31=Цены!$H$20,Цены!$L$20,IF(BE31=Цены!$H$21,Цены!$L$21,IF(BE31=Цены!$H$22,Цены!$L$22,IF(BE31=Цены!$H$23,Цены!$L$23,IF(BE31=Цены!$H$24,Цены!$L$24,IF(BE31=Цены!$H$25,Цены!$L$25,IF(BE31=Цены!$H$26,Цены!$L$26,IF(BE31=Цены!$H$27,Цены!$L$27,IF(BE31=Цены!$H$28,Цены!$L$28,IF(BE31=Цены!$H$29,Цены!$L$29,IF(BE31=Цены!$H$30,Цены!$L$30,IF(BE31=Цены!$H$31,Цены!$L$31,IF(BE31=Цены!$H$32,Цены!$L$32,IF(BE31=Цены!$H$33,Цены!$L$33,IF(BE31=Цены!$H$34,Цены!$L$34,IF(BE31=Цены!$H$35,Цены!$L$35,IF(BE31=Цены!$H$36,Цены!$L$36,IF(BE31=Цены!$H$37,Цены!$L$37,IF(BE31=Цены!$H$38,Цены!$L$38,IF(BE31=Цены!$H$39,Цены!$L$39,IF(BE31=Цены!$H$40,Цены!$L$40,IF(BE31=Цены!$H$41,Цены!$L$41,IF(BE31=Цены!$H$42,Цены!$L$42,IF(BE31=Цены!$H$43,Цены!$L$43,IF(BE31=Цены!$H$44,Цены!$L$44,IF(BE31=Цены!$H$45,Цены!$L$45,IF(BE31=Цены!$H$46,Цены!$L$46,IF(BE31=Цены!$H$47,Цены!$L$47,IF(BE31=Цены!$H$48,Цены!$L$48,IF(BE31=Цены!$H$49,Цены!$L$49,IF(BE31=Цены!$H$50,Цены!$L$50,IF(BE31=Цены!$H$51,Цены!$L$51,IF(BE31=Цены!$H$52,Цены!$L$52,IF(BE31=Цены!$H$53,Цены!$L$53,IF(BE31=Цены!$H$54,Цены!$L$54,IF(BE31=Цены!$H$55,Цены!$L$55))))))))))))))))))))))))))))))))))))))))))))))))))))))</f>
        <v>0.9</v>
      </c>
      <c r="BH31" s="280">
        <f>BF31*BG31+BF32*BG32+BF33*BG33+BF34*BG34</f>
        <v>6.84</v>
      </c>
      <c r="BI31" s="104">
        <f>IF(BE31=Цены!$H$3,Цены!$K$3,IF(BE31=Цены!$H$4,Цены!$K$4,IF(BE31=Цены!$H$5,Цены!$K$5,IF(BE31=Цены!$H$6,Цены!$K$6,IF(BE31=Цены!$H$7,Цены!$K$7,IF(BE31=Цены!$H$8,Цены!$K$8,IF(BE31=Цены!$H$9,Цены!$K$9,IF(BE31=Цены!$H$10,Цены!$K$10,IF(BE31=Цены!$H$11,Цены!$K$11,IF(BE31=Цены!$H$12,Цены!$K$12,IF(BE31=Цены!$H$13,Цены!$K$13,IF(BE31=Цены!$H$14,Цены!$K$14,IF(BE31=Цены!$H$14,Цены!$K$14,IF(BE31=Цены!$H$15,Цены!$K$15,IF(BE31=Цены!$H$16,Цены!$K$16,IF(BE31=Цены!$H$17,Цены!$K$17,IF(BE31=Цены!$H$18,Цены!$K$18,IF(BE31=Цены!$H$19,Цены!$K$19,IF(BE31=Цены!$H$20,Цены!$K$20,IF(BE31=Цены!$H$21,Цены!$K$21,IF(BE31=Цены!$H$22,Цены!$K$22,IF(BE31=Цены!$H$23,Цены!$K$23,IF(BE31=Цены!$H$24,Цены!$K$24,IF(BE31=Цены!$H$25,Цены!$K$25,IF(BE31=Цены!$H$26,Цены!$K$26,IF(BE31=Цены!$H$27,Цены!$K$27,IF(BE31=Цены!$H$28,Цены!$K$28,IF(BE31=Цены!$H$29,Цены!$K$29,IF(BE31=Цены!$H$30,Цены!$K$30,IF(BE31=Цены!$H$31,Цены!$K$31,IF(BE31=Цены!$H$32,Цены!$K$32,IF(BE31=Цены!$H$33,Цены!$K$33,IF(BE31=Цены!$H$34,Цены!$K$34,IF(BE31=Цены!$H$35,Цены!$K$35,IF(BE31=Цены!$H$36,Цены!$K$36,IF(BE31=Цены!$H$37,Цены!$K$37,IF(BE31=Цены!$H$38,Цены!$K$38,IF(BE31=Цены!$H$39,Цены!$K$39,IF(BE31=Цены!$H$40,Цены!$K$40,IF(BE31=Цены!$H$41,Цены!$K$41,IF(BE31=Цены!$H$42,Цены!$K$42,IF(BE31=Цены!$H$43,Цены!$K$43,IF(BE31=Цены!$H$44,Цены!$K$44,IF(BE31=Цены!$H$45,Цены!$K$45,IF(BE31=Цены!$H$46,Цены!$K$46,IF(BE31=Цены!$H$47,Цены!$K$47,IF(BE31=Цены!$H$48,Цены!$K$48,IF(BE31=Цены!$H$49,Цены!$K$49,IF(BE31=Цены!$H$50,Цены!$K$50,IF(BE31=Цены!$H$51,Цены!$K$51,IF(BE31=Цены!$H$52,Цены!$K$52,IF(BE31=Цены!$H$53,Цены!$K$53,IF(BE31=Цены!$H$54,Цены!$K$54,IF(BE31=Цены!$H$55,Цены!$K$55))))))))))))))))))))))))))))))))))))))))))))))))))))))</f>
        <v>338</v>
      </c>
      <c r="BJ31" s="265"/>
      <c r="BK31" s="265"/>
      <c r="BL31" s="272">
        <f t="shared" ref="BL31" si="48">BF31*BI31+BF32*BI32+BF33*BI33+BF34*BI34</f>
        <v>3031</v>
      </c>
      <c r="BM31" s="273">
        <v>5000</v>
      </c>
      <c r="BN31" s="272">
        <f t="shared" ref="BN31" si="49">BL31+BM31</f>
        <v>8031</v>
      </c>
      <c r="BO31" s="268"/>
      <c r="BP31" s="281">
        <f>BO27/BN31*100</f>
        <v>62.258747354003241</v>
      </c>
      <c r="BQ31" s="275">
        <f>MROUND(BN31+BO27,500)</f>
        <v>13000</v>
      </c>
      <c r="BR31" s="218" t="s">
        <v>67</v>
      </c>
      <c r="BS31" s="108">
        <v>2</v>
      </c>
      <c r="BT31" s="109">
        <f>IF(BR31=Цены!$H$3,Цены!$L$3,IF(BR31=Цены!$H$4,Цены!$L$4,IF(BR31=Цены!$H$5,Цены!$L$5,IF(BR31=Цены!$H$6,Цены!$L$6,IF(BR31=Цены!$H$7,Цены!$L$7,IF(BR31=Цены!$H$8,Цены!$L$8,IF(BR31=Цены!$H$9,Цены!$L$9,IF(BR31=Цены!$H$10,Цены!$L$10,IF(BR31=Цены!$H$11,Цены!$L$11,IF(BR31=Цены!$H$12,Цены!$L$12,IF(BR31=Цены!$H$13,Цены!$L$13,IF(BR31=Цены!$H$14,Цены!$L$14,IF(BR31=Цены!$H$14,Цены!$L$14,IF(BR31=Цены!$H$15,Цены!$L$15,IF(BR31=Цены!$H$16,Цены!$L$16,IF(BR31=Цены!$H$17,Цены!$L$17,IF(BR31=Цены!$H$18,Цены!$L$18,IF(BR31=Цены!$H$19,Цены!$L$19,IF(BR31=Цены!$H$20,Цены!$L$20,IF(BR31=Цены!$H$21,Цены!$L$21,IF(BR31=Цены!$H$22,Цены!$L$22,IF(BR31=Цены!$H$23,Цены!$L$23,IF(BR31=Цены!$H$24,Цены!$L$24,IF(BR31=Цены!$H$25,Цены!$L$25,IF(BR31=Цены!$H$26,Цены!$L$26,IF(BR31=Цены!$H$27,Цены!$L$27,IF(BR31=Цены!$H$28,Цены!$L$28,IF(BR31=Цены!$H$29,Цены!$L$29,IF(BR31=Цены!$H$30,Цены!$L$30,IF(BR31=Цены!$H$31,Цены!$L$31,IF(BR31=Цены!$H$32,Цены!$L$32,IF(BR31=Цены!$H$33,Цены!$L$33,IF(BR31=Цены!$H$34,Цены!$L$34,IF(BR31=Цены!$H$35,Цены!$L$35,IF(BR31=Цены!$H$36,Цены!$L$36,IF(BR31=Цены!$H$37,Цены!$L$37,IF(BR31=Цены!$H$38,Цены!$L$38,IF(BR31=Цены!$H$39,Цены!$L$39,IF(BR31=Цены!$H$40,Цены!$L$40,IF(BR31=Цены!$H$41,Цены!$L$41,IF(BR31=Цены!$H$42,Цены!$L$42,IF(BR31=Цены!$H$43,Цены!$L$43,IF(BR31=Цены!$H$44,Цены!$L$44,IF(BR31=Цены!$H$45,Цены!$L$45,IF(BR31=Цены!$H$46,Цены!$L$46,IF(BR31=Цены!$H$47,Цены!$L$47,IF(BR31=Цены!$H$48,Цены!$L$48,IF(BR31=Цены!$H$49,Цены!$L$49,IF(BR31=Цены!$H$50,Цены!$L$50,IF(BR31=Цены!$H$51,Цены!$L$51,IF(BR31=Цены!$H$52,Цены!$L$52,IF(BR31=Цены!$H$53,Цены!$L$53,IF(BR31=Цены!$H$54,Цены!$L$54,IF(BR31=Цены!$H$55,Цены!$L$55))))))))))))))))))))))))))))))))))))))))))))))))))))))</f>
        <v>0.9</v>
      </c>
      <c r="BU31" s="284">
        <f>BS31*BT31+BS32*BT32+BS33*BT33+BS34*BT34</f>
        <v>3.3600000000000003</v>
      </c>
      <c r="BV31" s="110">
        <f>IF(BR31=Цены!$H$3,Цены!$K$3,IF(BR31=Цены!$H$4,Цены!$K$4,IF(BR31=Цены!$H$5,Цены!$K$5,IF(BR31=Цены!$H$6,Цены!$K$6,IF(BR31=Цены!$H$7,Цены!$K$7,IF(BR31=Цены!$H$8,Цены!$K$8,IF(BR31=Цены!$H$9,Цены!$K$9,IF(BR31=Цены!$H$10,Цены!$K$10,IF(BR31=Цены!$H$11,Цены!$K$11,IF(BR31=Цены!$H$12,Цены!$K$12,IF(BR31=Цены!$H$13,Цены!$K$13,IF(BR31=Цены!$H$14,Цены!$K$14,IF(BR31=Цены!$H$14,Цены!$K$14,IF(BR31=Цены!$H$15,Цены!$K$15,IF(BR31=Цены!$H$16,Цены!$K$16,IF(BR31=Цены!$H$17,Цены!$K$17,IF(BR31=Цены!$H$18,Цены!$K$18,IF(BR31=Цены!$H$19,Цены!$K$19,IF(BR31=Цены!$H$20,Цены!$K$20,IF(BR31=Цены!$H$21,Цены!$K$21,IF(BR31=Цены!$H$22,Цены!$K$22,IF(BR31=Цены!$H$23,Цены!$K$23,IF(BR31=Цены!$H$24,Цены!$K$24,IF(BR31=Цены!$H$25,Цены!$K$25,IF(BR31=Цены!$H$26,Цены!$K$26,IF(BR31=Цены!$H$27,Цены!$K$27,IF(BR31=Цены!$H$28,Цены!$K$28,IF(BR31=Цены!$H$29,Цены!$K$29,IF(BR31=Цены!$H$30,Цены!$K$30,IF(BR31=Цены!$H$31,Цены!$K$31,IF(BR31=Цены!$H$32,Цены!$K$32,IF(BR31=Цены!$H$33,Цены!$K$33,IF(BR31=Цены!$H$34,Цены!$K$34,IF(BR31=Цены!$H$35,Цены!$K$35,IF(BR31=Цены!$H$36,Цены!$K$36,IF(BR31=Цены!$H$37,Цены!$K$37,IF(BR31=Цены!$H$38,Цены!$K$38,IF(BR31=Цены!$H$39,Цены!$K$39,IF(BR31=Цены!$H$40,Цены!$K$40,IF(BR31=Цены!$H$41,Цены!$K$41,IF(BR31=Цены!$H$42,Цены!$K$42,IF(BR31=Цены!$H$43,Цены!$K$43,IF(BR31=Цены!$H$44,Цены!$K$44,IF(BR31=Цены!$H$45,Цены!$K$45,IF(BR31=Цены!$H$46,Цены!$K$46,IF(BR31=Цены!$H$47,Цены!$K$47,IF(BR31=Цены!$H$48,Цены!$K$48,IF(BR31=Цены!$H$49,Цены!$K$49,IF(BR31=Цены!$H$50,Цены!$K$50,IF(BR31=Цены!$H$51,Цены!$K$51,IF(BR31=Цены!$H$52,Цены!$K$52,IF(BR31=Цены!$H$53,Цены!$K$53,IF(BR31=Цены!$H$54,Цены!$K$54,IF(BR31=Цены!$H$55,Цены!$K$55))))))))))))))))))))))))))))))))))))))))))))))))))))))</f>
        <v>338</v>
      </c>
      <c r="BW31" s="265"/>
      <c r="BX31" s="265"/>
      <c r="BY31" s="272">
        <f t="shared" ref="BY31" si="50">BS31*BV31+BS32*BV32+BS33*BV33+BS34*BV34</f>
        <v>1570</v>
      </c>
      <c r="BZ31" s="273">
        <v>1000</v>
      </c>
      <c r="CA31" s="272">
        <f t="shared" ref="CA31" si="51">BY31+BZ31</f>
        <v>2570</v>
      </c>
      <c r="CB31" s="268"/>
      <c r="CC31" s="285">
        <f>CB27/CA31*100</f>
        <v>77.821011673151759</v>
      </c>
      <c r="CD31" s="275">
        <f>MROUND(CA31+CB27,500)</f>
        <v>4500</v>
      </c>
      <c r="CE31" s="173" t="s">
        <v>67</v>
      </c>
      <c r="CF31" s="112">
        <v>3</v>
      </c>
      <c r="CG31" s="113">
        <f>IF(CE31=Цены!$H$3,Цены!$L$3,IF(CE31=Цены!$H$4,Цены!$L$4,IF(CE31=Цены!$H$5,Цены!$L$5,IF(CE31=Цены!$H$6,Цены!$L$6,IF(CE31=Цены!$H$7,Цены!$L$7,IF(CE31=Цены!$H$8,Цены!$L$8,IF(CE31=Цены!$H$9,Цены!$L$9,IF(CE31=Цены!$H$10,Цены!$L$10,IF(CE31=Цены!$H$11,Цены!$L$11,IF(CE31=Цены!$H$12,Цены!$L$12,IF(CE31=Цены!$H$13,Цены!$L$13,IF(CE31=Цены!$H$14,Цены!$L$14,IF(CE31=Цены!$H$14,Цены!$L$14,IF(CE31=Цены!$H$15,Цены!$L$15,IF(CE31=Цены!$H$16,Цены!$L$16,IF(CE31=Цены!$H$17,Цены!$L$17,IF(CE31=Цены!$H$18,Цены!$L$18,IF(CE31=Цены!$H$19,Цены!$L$19,IF(CE31=Цены!$H$20,Цены!$L$20,IF(CE31=Цены!$H$21,Цены!$L$21,IF(CE31=Цены!$H$22,Цены!$L$22,IF(CE31=Цены!$H$23,Цены!$L$23,IF(CE31=Цены!$H$24,Цены!$L$24,IF(CE31=Цены!$H$25,Цены!$L$25,IF(CE31=Цены!$H$26,Цены!$L$26,IF(CE31=Цены!$H$27,Цены!$L$27,IF(CE31=Цены!$H$28,Цены!$L$28,IF(CE31=Цены!$H$29,Цены!$L$29,IF(CE31=Цены!$H$30,Цены!$L$30,IF(CE31=Цены!$H$31,Цены!$L$31,IF(CE31=Цены!$H$32,Цены!$L$32,IF(CE31=Цены!$H$33,Цены!$L$33,IF(CE31=Цены!$H$34,Цены!$L$34,IF(CE31=Цены!$H$35,Цены!$L$35,IF(CE31=Цены!$H$36,Цены!$L$36,IF(CE31=Цены!$H$37,Цены!$L$37,IF(CE31=Цены!$H$38,Цены!$L$38,IF(CE31=Цены!$H$39,Цены!$L$39,IF(CE31=Цены!$H$40,Цены!$L$40,IF(CE31=Цены!$H$41,Цены!$L$41,IF(CE31=Цены!$H$42,Цены!$L$42,IF(CE31=Цены!$H$43,Цены!$L$43,IF(CE31=Цены!$H$44,Цены!$L$44,IF(CE31=Цены!$H$45,Цены!$L$45,IF(CE31=Цены!$H$46,Цены!$L$46,IF(CE31=Цены!$H$47,Цены!$L$47,IF(CE31=Цены!$H$48,Цены!$L$48,IF(CE31=Цены!$H$49,Цены!$L$49,IF(CE31=Цены!$H$50,Цены!$L$50,IF(CE31=Цены!$H$51,Цены!$L$51,IF(CE31=Цены!$H$52,Цены!$L$52,IF(CE31=Цены!$H$53,Цены!$L$53,IF(CE31=Цены!$H$54,Цены!$L$54,IF(CE31=Цены!$H$55,Цены!$L$55))))))))))))))))))))))))))))))))))))))))))))))))))))))</f>
        <v>0.9</v>
      </c>
      <c r="CH31" s="282">
        <f>CF31*CG31+CF32*CG32+CF33*CG33+CF34*CG34</f>
        <v>6.7163999999999993</v>
      </c>
      <c r="CI31" s="114">
        <f>IF(CE31=Цены!$H$3,Цены!$K$3,IF(CE31=Цены!$H$4,Цены!$K$4,IF(CE31=Цены!$H$5,Цены!$K$5,IF(CE31=Цены!$H$6,Цены!$K$6,IF(CE31=Цены!$H$7,Цены!$K$7,IF(CE31=Цены!$H$8,Цены!$K$8,IF(CE31=Цены!$H$9,Цены!$K$9,IF(CE31=Цены!$H$10,Цены!$K$10,IF(CE31=Цены!$H$11,Цены!$K$11,IF(CE31=Цены!$H$12,Цены!$K$12,IF(CE31=Цены!$H$13,Цены!$K$13,IF(CE31=Цены!$H$14,Цены!$K$14,IF(CE31=Цены!$H$14,Цены!$K$14,IF(CE31=Цены!$H$15,Цены!$K$15,IF(CE31=Цены!$H$16,Цены!$K$16,IF(CE31=Цены!$H$17,Цены!$K$17,IF(CE31=Цены!$H$18,Цены!$K$18,IF(CE31=Цены!$H$19,Цены!$K$19,IF(CE31=Цены!$H$20,Цены!$K$20,IF(CE31=Цены!$H$21,Цены!$K$21,IF(CE31=Цены!$H$22,Цены!$K$22,IF(CE31=Цены!$H$23,Цены!$K$23,IF(CE31=Цены!$H$24,Цены!$K$24,IF(CE31=Цены!$H$25,Цены!$K$25,IF(CE31=Цены!$H$26,Цены!$K$26,IF(CE31=Цены!$H$27,Цены!$K$27,IF(CE31=Цены!$H$28,Цены!$K$28,IF(CE31=Цены!$H$29,Цены!$K$29,IF(CE31=Цены!$H$30,Цены!$K$30,IF(CE31=Цены!$H$31,Цены!$K$31,IF(CE31=Цены!$H$32,Цены!$K$32,IF(CE31=Цены!$H$33,Цены!$K$33,IF(CE31=Цены!$H$34,Цены!$K$34,IF(CE31=Цены!$H$35,Цены!$K$35,IF(CE31=Цены!$H$36,Цены!$K$36,IF(CE31=Цены!$H$37,Цены!$K$37,IF(CE31=Цены!$H$38,Цены!$K$38,IF(CE31=Цены!$H$39,Цены!$K$39,IF(CE31=Цены!$H$40,Цены!$K$40,IF(CE31=Цены!$H$41,Цены!$K$41,IF(CE31=Цены!$H$42,Цены!$K$42,IF(CE31=Цены!$H$43,Цены!$K$43,IF(CE31=Цены!$H$44,Цены!$K$44,IF(CE31=Цены!$H$45,Цены!$K$45,IF(CE31=Цены!$H$46,Цены!$K$46,IF(CE31=Цены!$H$47,Цены!$K$47,IF(CE31=Цены!$H$48,Цены!$K$48,IF(CE31=Цены!$H$49,Цены!$K$49,IF(CE31=Цены!$H$50,Цены!$K$50,IF(CE31=Цены!$H$51,Цены!$K$51,IF(CE31=Цены!$H$52,Цены!$K$52,IF(CE31=Цены!$H$53,Цены!$K$53,IF(CE31=Цены!$H$54,Цены!$K$54,IF(CE31=Цены!$H$55,Цены!$K$55))))))))))))))))))))))))))))))))))))))))))))))))))))))</f>
        <v>338</v>
      </c>
      <c r="CJ31" s="265"/>
      <c r="CK31" s="265"/>
      <c r="CL31" s="272">
        <f t="shared" ref="CL31" si="52">CF31*CI31+CF32*CI32+CF33*CI33+CF34*CI34</f>
        <v>3078</v>
      </c>
      <c r="CM31" s="273">
        <v>1500</v>
      </c>
      <c r="CN31" s="272">
        <f t="shared" ref="CN31" si="53">CL31+CM31</f>
        <v>4578</v>
      </c>
      <c r="CO31" s="268"/>
      <c r="CP31" s="283">
        <f>CO27/CN31*100</f>
        <v>43.6871996505024</v>
      </c>
      <c r="CQ31" s="275">
        <f>MROUND(CN31+CO27,500)</f>
        <v>6500</v>
      </c>
    </row>
    <row r="32" spans="1:95" s="40" customFormat="1" ht="15" customHeight="1" x14ac:dyDescent="0.25">
      <c r="A32" s="267"/>
      <c r="B32" s="265"/>
      <c r="C32" s="336"/>
      <c r="D32" s="173" t="s">
        <v>87</v>
      </c>
      <c r="E32" s="168">
        <v>4</v>
      </c>
      <c r="F32" s="46">
        <f>IF(D32=Цены!$H$3,Цены!$L$3,IF(D32=Цены!$H$4,Цены!$L$4,IF(D32=Цены!$H$5,Цены!$L$5,IF(D32=Цены!$H$6,Цены!$L$6,IF(D32=Цены!$H$7,Цены!$L$7,IF(D32=Цены!$H$8,Цены!$L$8,IF(D32=Цены!$H$9,Цены!$L$9,IF(D32=Цены!$H$10,Цены!$L$10,IF(D32=Цены!$H$11,Цены!$L$11,IF(D32=Цены!$H$12,Цены!$L$12,IF(D32=Цены!$H$13,Цены!$L$13,IF(D32=Цены!$H$14,Цены!$L$14,IF(D32=Цены!$H$14,Цены!$L$14,IF(D32=Цены!$H$15,Цены!$L$15,IF(D32=Цены!$H$16,Цены!$L$16,IF(D32=Цены!$H$17,Цены!$L$17,IF(D32=Цены!$H$18,Цены!$L$18,IF(D32=Цены!$H$19,Цены!$L$19,IF(D32=Цены!$H$20,Цены!$L$20,IF(D32=Цены!$H$21,Цены!$L$21,IF(D32=Цены!$H$22,Цены!$L$22,IF(D32=Цены!$H$23,Цены!$L$23,IF(D32=Цены!$H$24,Цены!$L$24,IF(D32=Цены!$H$25,Цены!$L$25,IF(D32=Цены!$H$26,Цены!$L$26,IF(D32=Цены!$H$27,Цены!$L$27,IF(D32=Цены!$H$28,Цены!$L$28,IF(D32=Цены!$H$29,Цены!$L$29,IF(D32=Цены!$H$30,Цены!$L$30,IF(D32=Цены!$H$31,Цены!$L$31,IF(D32=Цены!$H$32,Цены!$L$32,IF(D32=Цены!$H$33,Цены!$L$33,IF(D32=Цены!$H$34,Цены!$L$34,IF(D32=Цены!$H$35,Цены!$L$35,IF(D32=Цены!$H$36,Цены!$L$36,IF(D32=Цены!$H$37,Цены!$L$37,IF(D32=Цены!$H$38,Цены!$L$38,IF(D32=Цены!$H$39,Цены!$L$39,IF(D32=Цены!$H$40,Цены!$L$40,IF(D32=Цены!$H$41,Цены!$L$41,IF(D32=Цены!$H$42,Цены!$L$42,IF(D32=Цены!$H$43,Цены!$L$43,IF(D32=Цены!$H$44,Цены!$L$44,IF(D32=Цены!$H$45,Цены!$L$45,IF(D32=Цены!$H$46,Цены!$L$46,IF(D32=Цены!$H$47,Цены!$L$47,IF(D32=Цены!$H$48,Цены!$L$48,IF(D32=Цены!$H$49,Цены!$L$49,IF(D32=Цены!$H$50,Цены!$L$50,IF(D32=Цены!$H$51,Цены!$L$51,IF(D32=Цены!$H$52,Цены!$L$52,IF(D32=Цены!$H$53,Цены!$L$53,IF(D32=Цены!$H$54,Цены!$L$54,IF(D32=Цены!$H$55,Цены!$L$55))))))))))))))))))))))))))))))))))))))))))))))))))))))</f>
        <v>1.2</v>
      </c>
      <c r="G32" s="339"/>
      <c r="H32" s="47">
        <f>IF(D32=Цены!$H$3,Цены!$K$3,IF(D32=Цены!$H$4,Цены!$K$4,IF(D32=Цены!$H$5,Цены!$K$5,IF(D32=Цены!$H$6,Цены!$K$6,IF(D32=Цены!$H$7,Цены!$K$7,IF(D32=Цены!$H$8,Цены!$K$8,IF(D32=Цены!$H$9,Цены!$K$9,IF(D32=Цены!$H$10,Цены!$K$10,IF(D32=Цены!$H$11,Цены!$K$11,IF(D32=Цены!$H$12,Цены!$K$12,IF(D32=Цены!$H$13,Цены!$K$13,IF(D32=Цены!$H$14,Цены!$K$14,IF(D32=Цены!$H$14,Цены!$K$14,IF(D32=Цены!$H$15,Цены!$K$15,IF(D32=Цены!$H$16,Цены!$K$16,IF(D32=Цены!$H$17,Цены!$K$17,IF(D32=Цены!$H$18,Цены!$K$18,IF(D32=Цены!$H$19,Цены!$K$19,IF(D32=Цены!$H$20,Цены!$K$20,IF(D32=Цены!$H$21,Цены!$K$21,IF(D32=Цены!$H$22,Цены!$K$22,IF(D32=Цены!$H$23,Цены!$K$23,IF(D32=Цены!$H$24,Цены!$K$24,IF(D32=Цены!$H$25,Цены!$K$25,IF(D32=Цены!$H$26,Цены!$K$26,IF(D32=Цены!$H$27,Цены!$K$27,IF(D32=Цены!$H$28,Цены!$K$28,IF(D32=Цены!$H$29,Цены!$K$29,IF(D32=Цены!$H$30,Цены!$K$30,IF(D32=Цены!$H$31,Цены!$K$31,IF(D32=Цены!$H$32,Цены!$K$32,IF(D32=Цены!$H$33,Цены!$K$33,IF(D32=Цены!$H$34,Цены!$K$34,IF(D32=Цены!$H$35,Цены!$K$35,IF(D32=Цены!$H$36,Цены!$K$36,IF(D32=Цены!$H$37,Цены!$K$37,IF(D32=Цены!$H$38,Цены!$K$38,IF(D32=Цены!$H$39,Цены!$K$39,IF(D32=Цены!$H$40,Цены!$K$40,IF(D32=Цены!$H$41,Цены!$K$41,IF(D32=Цены!$H$42,Цены!$K$42,IF(D32=Цены!$H$43,Цены!$K$43,IF(D32=Цены!$H$44,Цены!$K$44,IF(D32=Цены!$H$45,Цены!$K$45,IF(D32=Цены!$H$46,Цены!$K$46,IF(D32=Цены!$H$47,Цены!$K$47,IF(D32=Цены!$H$48,Цены!$K$48,IF(D32=Цены!$H$49,Цены!$K$49,IF(D32=Цены!$H$50,Цены!$K$50,IF(D32=Цены!$H$51,Цены!$K$51,IF(D32=Цены!$H$52,Цены!$K$52,IF(D32=Цены!$H$53,Цены!$K$53,IF(D32=Цены!$H$54,Цены!$K$54,IF(D32=Цены!$H$55,Цены!$K$55))))))))))))))))))))))))))))))))))))))))))))))))))))))</f>
        <v>378</v>
      </c>
      <c r="I32" s="286"/>
      <c r="J32" s="265"/>
      <c r="K32" s="272"/>
      <c r="L32" s="273"/>
      <c r="M32" s="273"/>
      <c r="N32" s="320"/>
      <c r="O32" s="332"/>
      <c r="P32" s="275"/>
      <c r="Q32" s="207" t="s">
        <v>148</v>
      </c>
      <c r="R32" s="37">
        <v>4</v>
      </c>
      <c r="S32" s="38">
        <f>IF(Q32=Цены!$H$3,Цены!$L$3,IF(Q32=Цены!$H$4,Цены!$L$4,IF(Q32=Цены!$H$5,Цены!$L$5,IF(Q32=Цены!$H$6,Цены!$L$6,IF(Q32=Цены!$H$7,Цены!$L$7,IF(Q32=Цены!$H$8,Цены!$L$8,IF(Q32=Цены!$H$9,Цены!$L$9,IF(Q32=Цены!$H$10,Цены!$L$10,IF(Q32=Цены!$H$11,Цены!$L$11,IF(Q32=Цены!$H$12,Цены!$L$12,IF(Q32=Цены!$H$13,Цены!$L$13,IF(Q32=Цены!$H$14,Цены!$L$14,IF(Q32=Цены!$H$14,Цены!$L$14,IF(Q32=Цены!$H$15,Цены!$L$15,IF(Q32=Цены!$H$16,Цены!$L$16,IF(Q32=Цены!$H$17,Цены!$L$17,IF(Q32=Цены!$H$18,Цены!$L$18,IF(Q32=Цены!$H$19,Цены!$L$19,IF(Q32=Цены!$H$20,Цены!$L$20,IF(Q32=Цены!$H$21,Цены!$L$21,IF(Q32=Цены!$H$22,Цены!$L$22,IF(Q32=Цены!$H$23,Цены!$L$23,IF(Q32=Цены!$H$24,Цены!$L$24,IF(Q32=Цены!$H$25,Цены!$L$25,IF(Q32=Цены!$H$26,Цены!$L$26,IF(Q32=Цены!$H$27,Цены!$L$27,IF(Q32=Цены!$H$28,Цены!$L$28,IF(Q32=Цены!$H$29,Цены!$L$29,IF(Q32=Цены!$H$30,Цены!$L$30,IF(Q32=Цены!$H$31,Цены!$L$31,IF(Q32=Цены!$H$32,Цены!$L$32,IF(Q32=Цены!$H$33,Цены!$L$33,IF(Q32=Цены!$H$34,Цены!$L$34,IF(Q32=Цены!$H$35,Цены!$L$35,IF(Q32=Цены!$H$36,Цены!$L$36,IF(Q32=Цены!$H$37,Цены!$L$37,IF(Q32=Цены!$H$38,Цены!$L$38,IF(Q32=Цены!$H$39,Цены!$L$39,IF(Q32=Цены!$H$40,Цены!$L$40,IF(Q32=Цены!$H$41,Цены!$L$41,IF(Q32=Цены!$H$42,Цены!$L$42,IF(Q32=Цены!$H$43,Цены!$L$43,IF(Q32=Цены!$H$44,Цены!$L$44,IF(Q32=Цены!$H$45,Цены!$L$45,IF(Q32=Цены!$H$46,Цены!$L$46,IF(Q32=Цены!$H$47,Цены!$L$47,IF(Q32=Цены!$H$48,Цены!$L$48,IF(Q32=Цены!$H$49,Цены!$L$49,IF(Q32=Цены!$H$50,Цены!$L$50,IF(Q32=Цены!$H$51,Цены!$L$51,IF(Q32=Цены!$H$52,Цены!$L$52,IF(Q32=Цены!$H$53,Цены!$L$53,IF(Q32=Цены!$H$54,Цены!$L$54,IF(Q32=Цены!$H$55,Цены!$L$55))))))))))))))))))))))))))))))))))))))))))))))))))))))</f>
        <v>1.1499999999999999</v>
      </c>
      <c r="T32" s="322"/>
      <c r="U32" s="161">
        <f>IF(Q32=Цены!$H$3,Цены!$K$3,IF(Q32=Цены!$H$4,Цены!$K$4,IF(Q32=Цены!$H$5,Цены!$K$5,IF(Q32=Цены!$H$6,Цены!$K$6,IF(Q32=Цены!$H$7,Цены!$K$7,IF(Q32=Цены!$H$8,Цены!$K$8,IF(Q32=Цены!$H$9,Цены!$K$9,IF(Q32=Цены!$H$10,Цены!$K$10,IF(Q32=Цены!$H$11,Цены!$K$11,IF(Q32=Цены!$H$12,Цены!$K$12,IF(Q32=Цены!$H$13,Цены!$K$13,IF(Q32=Цены!$H$14,Цены!$K$14,IF(Q32=Цены!$H$14,Цены!$K$14,IF(Q32=Цены!$H$15,Цены!$K$15,IF(Q32=Цены!$H$16,Цены!$K$16,IF(Q32=Цены!$H$17,Цены!$K$17,IF(Q32=Цены!$H$18,Цены!$K$18,IF(Q32=Цены!$H$19,Цены!$K$19,IF(Q32=Цены!$H$20,Цены!$K$20,IF(Q32=Цены!$H$21,Цены!$K$21,IF(Q32=Цены!$H$22,Цены!$K$22,IF(Q32=Цены!$H$23,Цены!$K$23,IF(Q32=Цены!$H$24,Цены!$K$24,IF(Q32=Цены!$H$25,Цены!$K$25,IF(Q32=Цены!$H$26,Цены!$K$26,IF(Q32=Цены!$H$27,Цены!$K$27,IF(Q32=Цены!$H$28,Цены!$K$28,IF(Q32=Цены!$H$29,Цены!$K$29,IF(Q32=Цены!$H$30,Цены!$K$30,IF(Q32=Цены!$H$31,Цены!$K$31,IF(Q32=Цены!$H$32,Цены!$K$32,IF(Q32=Цены!$H$33,Цены!$K$33,IF(Q32=Цены!$H$34,Цены!$K$34,IF(Q32=Цены!$H$35,Цены!$K$35,IF(Q32=Цены!$H$36,Цены!$K$36,IF(Q32=Цены!$H$37,Цены!$K$37,IF(Q32=Цены!$H$38,Цены!$K$38,IF(Q32=Цены!$H$39,Цены!$K$39,IF(Q32=Цены!$H$40,Цены!$K$40,IF(Q32=Цены!$H$41,Цены!$K$41,IF(Q32=Цены!$H$42,Цены!$K$42,IF(Q32=Цены!$H$43,Цены!$K$43,IF(Q32=Цены!$H$44,Цены!$K$44,IF(Q32=Цены!$H$45,Цены!$K$45,IF(Q32=Цены!$H$46,Цены!$K$46,IF(Q32=Цены!$H$47,Цены!$K$47,IF(Q32=Цены!$H$48,Цены!$K$48,IF(Q32=Цены!$H$49,Цены!$K$49,IF(Q32=Цены!$H$50,Цены!$K$50,IF(Q32=Цены!$H$51,Цены!$K$51,IF(Q32=Цены!$H$52,Цены!$K$52,IF(Q32=Цены!$H$53,Цены!$K$53,IF(Q32=Цены!$H$54,Цены!$K$54,IF(Q32=Цены!$H$55,Цены!$K$55))))))))))))))))))))))))))))))))))))))))))))))))))))))</f>
        <v>400</v>
      </c>
      <c r="V32" s="265"/>
      <c r="W32" s="265"/>
      <c r="X32" s="272"/>
      <c r="Y32" s="273"/>
      <c r="Z32" s="273"/>
      <c r="AA32" s="320"/>
      <c r="AB32" s="323"/>
      <c r="AC32" s="275"/>
      <c r="AD32" s="211" t="s">
        <v>70</v>
      </c>
      <c r="AE32" s="130">
        <v>4</v>
      </c>
      <c r="AF32" s="68">
        <f>IF(AD32=Цены!$H$3,Цены!$L$3,IF(AD32=Цены!$H$4,Цены!$L$4,IF(AD32=Цены!$H$5,Цены!$L$5,IF(AD32=Цены!$H$6,Цены!$L$6,IF(AD32=Цены!$H$7,Цены!$L$7,IF(AD32=Цены!$H$8,Цены!$L$8,IF(AD32=Цены!$H$9,Цены!$L$9,IF(AD32=Цены!$H$10,Цены!$L$10,IF(AD32=Цены!$H$11,Цены!$L$11,IF(AD32=Цены!$H$12,Цены!$L$12,IF(AD32=Цены!$H$13,Цены!$L$13,IF(AD32=Цены!$H$14,Цены!$L$14,IF(AD32=Цены!$H$14,Цены!$L$14,IF(AD32=Цены!$H$15,Цены!$L$15,IF(AD32=Цены!$H$16,Цены!$L$16,IF(AD32=Цены!$H$17,Цены!$L$17,IF(AD32=Цены!$H$18,Цены!$L$18,IF(AD32=Цены!$H$19,Цены!$L$19,IF(AD32=Цены!$H$20,Цены!$L$20,IF(AD32=Цены!$H$21,Цены!$L$21,IF(AD32=Цены!$H$22,Цены!$L$22,IF(AD32=Цены!$H$23,Цены!$L$23,IF(AD32=Цены!$H$24,Цены!$L$24,IF(AD32=Цены!$H$25,Цены!$L$25,IF(AD32=Цены!$H$26,Цены!$L$26,IF(AD32=Цены!$H$27,Цены!$L$27,IF(AD32=Цены!$H$28,Цены!$L$28,IF(AD32=Цены!$H$29,Цены!$L$29,IF(AD32=Цены!$H$30,Цены!$L$30,IF(AD32=Цены!$H$31,Цены!$L$31,IF(AD32=Цены!$H$32,Цены!$L$32,IF(AD32=Цены!$H$33,Цены!$L$33,IF(AD32=Цены!$H$34,Цены!$L$34,IF(AD32=Цены!$H$35,Цены!$L$35,IF(AD32=Цены!$H$36,Цены!$L$36,IF(AD32=Цены!$H$37,Цены!$L$37,IF(AD32=Цены!$H$38,Цены!$L$38,IF(AD32=Цены!$H$39,Цены!$L$39,IF(AD32=Цены!$H$40,Цены!$L$40,IF(AD32=Цены!$H$41,Цены!$L$41,IF(AD32=Цены!$H$42,Цены!$L$42,IF(AD32=Цены!$H$43,Цены!$L$43,IF(AD32=Цены!$H$44,Цены!$L$44,IF(AD32=Цены!$H$45,Цены!$L$45,IF(AD32=Цены!$H$46,Цены!$L$46,IF(AD32=Цены!$H$47,Цены!$L$47,IF(AD32=Цены!$H$48,Цены!$L$48,IF(AD32=Цены!$H$49,Цены!$L$49,IF(AD32=Цены!$H$50,Цены!$L$50,IF(AD32=Цены!$H$51,Цены!$L$51,IF(AD32=Цены!$H$52,Цены!$L$52,IF(AD32=Цены!$H$53,Цены!$L$53,IF(AD32=Цены!$H$54,Цены!$L$54,IF(AD32=Цены!$H$55,Цены!$L$55))))))))))))))))))))))))))))))))))))))))))))))))))))))</f>
        <v>2.4</v>
      </c>
      <c r="AG32" s="311"/>
      <c r="AH32" s="69">
        <f>IF(AD32=Цены!$H$3,Цены!$K$3,IF(AD32=Цены!$H$4,Цены!$K$4,IF(AD32=Цены!$H$5,Цены!$K$5,IF(AD32=Цены!$H$6,Цены!$K$6,IF(AD32=Цены!$H$7,Цены!$K$7,IF(AD32=Цены!$H$8,Цены!$K$8,IF(AD32=Цены!$H$9,Цены!$K$9,IF(AD32=Цены!$H$10,Цены!$K$10,IF(AD32=Цены!$H$11,Цены!$K$11,IF(AD32=Цены!$H$12,Цены!$K$12,IF(AD32=Цены!$H$13,Цены!$K$13,IF(AD32=Цены!$H$14,Цены!$K$14,IF(AD32=Цены!$H$14,Цены!$K$14,IF(AD32=Цены!$H$15,Цены!$K$15,IF(AD32=Цены!$H$16,Цены!$K$16,IF(AD32=Цены!$H$17,Цены!$K$17,IF(AD32=Цены!$H$18,Цены!$K$18,IF(AD32=Цены!$H$19,Цены!$K$19,IF(AD32=Цены!$H$20,Цены!$K$20,IF(AD32=Цены!$H$21,Цены!$K$21,IF(AD32=Цены!$H$22,Цены!$K$22,IF(AD32=Цены!$H$23,Цены!$K$23,IF(AD32=Цены!$H$24,Цены!$K$24,IF(AD32=Цены!$H$25,Цены!$K$25,IF(AD32=Цены!$H$26,Цены!$K$26,IF(AD32=Цены!$H$27,Цены!$K$27,IF(AD32=Цены!$H$28,Цены!$K$28,IF(AD32=Цены!$H$29,Цены!$K$29,IF(AD32=Цены!$H$30,Цены!$K$30,IF(AD32=Цены!$H$31,Цены!$K$31,IF(AD32=Цены!$H$32,Цены!$K$32,IF(AD32=Цены!$H$33,Цены!$K$33,IF(AD32=Цены!$H$34,Цены!$K$34,IF(AD32=Цены!$H$35,Цены!$K$35,IF(AD32=Цены!$H$36,Цены!$K$36,IF(AD32=Цены!$H$37,Цены!$K$37,IF(AD32=Цены!$H$38,Цены!$K$38,IF(AD32=Цены!$H$39,Цены!$K$39,IF(AD32=Цены!$H$40,Цены!$K$40,IF(AD32=Цены!$H$41,Цены!$K$41,IF(AD32=Цены!$H$42,Цены!$K$42,IF(AD32=Цены!$H$43,Цены!$K$43,IF(AD32=Цены!$H$44,Цены!$K$44,IF(AD32=Цены!$H$45,Цены!$K$45,IF(AD32=Цены!$H$46,Цены!$K$46,IF(AD32=Цены!$H$47,Цены!$K$47,IF(AD32=Цены!$H$48,Цены!$K$48,IF(AD32=Цены!$H$49,Цены!$K$49,IF(AD32=Цены!$H$50,Цены!$K$50,IF(AD32=Цены!$H$51,Цены!$K$51,IF(AD32=Цены!$H$52,Цены!$K$52,IF(AD32=Цены!$H$53,Цены!$K$53,IF(AD32=Цены!$H$54,Цены!$K$54,IF(AD32=Цены!$H$55,Цены!$K$55))))))))))))))))))))))))))))))))))))))))))))))))))))))</f>
        <v>469</v>
      </c>
      <c r="AI32" s="265"/>
      <c r="AJ32" s="265"/>
      <c r="AK32" s="272"/>
      <c r="AL32" s="273"/>
      <c r="AM32" s="273"/>
      <c r="AN32" s="268"/>
      <c r="AO32" s="312"/>
      <c r="AP32" s="275"/>
      <c r="AQ32" s="206" t="s">
        <v>89</v>
      </c>
      <c r="AR32" s="131">
        <v>3</v>
      </c>
      <c r="AS32" s="80">
        <f>IF(AQ32=Цены!$H$3,Цены!$L$3,IF(AQ32=Цены!$H$4,Цены!$L$4,IF(AQ32=Цены!$H$5,Цены!$L$5,IF(AQ32=Цены!$H$6,Цены!$L$6,IF(AQ32=Цены!$H$7,Цены!$L$7,IF(AQ32=Цены!$H$8,Цены!$L$8,IF(AQ32=Цены!$H$9,Цены!$L$9,IF(AQ32=Цены!$H$10,Цены!$L$10,IF(AQ32=Цены!$H$11,Цены!$L$11,IF(AQ32=Цены!$H$12,Цены!$L$12,IF(AQ32=Цены!$H$13,Цены!$L$13,IF(AQ32=Цены!$H$14,Цены!$L$14,IF(AQ32=Цены!$H$14,Цены!$L$14,IF(AQ32=Цены!$H$15,Цены!$L$15,IF(AQ32=Цены!$H$16,Цены!$L$16,IF(AQ32=Цены!$H$17,Цены!$L$17,IF(AQ32=Цены!$H$18,Цены!$L$18,IF(AQ32=Цены!$H$19,Цены!$L$19,IF(AQ32=Цены!$H$20,Цены!$L$20,IF(AQ32=Цены!$H$21,Цены!$L$21,IF(AQ32=Цены!$H$22,Цены!$L$22,IF(AQ32=Цены!$H$23,Цены!$L$23,IF(AQ32=Цены!$H$24,Цены!$L$24,IF(AQ32=Цены!$H$25,Цены!$L$25,IF(AQ32=Цены!$H$26,Цены!$L$26,IF(AQ32=Цены!$H$27,Цены!$L$27,IF(AQ32=Цены!$H$28,Цены!$L$28,IF(AQ32=Цены!$H$29,Цены!$L$29,IF(AQ32=Цены!$H$30,Цены!$L$30,IF(AQ32=Цены!$H$31,Цены!$L$31,IF(AQ32=Цены!$H$32,Цены!$L$32,IF(AQ32=Цены!$H$33,Цены!$L$33,IF(AQ32=Цены!$H$34,Цены!$L$34,IF(AQ32=Цены!$H$35,Цены!$L$35,IF(AQ32=Цены!$H$36,Цены!$L$36,IF(AQ32=Цены!$H$37,Цены!$L$37,IF(AQ32=Цены!$H$38,Цены!$L$38,IF(AQ32=Цены!$H$39,Цены!$L$39,IF(AQ32=Цены!$H$40,Цены!$L$40,IF(AQ32=Цены!$H$41,Цены!$L$41,IF(AQ32=Цены!$H$42,Цены!$L$42,IF(AQ32=Цены!$H$43,Цены!$L$43,IF(AQ32=Цены!$H$44,Цены!$L$44,IF(AQ32=Цены!$H$45,Цены!$L$45,IF(AQ32=Цены!$H$46,Цены!$L$46,IF(AQ32=Цены!$H$47,Цены!$L$47,IF(AQ32=Цены!$H$48,Цены!$L$48,IF(AQ32=Цены!$H$49,Цены!$L$49,IF(AQ32=Цены!$H$50,Цены!$L$50,IF(AQ32=Цены!$H$51,Цены!$L$51,IF(AQ32=Цены!$H$52,Цены!$L$52,IF(AQ32=Цены!$H$53,Цены!$L$53,IF(AQ32=Цены!$H$54,Цены!$L$54,IF(AQ32=Цены!$H$55,Цены!$L$55))))))))))))))))))))))))))))))))))))))))))))))))))))))</f>
        <v>1.1499999999999999</v>
      </c>
      <c r="AT32" s="271"/>
      <c r="AU32" s="81">
        <f>IF(AQ32=Цены!$H$3,Цены!$K$3,IF(AQ32=Цены!$H$4,Цены!$K$4,IF(AQ32=Цены!$H$5,Цены!$K$5,IF(AQ32=Цены!$H$6,Цены!$K$6,IF(AQ32=Цены!$H$7,Цены!$K$7,IF(AQ32=Цены!$H$8,Цены!$K$8,IF(AQ32=Цены!$H$9,Цены!$K$9,IF(AQ32=Цены!$H$10,Цены!$K$10,IF(AQ32=Цены!$H$11,Цены!$K$11,IF(AQ32=Цены!$H$12,Цены!$K$12,IF(AQ32=Цены!$H$13,Цены!$K$13,IF(AQ32=Цены!$H$14,Цены!$K$14,IF(AQ32=Цены!$H$14,Цены!$K$14,IF(AQ32=Цены!$H$15,Цены!$K$15,IF(AQ32=Цены!$H$16,Цены!$K$16,IF(AQ32=Цены!$H$17,Цены!$K$17,IF(AQ32=Цены!$H$18,Цены!$K$18,IF(AQ32=Цены!$H$19,Цены!$K$19,IF(AQ32=Цены!$H$20,Цены!$K$20,IF(AQ32=Цены!$H$21,Цены!$K$21,IF(AQ32=Цены!$H$22,Цены!$K$22,IF(AQ32=Цены!$H$23,Цены!$K$23,IF(AQ32=Цены!$H$24,Цены!$K$24,IF(AQ32=Цены!$H$25,Цены!$K$25,IF(AQ32=Цены!$H$26,Цены!$K$26,IF(AQ32=Цены!$H$27,Цены!$K$27,IF(AQ32=Цены!$H$28,Цены!$K$28,IF(AQ32=Цены!$H$29,Цены!$K$29,IF(AQ32=Цены!$H$30,Цены!$K$30,IF(AQ32=Цены!$H$31,Цены!$K$31,IF(AQ32=Цены!$H$32,Цены!$K$32,IF(AQ32=Цены!$H$33,Цены!$K$33,IF(AQ32=Цены!$H$34,Цены!$K$34,IF(AQ32=Цены!$H$35,Цены!$K$35,IF(AQ32=Цены!$H$36,Цены!$K$36,IF(AQ32=Цены!$H$37,Цены!$K$37,IF(AQ32=Цены!$H$38,Цены!$K$38,IF(AQ32=Цены!$H$39,Цены!$K$39,IF(AQ32=Цены!$H$40,Цены!$K$40,IF(AQ32=Цены!$H$41,Цены!$K$41,IF(AQ32=Цены!$H$42,Цены!$K$42,IF(AQ32=Цены!$H$43,Цены!$K$43,IF(AQ32=Цены!$H$44,Цены!$K$44,IF(AQ32=Цены!$H$45,Цены!$K$45,IF(AQ32=Цены!$H$46,Цены!$K$46,IF(AQ32=Цены!$H$47,Цены!$K$47,IF(AQ32=Цены!$H$48,Цены!$K$48,IF(AQ32=Цены!$H$49,Цены!$K$49,IF(AQ32=Цены!$H$50,Цены!$K$50,IF(AQ32=Цены!$H$51,Цены!$K$51,IF(AQ32=Цены!$H$52,Цены!$K$52,IF(AQ32=Цены!$H$53,Цены!$K$53,IF(AQ32=Цены!$H$54,Цены!$K$54,IF(AQ32=Цены!$H$55,Цены!$K$55))))))))))))))))))))))))))))))))))))))))))))))))))))))</f>
        <v>400</v>
      </c>
      <c r="AV32" s="265"/>
      <c r="AW32" s="265"/>
      <c r="AX32" s="272"/>
      <c r="AY32" s="273"/>
      <c r="AZ32" s="273"/>
      <c r="BA32" s="268"/>
      <c r="BB32" s="274"/>
      <c r="BC32" s="275"/>
      <c r="BD32" s="262"/>
      <c r="BE32" s="215" t="s">
        <v>96</v>
      </c>
      <c r="BF32" s="106">
        <v>3</v>
      </c>
      <c r="BG32" s="103">
        <f>IF(BE32=Цены!$H$3,Цены!$L$3,IF(BE32=Цены!$H$4,Цены!$L$4,IF(BE32=Цены!$H$5,Цены!$L$5,IF(BE32=Цены!$H$6,Цены!$L$6,IF(BE32=Цены!$H$7,Цены!$L$7,IF(BE32=Цены!$H$8,Цены!$L$8,IF(BE32=Цены!$H$9,Цены!$L$9,IF(BE32=Цены!$H$10,Цены!$L$10,IF(BE32=Цены!$H$11,Цены!$L$11,IF(BE32=Цены!$H$12,Цены!$L$12,IF(BE32=Цены!$H$13,Цены!$L$13,IF(BE32=Цены!$H$14,Цены!$L$14,IF(BE32=Цены!$H$14,Цены!$L$14,IF(BE32=Цены!$H$15,Цены!$L$15,IF(BE32=Цены!$H$16,Цены!$L$16,IF(BE32=Цены!$H$17,Цены!$L$17,IF(BE32=Цены!$H$18,Цены!$L$18,IF(BE32=Цены!$H$19,Цены!$L$19,IF(BE32=Цены!$H$20,Цены!$L$20,IF(BE32=Цены!$H$21,Цены!$L$21,IF(BE32=Цены!$H$22,Цены!$L$22,IF(BE32=Цены!$H$23,Цены!$L$23,IF(BE32=Цены!$H$24,Цены!$L$24,IF(BE32=Цены!$H$25,Цены!$L$25,IF(BE32=Цены!$H$26,Цены!$L$26,IF(BE32=Цены!$H$27,Цены!$L$27,IF(BE32=Цены!$H$28,Цены!$L$28,IF(BE32=Цены!$H$29,Цены!$L$29,IF(BE32=Цены!$H$30,Цены!$L$30,IF(BE32=Цены!$H$31,Цены!$L$31,IF(BE32=Цены!$H$32,Цены!$L$32,IF(BE32=Цены!$H$33,Цены!$L$33,IF(BE32=Цены!$H$34,Цены!$L$34,IF(BE32=Цены!$H$35,Цены!$L$35,IF(BE32=Цены!$H$36,Цены!$L$36,IF(BE32=Цены!$H$37,Цены!$L$37,IF(BE32=Цены!$H$38,Цены!$L$38,IF(BE32=Цены!$H$39,Цены!$L$39,IF(BE32=Цены!$H$40,Цены!$L$40,IF(BE32=Цены!$H$41,Цены!$L$41,IF(BE32=Цены!$H$42,Цены!$L$42,IF(BE32=Цены!$H$43,Цены!$L$43,IF(BE32=Цены!$H$44,Цены!$L$44,IF(BE32=Цены!$H$45,Цены!$L$45,IF(BE32=Цены!$H$46,Цены!$L$46,IF(BE32=Цены!$H$47,Цены!$L$47,IF(BE32=Цены!$H$48,Цены!$L$48,IF(BE32=Цены!$H$49,Цены!$L$49,IF(BE32=Цены!$H$50,Цены!$L$50,IF(BE32=Цены!$H$51,Цены!$L$51,IF(BE32=Цены!$H$52,Цены!$L$52,IF(BE32=Цены!$H$53,Цены!$L$53,IF(BE32=Цены!$H$54,Цены!$L$54,IF(BE32=Цены!$H$55,Цены!$L$55))))))))))))))))))))))))))))))))))))))))))))))))))))))</f>
        <v>0.78</v>
      </c>
      <c r="BH32" s="280"/>
      <c r="BI32" s="104">
        <f>IF(BE32=Цены!$H$3,Цены!$K$3,IF(BE32=Цены!$H$4,Цены!$K$4,IF(BE32=Цены!$H$5,Цены!$K$5,IF(BE32=Цены!$H$6,Цены!$K$6,IF(BE32=Цены!$H$7,Цены!$K$7,IF(BE32=Цены!$H$8,Цены!$K$8,IF(BE32=Цены!$H$9,Цены!$K$9,IF(BE32=Цены!$H$10,Цены!$K$10,IF(BE32=Цены!$H$11,Цены!$K$11,IF(BE32=Цены!$H$12,Цены!$K$12,IF(BE32=Цены!$H$13,Цены!$K$13,IF(BE32=Цены!$H$14,Цены!$K$14,IF(BE32=Цены!$H$14,Цены!$K$14,IF(BE32=Цены!$H$15,Цены!$K$15,IF(BE32=Цены!$H$16,Цены!$K$16,IF(BE32=Цены!$H$17,Цены!$K$17,IF(BE32=Цены!$H$18,Цены!$K$18,IF(BE32=Цены!$H$19,Цены!$K$19,IF(BE32=Цены!$H$20,Цены!$K$20,IF(BE32=Цены!$H$21,Цены!$K$21,IF(BE32=Цены!$H$22,Цены!$K$22,IF(BE32=Цены!$H$23,Цены!$K$23,IF(BE32=Цены!$H$24,Цены!$K$24,IF(BE32=Цены!$H$25,Цены!$K$25,IF(BE32=Цены!$H$26,Цены!$K$26,IF(BE32=Цены!$H$27,Цены!$K$27,IF(BE32=Цены!$H$28,Цены!$K$28,IF(BE32=Цены!$H$29,Цены!$K$29,IF(BE32=Цены!$H$30,Цены!$K$30,IF(BE32=Цены!$H$31,Цены!$K$31,IF(BE32=Цены!$H$32,Цены!$K$32,IF(BE32=Цены!$H$33,Цены!$K$33,IF(BE32=Цены!$H$34,Цены!$K$34,IF(BE32=Цены!$H$35,Цены!$K$35,IF(BE32=Цены!$H$36,Цены!$K$36,IF(BE32=Цены!$H$37,Цены!$K$37,IF(BE32=Цены!$H$38,Цены!$K$38,IF(BE32=Цены!$H$39,Цены!$K$39,IF(BE32=Цены!$H$40,Цены!$K$40,IF(BE32=Цены!$H$41,Цены!$K$41,IF(BE32=Цены!$H$42,Цены!$K$42,IF(BE32=Цены!$H$43,Цены!$K$43,IF(BE32=Цены!$H$44,Цены!$K$44,IF(BE32=Цены!$H$45,Цены!$K$45,IF(BE32=Цены!$H$46,Цены!$K$46,IF(BE32=Цены!$H$47,Цены!$K$47,IF(BE32=Цены!$H$48,Цены!$K$48,IF(BE32=Цены!$H$49,Цены!$K$49,IF(BE32=Цены!$H$50,Цены!$K$50,IF(BE32=Цены!$H$51,Цены!$K$51,IF(BE32=Цены!$H$52,Цены!$K$52,IF(BE32=Цены!$H$53,Цены!$K$53,IF(BE32=Цены!$H$54,Цены!$K$54,IF(BE32=Цены!$H$55,Цены!$K$55))))))))))))))))))))))))))))))))))))))))))))))))))))))</f>
        <v>447</v>
      </c>
      <c r="BJ32" s="265"/>
      <c r="BK32" s="265"/>
      <c r="BL32" s="272"/>
      <c r="BM32" s="273"/>
      <c r="BN32" s="273"/>
      <c r="BO32" s="268"/>
      <c r="BP32" s="281"/>
      <c r="BQ32" s="275"/>
      <c r="BR32" s="215" t="s">
        <v>96</v>
      </c>
      <c r="BS32" s="108">
        <v>2</v>
      </c>
      <c r="BT32" s="109">
        <f>IF(BR32=Цены!$H$3,Цены!$L$3,IF(BR32=Цены!$H$4,Цены!$L$4,IF(BR32=Цены!$H$5,Цены!$L$5,IF(BR32=Цены!$H$6,Цены!$L$6,IF(BR32=Цены!$H$7,Цены!$L$7,IF(BR32=Цены!$H$8,Цены!$L$8,IF(BR32=Цены!$H$9,Цены!$L$9,IF(BR32=Цены!$H$10,Цены!$L$10,IF(BR32=Цены!$H$11,Цены!$L$11,IF(BR32=Цены!$H$12,Цены!$L$12,IF(BR32=Цены!$H$13,Цены!$L$13,IF(BR32=Цены!$H$14,Цены!$L$14,IF(BR32=Цены!$H$14,Цены!$L$14,IF(BR32=Цены!$H$15,Цены!$L$15,IF(BR32=Цены!$H$16,Цены!$L$16,IF(BR32=Цены!$H$17,Цены!$L$17,IF(BR32=Цены!$H$18,Цены!$L$18,IF(BR32=Цены!$H$19,Цены!$L$19,IF(BR32=Цены!$H$20,Цены!$L$20,IF(BR32=Цены!$H$21,Цены!$L$21,IF(BR32=Цены!$H$22,Цены!$L$22,IF(BR32=Цены!$H$23,Цены!$L$23,IF(BR32=Цены!$H$24,Цены!$L$24,IF(BR32=Цены!$H$25,Цены!$L$25,IF(BR32=Цены!$H$26,Цены!$L$26,IF(BR32=Цены!$H$27,Цены!$L$27,IF(BR32=Цены!$H$28,Цены!$L$28,IF(BR32=Цены!$H$29,Цены!$L$29,IF(BR32=Цены!$H$30,Цены!$L$30,IF(BR32=Цены!$H$31,Цены!$L$31,IF(BR32=Цены!$H$32,Цены!$L$32,IF(BR32=Цены!$H$33,Цены!$L$33,IF(BR32=Цены!$H$34,Цены!$L$34,IF(BR32=Цены!$H$35,Цены!$L$35,IF(BR32=Цены!$H$36,Цены!$L$36,IF(BR32=Цены!$H$37,Цены!$L$37,IF(BR32=Цены!$H$38,Цены!$L$38,IF(BR32=Цены!$H$39,Цены!$L$39,IF(BR32=Цены!$H$40,Цены!$L$40,IF(BR32=Цены!$H$41,Цены!$L$41,IF(BR32=Цены!$H$42,Цены!$L$42,IF(BR32=Цены!$H$43,Цены!$L$43,IF(BR32=Цены!$H$44,Цены!$L$44,IF(BR32=Цены!$H$45,Цены!$L$45,IF(BR32=Цены!$H$46,Цены!$L$46,IF(BR32=Цены!$H$47,Цены!$L$47,IF(BR32=Цены!$H$48,Цены!$L$48,IF(BR32=Цены!$H$49,Цены!$L$49,IF(BR32=Цены!$H$50,Цены!$L$50,IF(BR32=Цены!$H$51,Цены!$L$51,IF(BR32=Цены!$H$52,Цены!$L$52,IF(BR32=Цены!$H$53,Цены!$L$53,IF(BR32=Цены!$H$54,Цены!$L$54,IF(BR32=Цены!$H$55,Цены!$L$55))))))))))))))))))))))))))))))))))))))))))))))))))))))</f>
        <v>0.78</v>
      </c>
      <c r="BU32" s="284"/>
      <c r="BV32" s="110">
        <f>IF(BR32=Цены!$H$3,Цены!$K$3,IF(BR32=Цены!$H$4,Цены!$K$4,IF(BR32=Цены!$H$5,Цены!$K$5,IF(BR32=Цены!$H$6,Цены!$K$6,IF(BR32=Цены!$H$7,Цены!$K$7,IF(BR32=Цены!$H$8,Цены!$K$8,IF(BR32=Цены!$H$9,Цены!$K$9,IF(BR32=Цены!$H$10,Цены!$K$10,IF(BR32=Цены!$H$11,Цены!$K$11,IF(BR32=Цены!$H$12,Цены!$K$12,IF(BR32=Цены!$H$13,Цены!$K$13,IF(BR32=Цены!$H$14,Цены!$K$14,IF(BR32=Цены!$H$14,Цены!$K$14,IF(BR32=Цены!$H$15,Цены!$K$15,IF(BR32=Цены!$H$16,Цены!$K$16,IF(BR32=Цены!$H$17,Цены!$K$17,IF(BR32=Цены!$H$18,Цены!$K$18,IF(BR32=Цены!$H$19,Цены!$K$19,IF(BR32=Цены!$H$20,Цены!$K$20,IF(BR32=Цены!$H$21,Цены!$K$21,IF(BR32=Цены!$H$22,Цены!$K$22,IF(BR32=Цены!$H$23,Цены!$K$23,IF(BR32=Цены!$H$24,Цены!$K$24,IF(BR32=Цены!$H$25,Цены!$K$25,IF(BR32=Цены!$H$26,Цены!$K$26,IF(BR32=Цены!$H$27,Цены!$K$27,IF(BR32=Цены!$H$28,Цены!$K$28,IF(BR32=Цены!$H$29,Цены!$K$29,IF(BR32=Цены!$H$30,Цены!$K$30,IF(BR32=Цены!$H$31,Цены!$K$31,IF(BR32=Цены!$H$32,Цены!$K$32,IF(BR32=Цены!$H$33,Цены!$K$33,IF(BR32=Цены!$H$34,Цены!$K$34,IF(BR32=Цены!$H$35,Цены!$K$35,IF(BR32=Цены!$H$36,Цены!$K$36,IF(BR32=Цены!$H$37,Цены!$K$37,IF(BR32=Цены!$H$38,Цены!$K$38,IF(BR32=Цены!$H$39,Цены!$K$39,IF(BR32=Цены!$H$40,Цены!$K$40,IF(BR32=Цены!$H$41,Цены!$K$41,IF(BR32=Цены!$H$42,Цены!$K$42,IF(BR32=Цены!$H$43,Цены!$K$43,IF(BR32=Цены!$H$44,Цены!$K$44,IF(BR32=Цены!$H$45,Цены!$K$45,IF(BR32=Цены!$H$46,Цены!$K$46,IF(BR32=Цены!$H$47,Цены!$K$47,IF(BR32=Цены!$H$48,Цены!$K$48,IF(BR32=Цены!$H$49,Цены!$K$49,IF(BR32=Цены!$H$50,Цены!$K$50,IF(BR32=Цены!$H$51,Цены!$K$51,IF(BR32=Цены!$H$52,Цены!$K$52,IF(BR32=Цены!$H$53,Цены!$K$53,IF(BR32=Цены!$H$54,Цены!$K$54,IF(BR32=Цены!$H$55,Цены!$K$55))))))))))))))))))))))))))))))))))))))))))))))))))))))</f>
        <v>447</v>
      </c>
      <c r="BW32" s="265"/>
      <c r="BX32" s="265"/>
      <c r="BY32" s="272"/>
      <c r="BZ32" s="273"/>
      <c r="CA32" s="273"/>
      <c r="CB32" s="268"/>
      <c r="CC32" s="285"/>
      <c r="CD32" s="275"/>
      <c r="CE32" s="173" t="s">
        <v>87</v>
      </c>
      <c r="CF32" s="112">
        <v>3</v>
      </c>
      <c r="CG32" s="113">
        <f>IF(CE32=Цены!$H$3,Цены!$L$3,IF(CE32=Цены!$H$4,Цены!$L$4,IF(CE32=Цены!$H$5,Цены!$L$5,IF(CE32=Цены!$H$6,Цены!$L$6,IF(CE32=Цены!$H$7,Цены!$L$7,IF(CE32=Цены!$H$8,Цены!$L$8,IF(CE32=Цены!$H$9,Цены!$L$9,IF(CE32=Цены!$H$10,Цены!$L$10,IF(CE32=Цены!$H$11,Цены!$L$11,IF(CE32=Цены!$H$12,Цены!$L$12,IF(CE32=Цены!$H$13,Цены!$L$13,IF(CE32=Цены!$H$14,Цены!$L$14,IF(CE32=Цены!$H$14,Цены!$L$14,IF(CE32=Цены!$H$15,Цены!$L$15,IF(CE32=Цены!$H$16,Цены!$L$16,IF(CE32=Цены!$H$17,Цены!$L$17,IF(CE32=Цены!$H$18,Цены!$L$18,IF(CE32=Цены!$H$19,Цены!$L$19,IF(CE32=Цены!$H$20,Цены!$L$20,IF(CE32=Цены!$H$21,Цены!$L$21,IF(CE32=Цены!$H$22,Цены!$L$22,IF(CE32=Цены!$H$23,Цены!$L$23,IF(CE32=Цены!$H$24,Цены!$L$24,IF(CE32=Цены!$H$25,Цены!$L$25,IF(CE32=Цены!$H$26,Цены!$L$26,IF(CE32=Цены!$H$27,Цены!$L$27,IF(CE32=Цены!$H$28,Цены!$L$28,IF(CE32=Цены!$H$29,Цены!$L$29,IF(CE32=Цены!$H$30,Цены!$L$30,IF(CE32=Цены!$H$31,Цены!$L$31,IF(CE32=Цены!$H$32,Цены!$L$32,IF(CE32=Цены!$H$33,Цены!$L$33,IF(CE32=Цены!$H$34,Цены!$L$34,IF(CE32=Цены!$H$35,Цены!$L$35,IF(CE32=Цены!$H$36,Цены!$L$36,IF(CE32=Цены!$H$37,Цены!$L$37,IF(CE32=Цены!$H$38,Цены!$L$38,IF(CE32=Цены!$H$39,Цены!$L$39,IF(CE32=Цены!$H$40,Цены!$L$40,IF(CE32=Цены!$H$41,Цены!$L$41,IF(CE32=Цены!$H$42,Цены!$L$42,IF(CE32=Цены!$H$43,Цены!$L$43,IF(CE32=Цены!$H$44,Цены!$L$44,IF(CE32=Цены!$H$45,Цены!$L$45,IF(CE32=Цены!$H$46,Цены!$L$46,IF(CE32=Цены!$H$47,Цены!$L$47,IF(CE32=Цены!$H$48,Цены!$L$48,IF(CE32=Цены!$H$49,Цены!$L$49,IF(CE32=Цены!$H$50,Цены!$L$50,IF(CE32=Цены!$H$51,Цены!$L$51,IF(CE32=Цены!$H$52,Цены!$L$52,IF(CE32=Цены!$H$53,Цены!$L$53,IF(CE32=Цены!$H$54,Цены!$L$54,IF(CE32=Цены!$H$55,Цены!$L$55))))))))))))))))))))))))))))))))))))))))))))))))))))))</f>
        <v>1.2</v>
      </c>
      <c r="CH32" s="282"/>
      <c r="CI32" s="114">
        <f>IF(CE32=Цены!$H$3,Цены!$K$3,IF(CE32=Цены!$H$4,Цены!$K$4,IF(CE32=Цены!$H$5,Цены!$K$5,IF(CE32=Цены!$H$6,Цены!$K$6,IF(CE32=Цены!$H$7,Цены!$K$7,IF(CE32=Цены!$H$8,Цены!$K$8,IF(CE32=Цены!$H$9,Цены!$K$9,IF(CE32=Цены!$H$10,Цены!$K$10,IF(CE32=Цены!$H$11,Цены!$K$11,IF(CE32=Цены!$H$12,Цены!$K$12,IF(CE32=Цены!$H$13,Цены!$K$13,IF(CE32=Цены!$H$14,Цены!$K$14,IF(CE32=Цены!$H$14,Цены!$K$14,IF(CE32=Цены!$H$15,Цены!$K$15,IF(CE32=Цены!$H$16,Цены!$K$16,IF(CE32=Цены!$H$17,Цены!$K$17,IF(CE32=Цены!$H$18,Цены!$K$18,IF(CE32=Цены!$H$19,Цены!$K$19,IF(CE32=Цены!$H$20,Цены!$K$20,IF(CE32=Цены!$H$21,Цены!$K$21,IF(CE32=Цены!$H$22,Цены!$K$22,IF(CE32=Цены!$H$23,Цены!$K$23,IF(CE32=Цены!$H$24,Цены!$K$24,IF(CE32=Цены!$H$25,Цены!$K$25,IF(CE32=Цены!$H$26,Цены!$K$26,IF(CE32=Цены!$H$27,Цены!$K$27,IF(CE32=Цены!$H$28,Цены!$K$28,IF(CE32=Цены!$H$29,Цены!$K$29,IF(CE32=Цены!$H$30,Цены!$K$30,IF(CE32=Цены!$H$31,Цены!$K$31,IF(CE32=Цены!$H$32,Цены!$K$32,IF(CE32=Цены!$H$33,Цены!$K$33,IF(CE32=Цены!$H$34,Цены!$K$34,IF(CE32=Цены!$H$35,Цены!$K$35,IF(CE32=Цены!$H$36,Цены!$K$36,IF(CE32=Цены!$H$37,Цены!$K$37,IF(CE32=Цены!$H$38,Цены!$K$38,IF(CE32=Цены!$H$39,Цены!$K$39,IF(CE32=Цены!$H$40,Цены!$K$40,IF(CE32=Цены!$H$41,Цены!$K$41,IF(CE32=Цены!$H$42,Цены!$K$42,IF(CE32=Цены!$H$43,Цены!$K$43,IF(CE32=Цены!$H$44,Цены!$K$44,IF(CE32=Цены!$H$45,Цены!$K$45,IF(CE32=Цены!$H$46,Цены!$K$46,IF(CE32=Цены!$H$47,Цены!$K$47,IF(CE32=Цены!$H$48,Цены!$K$48,IF(CE32=Цены!$H$49,Цены!$K$49,IF(CE32=Цены!$H$50,Цены!$K$50,IF(CE32=Цены!$H$51,Цены!$K$51,IF(CE32=Цены!$H$52,Цены!$K$52,IF(CE32=Цены!$H$53,Цены!$K$53,IF(CE32=Цены!$H$54,Цены!$K$54,IF(CE32=Цены!$H$55,Цены!$K$55))))))))))))))))))))))))))))))))))))))))))))))))))))))</f>
        <v>378</v>
      </c>
      <c r="CJ32" s="265"/>
      <c r="CK32" s="265"/>
      <c r="CL32" s="272"/>
      <c r="CM32" s="273"/>
      <c r="CN32" s="273"/>
      <c r="CO32" s="268"/>
      <c r="CP32" s="283"/>
      <c r="CQ32" s="275"/>
    </row>
    <row r="33" spans="1:95" s="40" customFormat="1" ht="15" customHeight="1" x14ac:dyDescent="0.25">
      <c r="A33" s="267"/>
      <c r="B33" s="265"/>
      <c r="C33" s="336"/>
      <c r="D33" s="174" t="s">
        <v>125</v>
      </c>
      <c r="E33" s="168">
        <v>4</v>
      </c>
      <c r="F33" s="46">
        <f>IF(D33=Цены!$H$3,Цены!$L$3,IF(D33=Цены!$H$4,Цены!$L$4,IF(D33=Цены!$H$5,Цены!$L$5,IF(D33=Цены!$H$6,Цены!$L$6,IF(D33=Цены!$H$7,Цены!$L$7,IF(D33=Цены!$H$8,Цены!$L$8,IF(D33=Цены!$H$9,Цены!$L$9,IF(D33=Цены!$H$10,Цены!$L$10,IF(D33=Цены!$H$11,Цены!$L$11,IF(D33=Цены!$H$12,Цены!$L$12,IF(D33=Цены!$H$13,Цены!$L$13,IF(D33=Цены!$H$14,Цены!$L$14,IF(D33=Цены!$H$14,Цены!$L$14,IF(D33=Цены!$H$15,Цены!$L$15,IF(D33=Цены!$H$16,Цены!$L$16,IF(D33=Цены!$H$17,Цены!$L$17,IF(D33=Цены!$H$18,Цены!$L$18,IF(D33=Цены!$H$19,Цены!$L$19,IF(D33=Цены!$H$20,Цены!$L$20,IF(D33=Цены!$H$21,Цены!$L$21,IF(D33=Цены!$H$22,Цены!$L$22,IF(D33=Цены!$H$23,Цены!$L$23,IF(D33=Цены!$H$24,Цены!$L$24,IF(D33=Цены!$H$25,Цены!$L$25,IF(D33=Цены!$H$26,Цены!$L$26,IF(D33=Цены!$H$27,Цены!$L$27,IF(D33=Цены!$H$28,Цены!$L$28,IF(D33=Цены!$H$29,Цены!$L$29,IF(D33=Цены!$H$30,Цены!$L$30,IF(D33=Цены!$H$31,Цены!$L$31,IF(D33=Цены!$H$32,Цены!$L$32,IF(D33=Цены!$H$33,Цены!$L$33,IF(D33=Цены!$H$34,Цены!$L$34,IF(D33=Цены!$H$35,Цены!$L$35,IF(D33=Цены!$H$36,Цены!$L$36,IF(D33=Цены!$H$37,Цены!$L$37,IF(D33=Цены!$H$38,Цены!$L$38,IF(D33=Цены!$H$39,Цены!$L$39,IF(D33=Цены!$H$40,Цены!$L$40,IF(D33=Цены!$H$41,Цены!$L$41,IF(D33=Цены!$H$42,Цены!$L$42,IF(D33=Цены!$H$43,Цены!$L$43,IF(D33=Цены!$H$44,Цены!$L$44,IF(D33=Цены!$H$45,Цены!$L$45,IF(D33=Цены!$H$46,Цены!$L$46,IF(D33=Цены!$H$47,Цены!$L$47,IF(D33=Цены!$H$48,Цены!$L$48,IF(D33=Цены!$H$49,Цены!$L$49,IF(D33=Цены!$H$50,Цены!$L$50,IF(D33=Цены!$H$51,Цены!$L$51,IF(D33=Цены!$H$52,Цены!$L$52,IF(D33=Цены!$H$53,Цены!$L$53,IF(D33=Цены!$H$54,Цены!$L$54,IF(D33=Цены!$H$55,Цены!$L$55))))))))))))))))))))))))))))))))))))))))))))))))))))))</f>
        <v>0.39</v>
      </c>
      <c r="G33" s="339"/>
      <c r="H33" s="47">
        <f>IF(D33=Цены!$H$3,Цены!$K$3,IF(D33=Цены!$H$4,Цены!$K$4,IF(D33=Цены!$H$5,Цены!$K$5,IF(D33=Цены!$H$6,Цены!$K$6,IF(D33=Цены!$H$7,Цены!$K$7,IF(D33=Цены!$H$8,Цены!$K$8,IF(D33=Цены!$H$9,Цены!$K$9,IF(D33=Цены!$H$10,Цены!$K$10,IF(D33=Цены!$H$11,Цены!$K$11,IF(D33=Цены!$H$12,Цены!$K$12,IF(D33=Цены!$H$13,Цены!$K$13,IF(D33=Цены!$H$14,Цены!$K$14,IF(D33=Цены!$H$14,Цены!$K$14,IF(D33=Цены!$H$15,Цены!$K$15,IF(D33=Цены!$H$16,Цены!$K$16,IF(D33=Цены!$H$17,Цены!$K$17,IF(D33=Цены!$H$18,Цены!$K$18,IF(D33=Цены!$H$19,Цены!$K$19,IF(D33=Цены!$H$20,Цены!$K$20,IF(D33=Цены!$H$21,Цены!$K$21,IF(D33=Цены!$H$22,Цены!$K$22,IF(D33=Цены!$H$23,Цены!$K$23,IF(D33=Цены!$H$24,Цены!$K$24,IF(D33=Цены!$H$25,Цены!$K$25,IF(D33=Цены!$H$26,Цены!$K$26,IF(D33=Цены!$H$27,Цены!$K$27,IF(D33=Цены!$H$28,Цены!$K$28,IF(D33=Цены!$H$29,Цены!$K$29,IF(D33=Цены!$H$30,Цены!$K$30,IF(D33=Цены!$H$31,Цены!$K$31,IF(D33=Цены!$H$32,Цены!$K$32,IF(D33=Цены!$H$33,Цены!$K$33,IF(D33=Цены!$H$34,Цены!$K$34,IF(D33=Цены!$H$35,Цены!$K$35,IF(D33=Цены!$H$36,Цены!$K$36,IF(D33=Цены!$H$37,Цены!$K$37,IF(D33=Цены!$H$38,Цены!$K$38,IF(D33=Цены!$H$39,Цены!$K$39,IF(D33=Цены!$H$40,Цены!$K$40,IF(D33=Цены!$H$41,Цены!$K$41,IF(D33=Цены!$H$42,Цены!$K$42,IF(D33=Цены!$H$43,Цены!$K$43,IF(D33=Цены!$H$44,Цены!$K$44,IF(D33=Цены!$H$45,Цены!$K$45,IF(D33=Цены!$H$46,Цены!$K$46,IF(D33=Цены!$H$47,Цены!$K$47,IF(D33=Цены!$H$48,Цены!$K$48,IF(D33=Цены!$H$49,Цены!$K$49,IF(D33=Цены!$H$50,Цены!$K$50,IF(D33=Цены!$H$51,Цены!$K$51,IF(D33=Цены!$H$52,Цены!$K$52,IF(D33=Цены!$H$53,Цены!$K$53,IF(D33=Цены!$H$54,Цены!$K$54,IF(D33=Цены!$H$55,Цены!$K$55))))))))))))))))))))))))))))))))))))))))))))))))))))))</f>
        <v>822</v>
      </c>
      <c r="I33" s="286"/>
      <c r="J33" s="265"/>
      <c r="K33" s="272"/>
      <c r="L33" s="273"/>
      <c r="M33" s="273"/>
      <c r="N33" s="320"/>
      <c r="O33" s="332"/>
      <c r="P33" s="275"/>
      <c r="Q33" s="174"/>
      <c r="R33" s="37"/>
      <c r="S33" s="38" t="b">
        <f>IF(Q33=Цены!$H$3,Цены!$L$3,IF(Q33=Цены!$H$4,Цены!$L$4,IF(Q33=Цены!$H$5,Цены!$L$5,IF(Q33=Цены!$H$6,Цены!$L$6,IF(Q33=Цены!$H$7,Цены!$L$7,IF(Q33=Цены!$H$8,Цены!$L$8,IF(Q33=Цены!$H$9,Цены!$L$9,IF(Q33=Цены!$H$10,Цены!$L$10,IF(Q33=Цены!$H$11,Цены!$L$11,IF(Q33=Цены!$H$12,Цены!$L$12,IF(Q33=Цены!$H$13,Цены!$L$13,IF(Q33=Цены!$H$14,Цены!$L$14,IF(Q33=Цены!$H$14,Цены!$L$14,IF(Q33=Цены!$H$15,Цены!$L$15,IF(Q33=Цены!$H$16,Цены!$L$16,IF(Q33=Цены!$H$17,Цены!$L$17,IF(Q33=Цены!$H$18,Цены!$L$18,IF(Q33=Цены!$H$19,Цены!$L$19,IF(Q33=Цены!$H$20,Цены!$L$20,IF(Q33=Цены!$H$21,Цены!$L$21,IF(Q33=Цены!$H$22,Цены!$L$22,IF(Q33=Цены!$H$23,Цены!$L$23,IF(Q33=Цены!$H$24,Цены!$L$24,IF(Q33=Цены!$H$25,Цены!$L$25,IF(Q33=Цены!$H$26,Цены!$L$26,IF(Q33=Цены!$H$27,Цены!$L$27,IF(Q33=Цены!$H$28,Цены!$L$28,IF(Q33=Цены!$H$29,Цены!$L$29,IF(Q33=Цены!$H$30,Цены!$L$30,IF(Q33=Цены!$H$31,Цены!$L$31,IF(Q33=Цены!$H$32,Цены!$L$32,IF(Q33=Цены!$H$33,Цены!$L$33,IF(Q33=Цены!$H$34,Цены!$L$34,IF(Q33=Цены!$H$35,Цены!$L$35,IF(Q33=Цены!$H$36,Цены!$L$36,IF(Q33=Цены!$H$37,Цены!$L$37,IF(Q33=Цены!$H$38,Цены!$L$38,IF(Q33=Цены!$H$39,Цены!$L$39,IF(Q33=Цены!$H$40,Цены!$L$40,IF(Q33=Цены!$H$41,Цены!$L$41,IF(Q33=Цены!$H$42,Цены!$L$42,IF(Q33=Цены!$H$43,Цены!$L$43,IF(Q33=Цены!$H$44,Цены!$L$44,IF(Q33=Цены!$H$45,Цены!$L$45,IF(Q33=Цены!$H$46,Цены!$L$46,IF(Q33=Цены!$H$47,Цены!$L$47,IF(Q33=Цены!$H$48,Цены!$L$48,IF(Q33=Цены!$H$49,Цены!$L$49,IF(Q33=Цены!$H$50,Цены!$L$50,IF(Q33=Цены!$H$51,Цены!$L$51,IF(Q33=Цены!$H$52,Цены!$L$52,IF(Q33=Цены!$H$53,Цены!$L$53,IF(Q33=Цены!$H$54,Цены!$L$54,IF(Q33=Цены!$H$55,Цены!$L$55))))))))))))))))))))))))))))))))))))))))))))))))))))))</f>
        <v>0</v>
      </c>
      <c r="T33" s="322"/>
      <c r="U33" s="161" t="b">
        <f>IF(Q33=Цены!$H$3,Цены!$K$3,IF(Q33=Цены!$H$4,Цены!$K$4,IF(Q33=Цены!$H$5,Цены!$K$5,IF(Q33=Цены!$H$6,Цены!$K$6,IF(Q33=Цены!$H$7,Цены!$K$7,IF(Q33=Цены!$H$8,Цены!$K$8,IF(Q33=Цены!$H$9,Цены!$K$9,IF(Q33=Цены!$H$10,Цены!$K$10,IF(Q33=Цены!$H$11,Цены!$K$11,IF(Q33=Цены!$H$12,Цены!$K$12,IF(Q33=Цены!$H$13,Цены!$K$13,IF(Q33=Цены!$H$14,Цены!$K$14,IF(Q33=Цены!$H$14,Цены!$K$14,IF(Q33=Цены!$H$15,Цены!$K$15,IF(Q33=Цены!$H$16,Цены!$K$16,IF(Q33=Цены!$H$17,Цены!$K$17,IF(Q33=Цены!$H$18,Цены!$K$18,IF(Q33=Цены!$H$19,Цены!$K$19,IF(Q33=Цены!$H$20,Цены!$K$20,IF(Q33=Цены!$H$21,Цены!$K$21,IF(Q33=Цены!$H$22,Цены!$K$22,IF(Q33=Цены!$H$23,Цены!$K$23,IF(Q33=Цены!$H$24,Цены!$K$24,IF(Q33=Цены!$H$25,Цены!$K$25,IF(Q33=Цены!$H$26,Цены!$K$26,IF(Q33=Цены!$H$27,Цены!$K$27,IF(Q33=Цены!$H$28,Цены!$K$28,IF(Q33=Цены!$H$29,Цены!$K$29,IF(Q33=Цены!$H$30,Цены!$K$30,IF(Q33=Цены!$H$31,Цены!$K$31,IF(Q33=Цены!$H$32,Цены!$K$32,IF(Q33=Цены!$H$33,Цены!$K$33,IF(Q33=Цены!$H$34,Цены!$K$34,IF(Q33=Цены!$H$35,Цены!$K$35,IF(Q33=Цены!$H$36,Цены!$K$36,IF(Q33=Цены!$H$37,Цены!$K$37,IF(Q33=Цены!$H$38,Цены!$K$38,IF(Q33=Цены!$H$39,Цены!$K$39,IF(Q33=Цены!$H$40,Цены!$K$40,IF(Q33=Цены!$H$41,Цены!$K$41,IF(Q33=Цены!$H$42,Цены!$K$42,IF(Q33=Цены!$H$43,Цены!$K$43,IF(Q33=Цены!$H$44,Цены!$K$44,IF(Q33=Цены!$H$45,Цены!$K$45,IF(Q33=Цены!$H$46,Цены!$K$46,IF(Q33=Цены!$H$47,Цены!$K$47,IF(Q33=Цены!$H$48,Цены!$K$48,IF(Q33=Цены!$H$49,Цены!$K$49,IF(Q33=Цены!$H$50,Цены!$K$50,IF(Q33=Цены!$H$51,Цены!$K$51,IF(Q33=Цены!$H$52,Цены!$K$52,IF(Q33=Цены!$H$53,Цены!$K$53,IF(Q33=Цены!$H$54,Цены!$K$54,IF(Q33=Цены!$H$55,Цены!$K$55))))))))))))))))))))))))))))))))))))))))))))))))))))))</f>
        <v>0</v>
      </c>
      <c r="V33" s="265"/>
      <c r="W33" s="265"/>
      <c r="X33" s="272"/>
      <c r="Y33" s="273"/>
      <c r="Z33" s="273"/>
      <c r="AA33" s="320"/>
      <c r="AB33" s="323"/>
      <c r="AC33" s="275"/>
      <c r="AD33" s="174" t="s">
        <v>95</v>
      </c>
      <c r="AE33" s="130">
        <v>5</v>
      </c>
      <c r="AF33" s="68">
        <f>IF(AD33=Цены!$H$3,Цены!$L$3,IF(AD33=Цены!$H$4,Цены!$L$4,IF(AD33=Цены!$H$5,Цены!$L$5,IF(AD33=Цены!$H$6,Цены!$L$6,IF(AD33=Цены!$H$7,Цены!$L$7,IF(AD33=Цены!$H$8,Цены!$L$8,IF(AD33=Цены!$H$9,Цены!$L$9,IF(AD33=Цены!$H$10,Цены!$L$10,IF(AD33=Цены!$H$11,Цены!$L$11,IF(AD33=Цены!$H$12,Цены!$L$12,IF(AD33=Цены!$H$13,Цены!$L$13,IF(AD33=Цены!$H$14,Цены!$L$14,IF(AD33=Цены!$H$14,Цены!$L$14,IF(AD33=Цены!$H$15,Цены!$L$15,IF(AD33=Цены!$H$16,Цены!$L$16,IF(AD33=Цены!$H$17,Цены!$L$17,IF(AD33=Цены!$H$18,Цены!$L$18,IF(AD33=Цены!$H$19,Цены!$L$19,IF(AD33=Цены!$H$20,Цены!$L$20,IF(AD33=Цены!$H$21,Цены!$L$21,IF(AD33=Цены!$H$22,Цены!$L$22,IF(AD33=Цены!$H$23,Цены!$L$23,IF(AD33=Цены!$H$24,Цены!$L$24,IF(AD33=Цены!$H$25,Цены!$L$25,IF(AD33=Цены!$H$26,Цены!$L$26,IF(AD33=Цены!$H$27,Цены!$L$27,IF(AD33=Цены!$H$28,Цены!$L$28,IF(AD33=Цены!$H$29,Цены!$L$29,IF(AD33=Цены!$H$30,Цены!$L$30,IF(AD33=Цены!$H$31,Цены!$L$31,IF(AD33=Цены!$H$32,Цены!$L$32,IF(AD33=Цены!$H$33,Цены!$L$33,IF(AD33=Цены!$H$34,Цены!$L$34,IF(AD33=Цены!$H$35,Цены!$L$35,IF(AD33=Цены!$H$36,Цены!$L$36,IF(AD33=Цены!$H$37,Цены!$L$37,IF(AD33=Цены!$H$38,Цены!$L$38,IF(AD33=Цены!$H$39,Цены!$L$39,IF(AD33=Цены!$H$40,Цены!$L$40,IF(AD33=Цены!$H$41,Цены!$L$41,IF(AD33=Цены!$H$42,Цены!$L$42,IF(AD33=Цены!$H$43,Цены!$L$43,IF(AD33=Цены!$H$44,Цены!$L$44,IF(AD33=Цены!$H$45,Цены!$L$45,IF(AD33=Цены!$H$46,Цены!$L$46,IF(AD33=Цены!$H$47,Цены!$L$47,IF(AD33=Цены!$H$48,Цены!$L$48,IF(AD33=Цены!$H$49,Цены!$L$49,IF(AD33=Цены!$H$50,Цены!$L$50,IF(AD33=Цены!$H$51,Цены!$L$51,IF(AD33=Цены!$H$52,Цены!$L$52,IF(AD33=Цены!$H$53,Цены!$L$53,IF(AD33=Цены!$H$54,Цены!$L$54,IF(AD33=Цены!$H$55,Цены!$L$55))))))))))))))))))))))))))))))))))))))))))))))))))))))</f>
        <v>2.6</v>
      </c>
      <c r="AG33" s="311"/>
      <c r="AH33" s="69">
        <f>IF(AD33=Цены!$H$3,Цены!$K$3,IF(AD33=Цены!$H$4,Цены!$K$4,IF(AD33=Цены!$H$5,Цены!$K$5,IF(AD33=Цены!$H$6,Цены!$K$6,IF(AD33=Цены!$H$7,Цены!$K$7,IF(AD33=Цены!$H$8,Цены!$K$8,IF(AD33=Цены!$H$9,Цены!$K$9,IF(AD33=Цены!$H$10,Цены!$K$10,IF(AD33=Цены!$H$11,Цены!$K$11,IF(AD33=Цены!$H$12,Цены!$K$12,IF(AD33=Цены!$H$13,Цены!$K$13,IF(AD33=Цены!$H$14,Цены!$K$14,IF(AD33=Цены!$H$14,Цены!$K$14,IF(AD33=Цены!$H$15,Цены!$K$15,IF(AD33=Цены!$H$16,Цены!$K$16,IF(AD33=Цены!$H$17,Цены!$K$17,IF(AD33=Цены!$H$18,Цены!$K$18,IF(AD33=Цены!$H$19,Цены!$K$19,IF(AD33=Цены!$H$20,Цены!$K$20,IF(AD33=Цены!$H$21,Цены!$K$21,IF(AD33=Цены!$H$22,Цены!$K$22,IF(AD33=Цены!$H$23,Цены!$K$23,IF(AD33=Цены!$H$24,Цены!$K$24,IF(AD33=Цены!$H$25,Цены!$K$25,IF(AD33=Цены!$H$26,Цены!$K$26,IF(AD33=Цены!$H$27,Цены!$K$27,IF(AD33=Цены!$H$28,Цены!$K$28,IF(AD33=Цены!$H$29,Цены!$K$29,IF(AD33=Цены!$H$30,Цены!$K$30,IF(AD33=Цены!$H$31,Цены!$K$31,IF(AD33=Цены!$H$32,Цены!$K$32,IF(AD33=Цены!$H$33,Цены!$K$33,IF(AD33=Цены!$H$34,Цены!$K$34,IF(AD33=Цены!$H$35,Цены!$K$35,IF(AD33=Цены!$H$36,Цены!$K$36,IF(AD33=Цены!$H$37,Цены!$K$37,IF(AD33=Цены!$H$38,Цены!$K$38,IF(AD33=Цены!$H$39,Цены!$K$39,IF(AD33=Цены!$H$40,Цены!$K$40,IF(AD33=Цены!$H$41,Цены!$K$41,IF(AD33=Цены!$H$42,Цены!$K$42,IF(AD33=Цены!$H$43,Цены!$K$43,IF(AD33=Цены!$H$44,Цены!$K$44,IF(AD33=Цены!$H$45,Цены!$K$45,IF(AD33=Цены!$H$46,Цены!$K$46,IF(AD33=Цены!$H$47,Цены!$K$47,IF(AD33=Цены!$H$48,Цены!$K$48,IF(AD33=Цены!$H$49,Цены!$K$49,IF(AD33=Цены!$H$50,Цены!$K$50,IF(AD33=Цены!$H$51,Цены!$K$51,IF(AD33=Цены!$H$52,Цены!$K$52,IF(AD33=Цены!$H$53,Цены!$K$53,IF(AD33=Цены!$H$54,Цены!$K$54,IF(AD33=Цены!$H$55,Цены!$K$55))))))))))))))))))))))))))))))))))))))))))))))))))))))</f>
        <v>552</v>
      </c>
      <c r="AI33" s="265"/>
      <c r="AJ33" s="265"/>
      <c r="AK33" s="272"/>
      <c r="AL33" s="273"/>
      <c r="AM33" s="273"/>
      <c r="AN33" s="268"/>
      <c r="AO33" s="312"/>
      <c r="AP33" s="275"/>
      <c r="AQ33" s="174" t="s">
        <v>147</v>
      </c>
      <c r="AR33" s="131">
        <v>3</v>
      </c>
      <c r="AS33" s="80">
        <f>IF(AQ33=Цены!$H$3,Цены!$L$3,IF(AQ33=Цены!$H$4,Цены!$L$4,IF(AQ33=Цены!$H$5,Цены!$L$5,IF(AQ33=Цены!$H$6,Цены!$L$6,IF(AQ33=Цены!$H$7,Цены!$L$7,IF(AQ33=Цены!$H$8,Цены!$L$8,IF(AQ33=Цены!$H$9,Цены!$L$9,IF(AQ33=Цены!$H$10,Цены!$L$10,IF(AQ33=Цены!$H$11,Цены!$L$11,IF(AQ33=Цены!$H$12,Цены!$L$12,IF(AQ33=Цены!$H$13,Цены!$L$13,IF(AQ33=Цены!$H$14,Цены!$L$14,IF(AQ33=Цены!$H$14,Цены!$L$14,IF(AQ33=Цены!$H$15,Цены!$L$15,IF(AQ33=Цены!$H$16,Цены!$L$16,IF(AQ33=Цены!$H$17,Цены!$L$17,IF(AQ33=Цены!$H$18,Цены!$L$18,IF(AQ33=Цены!$H$19,Цены!$L$19,IF(AQ33=Цены!$H$20,Цены!$L$20,IF(AQ33=Цены!$H$21,Цены!$L$21,IF(AQ33=Цены!$H$22,Цены!$L$22,IF(AQ33=Цены!$H$23,Цены!$L$23,IF(AQ33=Цены!$H$24,Цены!$L$24,IF(AQ33=Цены!$H$25,Цены!$L$25,IF(AQ33=Цены!$H$26,Цены!$L$26,IF(AQ33=Цены!$H$27,Цены!$L$27,IF(AQ33=Цены!$H$28,Цены!$L$28,IF(AQ33=Цены!$H$29,Цены!$L$29,IF(AQ33=Цены!$H$30,Цены!$L$30,IF(AQ33=Цены!$H$31,Цены!$L$31,IF(AQ33=Цены!$H$32,Цены!$L$32,IF(AQ33=Цены!$H$33,Цены!$L$33,IF(AQ33=Цены!$H$34,Цены!$L$34,IF(AQ33=Цены!$H$35,Цены!$L$35,IF(AQ33=Цены!$H$36,Цены!$L$36,IF(AQ33=Цены!$H$37,Цены!$L$37,IF(AQ33=Цены!$H$38,Цены!$L$38,IF(AQ33=Цены!$H$39,Цены!$L$39,IF(AQ33=Цены!$H$40,Цены!$L$40,IF(AQ33=Цены!$H$41,Цены!$L$41,IF(AQ33=Цены!$H$42,Цены!$L$42,IF(AQ33=Цены!$H$43,Цены!$L$43,IF(AQ33=Цены!$H$44,Цены!$L$44,IF(AQ33=Цены!$H$45,Цены!$L$45,IF(AQ33=Цены!$H$46,Цены!$L$46,IF(AQ33=Цены!$H$47,Цены!$L$47,IF(AQ33=Цены!$H$48,Цены!$L$48,IF(AQ33=Цены!$H$49,Цены!$L$49,IF(AQ33=Цены!$H$50,Цены!$L$50,IF(AQ33=Цены!$H$51,Цены!$L$51,IF(AQ33=Цены!$H$52,Цены!$L$52,IF(AQ33=Цены!$H$53,Цены!$L$53,IF(AQ33=Цены!$H$54,Цены!$L$54,IF(AQ33=Цены!$H$55,Цены!$L$55))))))))))))))))))))))))))))))))))))))))))))))))))))))</f>
        <v>2.6</v>
      </c>
      <c r="AT33" s="271"/>
      <c r="AU33" s="81">
        <f>IF(AQ33=Цены!$H$3,Цены!$K$3,IF(AQ33=Цены!$H$4,Цены!$K$4,IF(AQ33=Цены!$H$5,Цены!$K$5,IF(AQ33=Цены!$H$6,Цены!$K$6,IF(AQ33=Цены!$H$7,Цены!$K$7,IF(AQ33=Цены!$H$8,Цены!$K$8,IF(AQ33=Цены!$H$9,Цены!$K$9,IF(AQ33=Цены!$H$10,Цены!$K$10,IF(AQ33=Цены!$H$11,Цены!$K$11,IF(AQ33=Цены!$H$12,Цены!$K$12,IF(AQ33=Цены!$H$13,Цены!$K$13,IF(AQ33=Цены!$H$14,Цены!$K$14,IF(AQ33=Цены!$H$14,Цены!$K$14,IF(AQ33=Цены!$H$15,Цены!$K$15,IF(AQ33=Цены!$H$16,Цены!$K$16,IF(AQ33=Цены!$H$17,Цены!$K$17,IF(AQ33=Цены!$H$18,Цены!$K$18,IF(AQ33=Цены!$H$19,Цены!$K$19,IF(AQ33=Цены!$H$20,Цены!$K$20,IF(AQ33=Цены!$H$21,Цены!$K$21,IF(AQ33=Цены!$H$22,Цены!$K$22,IF(AQ33=Цены!$H$23,Цены!$K$23,IF(AQ33=Цены!$H$24,Цены!$K$24,IF(AQ33=Цены!$H$25,Цены!$K$25,IF(AQ33=Цены!$H$26,Цены!$K$26,IF(AQ33=Цены!$H$27,Цены!$K$27,IF(AQ33=Цены!$H$28,Цены!$K$28,IF(AQ33=Цены!$H$29,Цены!$K$29,IF(AQ33=Цены!$H$30,Цены!$K$30,IF(AQ33=Цены!$H$31,Цены!$K$31,IF(AQ33=Цены!$H$32,Цены!$K$32,IF(AQ33=Цены!$H$33,Цены!$K$33,IF(AQ33=Цены!$H$34,Цены!$K$34,IF(AQ33=Цены!$H$35,Цены!$K$35,IF(AQ33=Цены!$H$36,Цены!$K$36,IF(AQ33=Цены!$H$37,Цены!$K$37,IF(AQ33=Цены!$H$38,Цены!$K$38,IF(AQ33=Цены!$H$39,Цены!$K$39,IF(AQ33=Цены!$H$40,Цены!$K$40,IF(AQ33=Цены!$H$41,Цены!$K$41,IF(AQ33=Цены!$H$42,Цены!$K$42,IF(AQ33=Цены!$H$43,Цены!$K$43,IF(AQ33=Цены!$H$44,Цены!$K$44,IF(AQ33=Цены!$H$45,Цены!$K$45,IF(AQ33=Цены!$H$46,Цены!$K$46,IF(AQ33=Цены!$H$47,Цены!$K$47,IF(AQ33=Цены!$H$48,Цены!$K$48,IF(AQ33=Цены!$H$49,Цены!$K$49,IF(AQ33=Цены!$H$50,Цены!$K$50,IF(AQ33=Цены!$H$51,Цены!$K$51,IF(AQ33=Цены!$H$52,Цены!$K$52,IF(AQ33=Цены!$H$53,Цены!$K$53,IF(AQ33=Цены!$H$54,Цены!$K$54,IF(AQ33=Цены!$H$55,Цены!$K$55))))))))))))))))))))))))))))))))))))))))))))))))))))))</f>
        <v>552</v>
      </c>
      <c r="AV33" s="265"/>
      <c r="AW33" s="265"/>
      <c r="AX33" s="272"/>
      <c r="AY33" s="273"/>
      <c r="AZ33" s="273"/>
      <c r="BA33" s="268"/>
      <c r="BB33" s="274"/>
      <c r="BC33" s="275"/>
      <c r="BD33" s="262"/>
      <c r="BE33" s="174"/>
      <c r="BF33" s="106"/>
      <c r="BG33" s="103" t="b">
        <f>IF(BE33=Цены!$H$3,Цены!$L$3,IF(BE33=Цены!$H$4,Цены!$L$4,IF(BE33=Цены!$H$5,Цены!$L$5,IF(BE33=Цены!$H$6,Цены!$L$6,IF(BE33=Цены!$H$7,Цены!$L$7,IF(BE33=Цены!$H$8,Цены!$L$8,IF(BE33=Цены!$H$9,Цены!$L$9,IF(BE33=Цены!$H$10,Цены!$L$10,IF(BE33=Цены!$H$11,Цены!$L$11,IF(BE33=Цены!$H$12,Цены!$L$12,IF(BE33=Цены!$H$13,Цены!$L$13,IF(BE33=Цены!$H$14,Цены!$L$14,IF(BE33=Цены!$H$14,Цены!$L$14,IF(BE33=Цены!$H$15,Цены!$L$15,IF(BE33=Цены!$H$16,Цены!$L$16,IF(BE33=Цены!$H$17,Цены!$L$17,IF(BE33=Цены!$H$18,Цены!$L$18,IF(BE33=Цены!$H$19,Цены!$L$19,IF(BE33=Цены!$H$20,Цены!$L$20,IF(BE33=Цены!$H$21,Цены!$L$21,IF(BE33=Цены!$H$22,Цены!$L$22,IF(BE33=Цены!$H$23,Цены!$L$23,IF(BE33=Цены!$H$24,Цены!$L$24,IF(BE33=Цены!$H$25,Цены!$L$25,IF(BE33=Цены!$H$26,Цены!$L$26,IF(BE33=Цены!$H$27,Цены!$L$27,IF(BE33=Цены!$H$28,Цены!$L$28,IF(BE33=Цены!$H$29,Цены!$L$29,IF(BE33=Цены!$H$30,Цены!$L$30,IF(BE33=Цены!$H$31,Цены!$L$31,IF(BE33=Цены!$H$32,Цены!$L$32,IF(BE33=Цены!$H$33,Цены!$L$33,IF(BE33=Цены!$H$34,Цены!$L$34,IF(BE33=Цены!$H$35,Цены!$L$35,IF(BE33=Цены!$H$36,Цены!$L$36,IF(BE33=Цены!$H$37,Цены!$L$37,IF(BE33=Цены!$H$38,Цены!$L$38,IF(BE33=Цены!$H$39,Цены!$L$39,IF(BE33=Цены!$H$40,Цены!$L$40,IF(BE33=Цены!$H$41,Цены!$L$41,IF(BE33=Цены!$H$42,Цены!$L$42,IF(BE33=Цены!$H$43,Цены!$L$43,IF(BE33=Цены!$H$44,Цены!$L$44,IF(BE33=Цены!$H$45,Цены!$L$45,IF(BE33=Цены!$H$46,Цены!$L$46,IF(BE33=Цены!$H$47,Цены!$L$47,IF(BE33=Цены!$H$48,Цены!$L$48,IF(BE33=Цены!$H$49,Цены!$L$49,IF(BE33=Цены!$H$50,Цены!$L$50,IF(BE33=Цены!$H$51,Цены!$L$51,IF(BE33=Цены!$H$52,Цены!$L$52,IF(BE33=Цены!$H$53,Цены!$L$53,IF(BE33=Цены!$H$54,Цены!$L$54,IF(BE33=Цены!$H$55,Цены!$L$55))))))))))))))))))))))))))))))))))))))))))))))))))))))</f>
        <v>0</v>
      </c>
      <c r="BH33" s="280"/>
      <c r="BI33" s="104" t="b">
        <f>IF(BE33=Цены!$H$3,Цены!$K$3,IF(BE33=Цены!$H$4,Цены!$K$4,IF(BE33=Цены!$H$5,Цены!$K$5,IF(BE33=Цены!$H$6,Цены!$K$6,IF(BE33=Цены!$H$7,Цены!$K$7,IF(BE33=Цены!$H$8,Цены!$K$8,IF(BE33=Цены!$H$9,Цены!$K$9,IF(BE33=Цены!$H$10,Цены!$K$10,IF(BE33=Цены!$H$11,Цены!$K$11,IF(BE33=Цены!$H$12,Цены!$K$12,IF(BE33=Цены!$H$13,Цены!$K$13,IF(BE33=Цены!$H$14,Цены!$K$14,IF(BE33=Цены!$H$14,Цены!$K$14,IF(BE33=Цены!$H$15,Цены!$K$15,IF(BE33=Цены!$H$16,Цены!$K$16,IF(BE33=Цены!$H$17,Цены!$K$17,IF(BE33=Цены!$H$18,Цены!$K$18,IF(BE33=Цены!$H$19,Цены!$K$19,IF(BE33=Цены!$H$20,Цены!$K$20,IF(BE33=Цены!$H$21,Цены!$K$21,IF(BE33=Цены!$H$22,Цены!$K$22,IF(BE33=Цены!$H$23,Цены!$K$23,IF(BE33=Цены!$H$24,Цены!$K$24,IF(BE33=Цены!$H$25,Цены!$K$25,IF(BE33=Цены!$H$26,Цены!$K$26,IF(BE33=Цены!$H$27,Цены!$K$27,IF(BE33=Цены!$H$28,Цены!$K$28,IF(BE33=Цены!$H$29,Цены!$K$29,IF(BE33=Цены!$H$30,Цены!$K$30,IF(BE33=Цены!$H$31,Цены!$K$31,IF(BE33=Цены!$H$32,Цены!$K$32,IF(BE33=Цены!$H$33,Цены!$K$33,IF(BE33=Цены!$H$34,Цены!$K$34,IF(BE33=Цены!$H$35,Цены!$K$35,IF(BE33=Цены!$H$36,Цены!$K$36,IF(BE33=Цены!$H$37,Цены!$K$37,IF(BE33=Цены!$H$38,Цены!$K$38,IF(BE33=Цены!$H$39,Цены!$K$39,IF(BE33=Цены!$H$40,Цены!$K$40,IF(BE33=Цены!$H$41,Цены!$K$41,IF(BE33=Цены!$H$42,Цены!$K$42,IF(BE33=Цены!$H$43,Цены!$K$43,IF(BE33=Цены!$H$44,Цены!$K$44,IF(BE33=Цены!$H$45,Цены!$K$45,IF(BE33=Цены!$H$46,Цены!$K$46,IF(BE33=Цены!$H$47,Цены!$K$47,IF(BE33=Цены!$H$48,Цены!$K$48,IF(BE33=Цены!$H$49,Цены!$K$49,IF(BE33=Цены!$H$50,Цены!$K$50,IF(BE33=Цены!$H$51,Цены!$K$51,IF(BE33=Цены!$H$52,Цены!$K$52,IF(BE33=Цены!$H$53,Цены!$K$53,IF(BE33=Цены!$H$54,Цены!$K$54,IF(BE33=Цены!$H$55,Цены!$K$55))))))))))))))))))))))))))))))))))))))))))))))))))))))</f>
        <v>0</v>
      </c>
      <c r="BJ33" s="265"/>
      <c r="BK33" s="265"/>
      <c r="BL33" s="272"/>
      <c r="BM33" s="273"/>
      <c r="BN33" s="273"/>
      <c r="BO33" s="268"/>
      <c r="BP33" s="281"/>
      <c r="BQ33" s="275"/>
      <c r="BR33" s="174"/>
      <c r="BS33" s="108"/>
      <c r="BT33" s="109" t="b">
        <f>IF(BR33=Цены!$H$3,Цены!$L$3,IF(BR33=Цены!$H$4,Цены!$L$4,IF(BR33=Цены!$H$5,Цены!$L$5,IF(BR33=Цены!$H$6,Цены!$L$6,IF(BR33=Цены!$H$7,Цены!$L$7,IF(BR33=Цены!$H$8,Цены!$L$8,IF(BR33=Цены!$H$9,Цены!$L$9,IF(BR33=Цены!$H$10,Цены!$L$10,IF(BR33=Цены!$H$11,Цены!$L$11,IF(BR33=Цены!$H$12,Цены!$L$12,IF(BR33=Цены!$H$13,Цены!$L$13,IF(BR33=Цены!$H$14,Цены!$L$14,IF(BR33=Цены!$H$14,Цены!$L$14,IF(BR33=Цены!$H$15,Цены!$L$15,IF(BR33=Цены!$H$16,Цены!$L$16,IF(BR33=Цены!$H$17,Цены!$L$17,IF(BR33=Цены!$H$18,Цены!$L$18,IF(BR33=Цены!$H$19,Цены!$L$19,IF(BR33=Цены!$H$20,Цены!$L$20,IF(BR33=Цены!$H$21,Цены!$L$21,IF(BR33=Цены!$H$22,Цены!$L$22,IF(BR33=Цены!$H$23,Цены!$L$23,IF(BR33=Цены!$H$24,Цены!$L$24,IF(BR33=Цены!$H$25,Цены!$L$25,IF(BR33=Цены!$H$26,Цены!$L$26,IF(BR33=Цены!$H$27,Цены!$L$27,IF(BR33=Цены!$H$28,Цены!$L$28,IF(BR33=Цены!$H$29,Цены!$L$29,IF(BR33=Цены!$H$30,Цены!$L$30,IF(BR33=Цены!$H$31,Цены!$L$31,IF(BR33=Цены!$H$32,Цены!$L$32,IF(BR33=Цены!$H$33,Цены!$L$33,IF(BR33=Цены!$H$34,Цены!$L$34,IF(BR33=Цены!$H$35,Цены!$L$35,IF(BR33=Цены!$H$36,Цены!$L$36,IF(BR33=Цены!$H$37,Цены!$L$37,IF(BR33=Цены!$H$38,Цены!$L$38,IF(BR33=Цены!$H$39,Цены!$L$39,IF(BR33=Цены!$H$40,Цены!$L$40,IF(BR33=Цены!$H$41,Цены!$L$41,IF(BR33=Цены!$H$42,Цены!$L$42,IF(BR33=Цены!$H$43,Цены!$L$43,IF(BR33=Цены!$H$44,Цены!$L$44,IF(BR33=Цены!$H$45,Цены!$L$45,IF(BR33=Цены!$H$46,Цены!$L$46,IF(BR33=Цены!$H$47,Цены!$L$47,IF(BR33=Цены!$H$48,Цены!$L$48,IF(BR33=Цены!$H$49,Цены!$L$49,IF(BR33=Цены!$H$50,Цены!$L$50,IF(BR33=Цены!$H$51,Цены!$L$51,IF(BR33=Цены!$H$52,Цены!$L$52,IF(BR33=Цены!$H$53,Цены!$L$53,IF(BR33=Цены!$H$54,Цены!$L$54,IF(BR33=Цены!$H$55,Цены!$L$55))))))))))))))))))))))))))))))))))))))))))))))))))))))</f>
        <v>0</v>
      </c>
      <c r="BU33" s="284"/>
      <c r="BV33" s="110" t="b">
        <f>IF(BR33=Цены!$H$3,Цены!$K$3,IF(BR33=Цены!$H$4,Цены!$K$4,IF(BR33=Цены!$H$5,Цены!$K$5,IF(BR33=Цены!$H$6,Цены!$K$6,IF(BR33=Цены!$H$7,Цены!$K$7,IF(BR33=Цены!$H$8,Цены!$K$8,IF(BR33=Цены!$H$9,Цены!$K$9,IF(BR33=Цены!$H$10,Цены!$K$10,IF(BR33=Цены!$H$11,Цены!$K$11,IF(BR33=Цены!$H$12,Цены!$K$12,IF(BR33=Цены!$H$13,Цены!$K$13,IF(BR33=Цены!$H$14,Цены!$K$14,IF(BR33=Цены!$H$14,Цены!$K$14,IF(BR33=Цены!$H$15,Цены!$K$15,IF(BR33=Цены!$H$16,Цены!$K$16,IF(BR33=Цены!$H$17,Цены!$K$17,IF(BR33=Цены!$H$18,Цены!$K$18,IF(BR33=Цены!$H$19,Цены!$K$19,IF(BR33=Цены!$H$20,Цены!$K$20,IF(BR33=Цены!$H$21,Цены!$K$21,IF(BR33=Цены!$H$22,Цены!$K$22,IF(BR33=Цены!$H$23,Цены!$K$23,IF(BR33=Цены!$H$24,Цены!$K$24,IF(BR33=Цены!$H$25,Цены!$K$25,IF(BR33=Цены!$H$26,Цены!$K$26,IF(BR33=Цены!$H$27,Цены!$K$27,IF(BR33=Цены!$H$28,Цены!$K$28,IF(BR33=Цены!$H$29,Цены!$K$29,IF(BR33=Цены!$H$30,Цены!$K$30,IF(BR33=Цены!$H$31,Цены!$K$31,IF(BR33=Цены!$H$32,Цены!$K$32,IF(BR33=Цены!$H$33,Цены!$K$33,IF(BR33=Цены!$H$34,Цены!$K$34,IF(BR33=Цены!$H$35,Цены!$K$35,IF(BR33=Цены!$H$36,Цены!$K$36,IF(BR33=Цены!$H$37,Цены!$K$37,IF(BR33=Цены!$H$38,Цены!$K$38,IF(BR33=Цены!$H$39,Цены!$K$39,IF(BR33=Цены!$H$40,Цены!$K$40,IF(BR33=Цены!$H$41,Цены!$K$41,IF(BR33=Цены!$H$42,Цены!$K$42,IF(BR33=Цены!$H$43,Цены!$K$43,IF(BR33=Цены!$H$44,Цены!$K$44,IF(BR33=Цены!$H$45,Цены!$K$45,IF(BR33=Цены!$H$46,Цены!$K$46,IF(BR33=Цены!$H$47,Цены!$K$47,IF(BR33=Цены!$H$48,Цены!$K$48,IF(BR33=Цены!$H$49,Цены!$K$49,IF(BR33=Цены!$H$50,Цены!$K$50,IF(BR33=Цены!$H$51,Цены!$K$51,IF(BR33=Цены!$H$52,Цены!$K$52,IF(BR33=Цены!$H$53,Цены!$K$53,IF(BR33=Цены!$H$54,Цены!$K$54,IF(BR33=Цены!$H$55,Цены!$K$55))))))))))))))))))))))))))))))))))))))))))))))))))))))</f>
        <v>0</v>
      </c>
      <c r="BW33" s="265"/>
      <c r="BX33" s="265"/>
      <c r="BY33" s="272"/>
      <c r="BZ33" s="273"/>
      <c r="CA33" s="273"/>
      <c r="CB33" s="268"/>
      <c r="CC33" s="285"/>
      <c r="CD33" s="275"/>
      <c r="CE33" s="174" t="s">
        <v>125</v>
      </c>
      <c r="CF33" s="112">
        <v>1</v>
      </c>
      <c r="CG33" s="113">
        <f>IF(CE33=Цены!$H$3,Цены!$L$3,IF(CE33=Цены!$H$4,Цены!$L$4,IF(CE33=Цены!$H$5,Цены!$L$5,IF(CE33=Цены!$H$6,Цены!$L$6,IF(CE33=Цены!$H$7,Цены!$L$7,IF(CE33=Цены!$H$8,Цены!$L$8,IF(CE33=Цены!$H$9,Цены!$L$9,IF(CE33=Цены!$H$10,Цены!$L$10,IF(CE33=Цены!$H$11,Цены!$L$11,IF(CE33=Цены!$H$12,Цены!$L$12,IF(CE33=Цены!$H$13,Цены!$L$13,IF(CE33=Цены!$H$14,Цены!$L$14,IF(CE33=Цены!$H$14,Цены!$L$14,IF(CE33=Цены!$H$15,Цены!$L$15,IF(CE33=Цены!$H$16,Цены!$L$16,IF(CE33=Цены!$H$17,Цены!$L$17,IF(CE33=Цены!$H$18,Цены!$L$18,IF(CE33=Цены!$H$19,Цены!$L$19,IF(CE33=Цены!$H$20,Цены!$L$20,IF(CE33=Цены!$H$21,Цены!$L$21,IF(CE33=Цены!$H$22,Цены!$L$22,IF(CE33=Цены!$H$23,Цены!$L$23,IF(CE33=Цены!$H$24,Цены!$L$24,IF(CE33=Цены!$H$25,Цены!$L$25,IF(CE33=Цены!$H$26,Цены!$L$26,IF(CE33=Цены!$H$27,Цены!$L$27,IF(CE33=Цены!$H$28,Цены!$L$28,IF(CE33=Цены!$H$29,Цены!$L$29,IF(CE33=Цены!$H$30,Цены!$L$30,IF(CE33=Цены!$H$31,Цены!$L$31,IF(CE33=Цены!$H$32,Цены!$L$32,IF(CE33=Цены!$H$33,Цены!$L$33,IF(CE33=Цены!$H$34,Цены!$L$34,IF(CE33=Цены!$H$35,Цены!$L$35,IF(CE33=Цены!$H$36,Цены!$L$36,IF(CE33=Цены!$H$37,Цены!$L$37,IF(CE33=Цены!$H$38,Цены!$L$38,IF(CE33=Цены!$H$39,Цены!$L$39,IF(CE33=Цены!$H$40,Цены!$L$40,IF(CE33=Цены!$H$41,Цены!$L$41,IF(CE33=Цены!$H$42,Цены!$L$42,IF(CE33=Цены!$H$43,Цены!$L$43,IF(CE33=Цены!$H$44,Цены!$L$44,IF(CE33=Цены!$H$45,Цены!$L$45,IF(CE33=Цены!$H$46,Цены!$L$46,IF(CE33=Цены!$H$47,Цены!$L$47,IF(CE33=Цены!$H$48,Цены!$L$48,IF(CE33=Цены!$H$49,Цены!$L$49,IF(CE33=Цены!$H$50,Цены!$L$50,IF(CE33=Цены!$H$51,Цены!$L$51,IF(CE33=Цены!$H$52,Цены!$L$52,IF(CE33=Цены!$H$53,Цены!$L$53,IF(CE33=Цены!$H$54,Цены!$L$54,IF(CE33=Цены!$H$55,Цены!$L$55))))))))))))))))))))))))))))))))))))))))))))))))))))))</f>
        <v>0.39</v>
      </c>
      <c r="CH33" s="282"/>
      <c r="CI33" s="114">
        <f>IF(CE33=Цены!$H$3,Цены!$K$3,IF(CE33=Цены!$H$4,Цены!$K$4,IF(CE33=Цены!$H$5,Цены!$K$5,IF(CE33=Цены!$H$6,Цены!$K$6,IF(CE33=Цены!$H$7,Цены!$K$7,IF(CE33=Цены!$H$8,Цены!$K$8,IF(CE33=Цены!$H$9,Цены!$K$9,IF(CE33=Цены!$H$10,Цены!$K$10,IF(CE33=Цены!$H$11,Цены!$K$11,IF(CE33=Цены!$H$12,Цены!$K$12,IF(CE33=Цены!$H$13,Цены!$K$13,IF(CE33=Цены!$H$14,Цены!$K$14,IF(CE33=Цены!$H$14,Цены!$K$14,IF(CE33=Цены!$H$15,Цены!$K$15,IF(CE33=Цены!$H$16,Цены!$K$16,IF(CE33=Цены!$H$17,Цены!$K$17,IF(CE33=Цены!$H$18,Цены!$K$18,IF(CE33=Цены!$H$19,Цены!$K$19,IF(CE33=Цены!$H$20,Цены!$K$20,IF(CE33=Цены!$H$21,Цены!$K$21,IF(CE33=Цены!$H$22,Цены!$K$22,IF(CE33=Цены!$H$23,Цены!$K$23,IF(CE33=Цены!$H$24,Цены!$K$24,IF(CE33=Цены!$H$25,Цены!$K$25,IF(CE33=Цены!$H$26,Цены!$K$26,IF(CE33=Цены!$H$27,Цены!$K$27,IF(CE33=Цены!$H$28,Цены!$K$28,IF(CE33=Цены!$H$29,Цены!$K$29,IF(CE33=Цены!$H$30,Цены!$K$30,IF(CE33=Цены!$H$31,Цены!$K$31,IF(CE33=Цены!$H$32,Цены!$K$32,IF(CE33=Цены!$H$33,Цены!$K$33,IF(CE33=Цены!$H$34,Цены!$K$34,IF(CE33=Цены!$H$35,Цены!$K$35,IF(CE33=Цены!$H$36,Цены!$K$36,IF(CE33=Цены!$H$37,Цены!$K$37,IF(CE33=Цены!$H$38,Цены!$K$38,IF(CE33=Цены!$H$39,Цены!$K$39,IF(CE33=Цены!$H$40,Цены!$K$40,IF(CE33=Цены!$H$41,Цены!$K$41,IF(CE33=Цены!$H$42,Цены!$K$42,IF(CE33=Цены!$H$43,Цены!$K$43,IF(CE33=Цены!$H$44,Цены!$K$44,IF(CE33=Цены!$H$45,Цены!$K$45,IF(CE33=Цены!$H$46,Цены!$K$46,IF(CE33=Цены!$H$47,Цены!$K$47,IF(CE33=Цены!$H$48,Цены!$K$48,IF(CE33=Цены!$H$49,Цены!$K$49,IF(CE33=Цены!$H$50,Цены!$K$50,IF(CE33=Цены!$H$51,Цены!$K$51,IF(CE33=Цены!$H$52,Цены!$K$52,IF(CE33=Цены!$H$53,Цены!$K$53,IF(CE33=Цены!$H$54,Цены!$K$54,IF(CE33=Цены!$H$55,Цены!$K$55))))))))))))))))))))))))))))))))))))))))))))))))))))))</f>
        <v>822</v>
      </c>
      <c r="CJ33" s="265"/>
      <c r="CK33" s="265"/>
      <c r="CL33" s="272"/>
      <c r="CM33" s="273"/>
      <c r="CN33" s="273"/>
      <c r="CO33" s="268"/>
      <c r="CP33" s="283"/>
      <c r="CQ33" s="275"/>
    </row>
    <row r="34" spans="1:95" s="40" customFormat="1" ht="15" customHeight="1" thickBot="1" x14ac:dyDescent="0.3">
      <c r="A34" s="267"/>
      <c r="B34" s="265"/>
      <c r="C34" s="336"/>
      <c r="D34" s="173" t="s">
        <v>121</v>
      </c>
      <c r="E34" s="184">
        <v>3</v>
      </c>
      <c r="F34" s="46">
        <f>IF(D34=Цены!$H$3,Цены!$L$3,IF(D34=Цены!$H$4,Цены!$L$4,IF(D34=Цены!$H$5,Цены!$L$5,IF(D34=Цены!$H$6,Цены!$L$6,IF(D34=Цены!$H$7,Цены!$L$7,IF(D34=Цены!$H$8,Цены!$L$8,IF(D34=Цены!$H$9,Цены!$L$9,IF(D34=Цены!$H$10,Цены!$L$10,IF(D34=Цены!$H$11,Цены!$L$11,IF(D34=Цены!$H$12,Цены!$L$12,IF(D34=Цены!$H$13,Цены!$L$13,IF(D34=Цены!$H$14,Цены!$L$14,IF(D34=Цены!$H$14,Цены!$L$14,IF(D34=Цены!$H$15,Цены!$L$15,IF(D34=Цены!$H$16,Цены!$L$16,IF(D34=Цены!$H$17,Цены!$L$17,IF(D34=Цены!$H$18,Цены!$L$18,IF(D34=Цены!$H$19,Цены!$L$19,IF(D34=Цены!$H$20,Цены!$L$20,IF(D34=Цены!$H$21,Цены!$L$21,IF(D34=Цены!$H$22,Цены!$L$22,IF(D34=Цены!$H$23,Цены!$L$23,IF(D34=Цены!$H$24,Цены!$L$24,IF(D34=Цены!$H$25,Цены!$L$25,IF(D34=Цены!$H$26,Цены!$L$26,IF(D34=Цены!$H$27,Цены!$L$27,IF(D34=Цены!$H$28,Цены!$L$28,IF(D34=Цены!$H$29,Цены!$L$29,IF(D34=Цены!$H$30,Цены!$L$30,IF(D34=Цены!$H$31,Цены!$L$31,IF(D34=Цены!$H$32,Цены!$L$32,IF(D34=Цены!$H$33,Цены!$L$33,IF(D34=Цены!$H$34,Цены!$L$34,IF(D34=Цены!$H$35,Цены!$L$35,IF(D34=Цены!$H$36,Цены!$L$36,IF(D34=Цены!$H$37,Цены!$L$37,IF(D34=Цены!$H$38,Цены!$L$38,IF(D34=Цены!$H$39,Цены!$L$39,IF(D34=Цены!$H$40,Цены!$L$40,IF(D34=Цены!$H$41,Цены!$L$41,IF(D34=Цены!$H$42,Цены!$L$42,IF(D34=Цены!$H$43,Цены!$L$43,IF(D34=Цены!$H$44,Цены!$L$44,IF(D34=Цены!$H$45,Цены!$L$45,IF(D34=Цены!$H$46,Цены!$L$46,IF(D34=Цены!$H$47,Цены!$L$47,IF(D34=Цены!$H$48,Цены!$L$48,IF(D34=Цены!$H$49,Цены!$L$49,IF(D34=Цены!$H$50,Цены!$L$50,IF(D34=Цены!$H$51,Цены!$L$51,IF(D34=Цены!$H$52,Цены!$L$52,IF(D34=Цены!$H$53,Цены!$L$53,IF(D34=Цены!$H$54,Цены!$L$54,IF(D34=Цены!$H$55,Цены!$L$55))))))))))))))))))))))))))))))))))))))))))))))))))))))</f>
        <v>1.32E-2</v>
      </c>
      <c r="G34" s="339"/>
      <c r="H34" s="47">
        <f>IF(D34=Цены!$H$3,Цены!$K$3,IF(D34=Цены!$H$4,Цены!$K$4,IF(D34=Цены!$H$5,Цены!$K$5,IF(D34=Цены!$H$6,Цены!$K$6,IF(D34=Цены!$H$7,Цены!$K$7,IF(D34=Цены!$H$8,Цены!$K$8,IF(D34=Цены!$H$9,Цены!$K$9,IF(D34=Цены!$H$10,Цены!$K$10,IF(D34=Цены!$H$11,Цены!$K$11,IF(D34=Цены!$H$12,Цены!$K$12,IF(D34=Цены!$H$13,Цены!$K$13,IF(D34=Цены!$H$14,Цены!$K$14,IF(D34=Цены!$H$14,Цены!$K$14,IF(D34=Цены!$H$15,Цены!$K$15,IF(D34=Цены!$H$16,Цены!$K$16,IF(D34=Цены!$H$17,Цены!$K$17,IF(D34=Цены!$H$18,Цены!$K$18,IF(D34=Цены!$H$19,Цены!$K$19,IF(D34=Цены!$H$20,Цены!$K$20,IF(D34=Цены!$H$21,Цены!$K$21,IF(D34=Цены!$H$22,Цены!$K$22,IF(D34=Цены!$H$23,Цены!$K$23,IF(D34=Цены!$H$24,Цены!$K$24,IF(D34=Цены!$H$25,Цены!$K$25,IF(D34=Цены!$H$26,Цены!$K$26,IF(D34=Цены!$H$27,Цены!$K$27,IF(D34=Цены!$H$28,Цены!$K$28,IF(D34=Цены!$H$29,Цены!$K$29,IF(D34=Цены!$H$30,Цены!$K$30,IF(D34=Цены!$H$31,Цены!$K$31,IF(D34=Цены!$H$32,Цены!$K$32,IF(D34=Цены!$H$33,Цены!$K$33,IF(D34=Цены!$H$34,Цены!$K$34,IF(D34=Цены!$H$35,Цены!$K$35,IF(D34=Цены!$H$36,Цены!$K$36,IF(D34=Цены!$H$37,Цены!$K$37,IF(D34=Цены!$H$38,Цены!$K$38,IF(D34=Цены!$H$39,Цены!$K$39,IF(D34=Цены!$H$40,Цены!$K$40,IF(D34=Цены!$H$41,Цены!$K$41,IF(D34=Цены!$H$42,Цены!$K$42,IF(D34=Цены!$H$43,Цены!$K$43,IF(D34=Цены!$H$44,Цены!$K$44,IF(D34=Цены!$H$45,Цены!$K$45,IF(D34=Цены!$H$46,Цены!$K$46,IF(D34=Цены!$H$47,Цены!$K$47,IF(D34=Цены!$H$48,Цены!$K$48,IF(D34=Цены!$H$49,Цены!$K$49,IF(D34=Цены!$H$50,Цены!$K$50,IF(D34=Цены!$H$51,Цены!$K$51,IF(D34=Цены!$H$52,Цены!$K$52,IF(D34=Цены!$H$53,Цены!$K$53,IF(D34=Цены!$H$54,Цены!$K$54,IF(D34=Цены!$H$55,Цены!$K$55))))))))))))))))))))))))))))))))))))))))))))))))))))))</f>
        <v>54</v>
      </c>
      <c r="I34" s="286"/>
      <c r="J34" s="265"/>
      <c r="K34" s="272"/>
      <c r="L34" s="273"/>
      <c r="M34" s="273"/>
      <c r="N34" s="321"/>
      <c r="O34" s="332"/>
      <c r="P34" s="275"/>
      <c r="Q34" s="208"/>
      <c r="R34" s="37"/>
      <c r="S34" s="38" t="b">
        <f>IF(Q34=Цены!$H$3,Цены!$L$3,IF(Q34=Цены!$H$4,Цены!$L$4,IF(Q34=Цены!$H$5,Цены!$L$5,IF(Q34=Цены!$H$6,Цены!$L$6,IF(Q34=Цены!$H$7,Цены!$L$7,IF(Q34=Цены!$H$8,Цены!$L$8,IF(Q34=Цены!$H$9,Цены!$L$9,IF(Q34=Цены!$H$10,Цены!$L$10,IF(Q34=Цены!$H$11,Цены!$L$11,IF(Q34=Цены!$H$12,Цены!$L$12,IF(Q34=Цены!$H$13,Цены!$L$13,IF(Q34=Цены!$H$14,Цены!$L$14,IF(Q34=Цены!$H$14,Цены!$L$14,IF(Q34=Цены!$H$15,Цены!$L$15,IF(Q34=Цены!$H$16,Цены!$L$16,IF(Q34=Цены!$H$17,Цены!$L$17,IF(Q34=Цены!$H$18,Цены!$L$18,IF(Q34=Цены!$H$19,Цены!$L$19,IF(Q34=Цены!$H$20,Цены!$L$20,IF(Q34=Цены!$H$21,Цены!$L$21,IF(Q34=Цены!$H$22,Цены!$L$22,IF(Q34=Цены!$H$23,Цены!$L$23,IF(Q34=Цены!$H$24,Цены!$L$24,IF(Q34=Цены!$H$25,Цены!$L$25,IF(Q34=Цены!$H$26,Цены!$L$26,IF(Q34=Цены!$H$27,Цены!$L$27,IF(Q34=Цены!$H$28,Цены!$L$28,IF(Q34=Цены!$H$29,Цены!$L$29,IF(Q34=Цены!$H$30,Цены!$L$30,IF(Q34=Цены!$H$31,Цены!$L$31,IF(Q34=Цены!$H$32,Цены!$L$32,IF(Q34=Цены!$H$33,Цены!$L$33,IF(Q34=Цены!$H$34,Цены!$L$34,IF(Q34=Цены!$H$35,Цены!$L$35,IF(Q34=Цены!$H$36,Цены!$L$36,IF(Q34=Цены!$H$37,Цены!$L$37,IF(Q34=Цены!$H$38,Цены!$L$38,IF(Q34=Цены!$H$39,Цены!$L$39,IF(Q34=Цены!$H$40,Цены!$L$40,IF(Q34=Цены!$H$41,Цены!$L$41,IF(Q34=Цены!$H$42,Цены!$L$42,IF(Q34=Цены!$H$43,Цены!$L$43,IF(Q34=Цены!$H$44,Цены!$L$44,IF(Q34=Цены!$H$45,Цены!$L$45,IF(Q34=Цены!$H$46,Цены!$L$46,IF(Q34=Цены!$H$47,Цены!$L$47,IF(Q34=Цены!$H$48,Цены!$L$48,IF(Q34=Цены!$H$49,Цены!$L$49,IF(Q34=Цены!$H$50,Цены!$L$50,IF(Q34=Цены!$H$51,Цены!$L$51,IF(Q34=Цены!$H$52,Цены!$L$52,IF(Q34=Цены!$H$53,Цены!$L$53,IF(Q34=Цены!$H$54,Цены!$L$54,IF(Q34=Цены!$H$55,Цены!$L$55))))))))))))))))))))))))))))))))))))))))))))))))))))))</f>
        <v>0</v>
      </c>
      <c r="T34" s="322"/>
      <c r="U34" s="161" t="b">
        <f>IF(Q34=Цены!$H$3,Цены!$K$3,IF(Q34=Цены!$H$4,Цены!$K$4,IF(Q34=Цены!$H$5,Цены!$K$5,IF(Q34=Цены!$H$6,Цены!$K$6,IF(Q34=Цены!$H$7,Цены!$K$7,IF(Q34=Цены!$H$8,Цены!$K$8,IF(Q34=Цены!$H$9,Цены!$K$9,IF(Q34=Цены!$H$10,Цены!$K$10,IF(Q34=Цены!$H$11,Цены!$K$11,IF(Q34=Цены!$H$12,Цены!$K$12,IF(Q34=Цены!$H$13,Цены!$K$13,IF(Q34=Цены!$H$14,Цены!$K$14,IF(Q34=Цены!$H$14,Цены!$K$14,IF(Q34=Цены!$H$15,Цены!$K$15,IF(Q34=Цены!$H$16,Цены!$K$16,IF(Q34=Цены!$H$17,Цены!$K$17,IF(Q34=Цены!$H$18,Цены!$K$18,IF(Q34=Цены!$H$19,Цены!$K$19,IF(Q34=Цены!$H$20,Цены!$K$20,IF(Q34=Цены!$H$21,Цены!$K$21,IF(Q34=Цены!$H$22,Цены!$K$22,IF(Q34=Цены!$H$23,Цены!$K$23,IF(Q34=Цены!$H$24,Цены!$K$24,IF(Q34=Цены!$H$25,Цены!$K$25,IF(Q34=Цены!$H$26,Цены!$K$26,IF(Q34=Цены!$H$27,Цены!$K$27,IF(Q34=Цены!$H$28,Цены!$K$28,IF(Q34=Цены!$H$29,Цены!$K$29,IF(Q34=Цены!$H$30,Цены!$K$30,IF(Q34=Цены!$H$31,Цены!$K$31,IF(Q34=Цены!$H$32,Цены!$K$32,IF(Q34=Цены!$H$33,Цены!$K$33,IF(Q34=Цены!$H$34,Цены!$K$34,IF(Q34=Цены!$H$35,Цены!$K$35,IF(Q34=Цены!$H$36,Цены!$K$36,IF(Q34=Цены!$H$37,Цены!$K$37,IF(Q34=Цены!$H$38,Цены!$K$38,IF(Q34=Цены!$H$39,Цены!$K$39,IF(Q34=Цены!$H$40,Цены!$K$40,IF(Q34=Цены!$H$41,Цены!$K$41,IF(Q34=Цены!$H$42,Цены!$K$42,IF(Q34=Цены!$H$43,Цены!$K$43,IF(Q34=Цены!$H$44,Цены!$K$44,IF(Q34=Цены!$H$45,Цены!$K$45,IF(Q34=Цены!$H$46,Цены!$K$46,IF(Q34=Цены!$H$47,Цены!$K$47,IF(Q34=Цены!$H$48,Цены!$K$48,IF(Q34=Цены!$H$49,Цены!$K$49,IF(Q34=Цены!$H$50,Цены!$K$50,IF(Q34=Цены!$H$51,Цены!$K$51,IF(Q34=Цены!$H$52,Цены!$K$52,IF(Q34=Цены!$H$53,Цены!$K$53,IF(Q34=Цены!$H$54,Цены!$K$54,IF(Q34=Цены!$H$55,Цены!$K$55))))))))))))))))))))))))))))))))))))))))))))))))))))))</f>
        <v>0</v>
      </c>
      <c r="V34" s="265"/>
      <c r="W34" s="265"/>
      <c r="X34" s="272"/>
      <c r="Y34" s="273"/>
      <c r="Z34" s="273"/>
      <c r="AA34" s="321"/>
      <c r="AB34" s="323"/>
      <c r="AC34" s="275"/>
      <c r="AD34" s="212" t="s">
        <v>89</v>
      </c>
      <c r="AE34" s="130">
        <v>8</v>
      </c>
      <c r="AF34" s="68">
        <f>IF(AD34=Цены!$H$3,Цены!$L$3,IF(AD34=Цены!$H$4,Цены!$L$4,IF(AD34=Цены!$H$5,Цены!$L$5,IF(AD34=Цены!$H$6,Цены!$L$6,IF(AD34=Цены!$H$7,Цены!$L$7,IF(AD34=Цены!$H$8,Цены!$L$8,IF(AD34=Цены!$H$9,Цены!$L$9,IF(AD34=Цены!$H$10,Цены!$L$10,IF(AD34=Цены!$H$11,Цены!$L$11,IF(AD34=Цены!$H$12,Цены!$L$12,IF(AD34=Цены!$H$13,Цены!$L$13,IF(AD34=Цены!$H$14,Цены!$L$14,IF(AD34=Цены!$H$14,Цены!$L$14,IF(AD34=Цены!$H$15,Цены!$L$15,IF(AD34=Цены!$H$16,Цены!$L$16,IF(AD34=Цены!$H$17,Цены!$L$17,IF(AD34=Цены!$H$18,Цены!$L$18,IF(AD34=Цены!$H$19,Цены!$L$19,IF(AD34=Цены!$H$20,Цены!$L$20,IF(AD34=Цены!$H$21,Цены!$L$21,IF(AD34=Цены!$H$22,Цены!$L$22,IF(AD34=Цены!$H$23,Цены!$L$23,IF(AD34=Цены!$H$24,Цены!$L$24,IF(AD34=Цены!$H$25,Цены!$L$25,IF(AD34=Цены!$H$26,Цены!$L$26,IF(AD34=Цены!$H$27,Цены!$L$27,IF(AD34=Цены!$H$28,Цены!$L$28,IF(AD34=Цены!$H$29,Цены!$L$29,IF(AD34=Цены!$H$30,Цены!$L$30,IF(AD34=Цены!$H$31,Цены!$L$31,IF(AD34=Цены!$H$32,Цены!$L$32,IF(AD34=Цены!$H$33,Цены!$L$33,IF(AD34=Цены!$H$34,Цены!$L$34,IF(AD34=Цены!$H$35,Цены!$L$35,IF(AD34=Цены!$H$36,Цены!$L$36,IF(AD34=Цены!$H$37,Цены!$L$37,IF(AD34=Цены!$H$38,Цены!$L$38,IF(AD34=Цены!$H$39,Цены!$L$39,IF(AD34=Цены!$H$40,Цены!$L$40,IF(AD34=Цены!$H$41,Цены!$L$41,IF(AD34=Цены!$H$42,Цены!$L$42,IF(AD34=Цены!$H$43,Цены!$L$43,IF(AD34=Цены!$H$44,Цены!$L$44,IF(AD34=Цены!$H$45,Цены!$L$45,IF(AD34=Цены!$H$46,Цены!$L$46,IF(AD34=Цены!$H$47,Цены!$L$47,IF(AD34=Цены!$H$48,Цены!$L$48,IF(AD34=Цены!$H$49,Цены!$L$49,IF(AD34=Цены!$H$50,Цены!$L$50,IF(AD34=Цены!$H$51,Цены!$L$51,IF(AD34=Цены!$H$52,Цены!$L$52,IF(AD34=Цены!$H$53,Цены!$L$53,IF(AD34=Цены!$H$54,Цены!$L$54,IF(AD34=Цены!$H$55,Цены!$L$55))))))))))))))))))))))))))))))))))))))))))))))))))))))</f>
        <v>1.1499999999999999</v>
      </c>
      <c r="AG34" s="311"/>
      <c r="AH34" s="69">
        <f>IF(AD34=Цены!$H$3,Цены!$K$3,IF(AD34=Цены!$H$4,Цены!$K$4,IF(AD34=Цены!$H$5,Цены!$K$5,IF(AD34=Цены!$H$6,Цены!$K$6,IF(AD34=Цены!$H$7,Цены!$K$7,IF(AD34=Цены!$H$8,Цены!$K$8,IF(AD34=Цены!$H$9,Цены!$K$9,IF(AD34=Цены!$H$10,Цены!$K$10,IF(AD34=Цены!$H$11,Цены!$K$11,IF(AD34=Цены!$H$12,Цены!$K$12,IF(AD34=Цены!$H$13,Цены!$K$13,IF(AD34=Цены!$H$14,Цены!$K$14,IF(AD34=Цены!$H$14,Цены!$K$14,IF(AD34=Цены!$H$15,Цены!$K$15,IF(AD34=Цены!$H$16,Цены!$K$16,IF(AD34=Цены!$H$17,Цены!$K$17,IF(AD34=Цены!$H$18,Цены!$K$18,IF(AD34=Цены!$H$19,Цены!$K$19,IF(AD34=Цены!$H$20,Цены!$K$20,IF(AD34=Цены!$H$21,Цены!$K$21,IF(AD34=Цены!$H$22,Цены!$K$22,IF(AD34=Цены!$H$23,Цены!$K$23,IF(AD34=Цены!$H$24,Цены!$K$24,IF(AD34=Цены!$H$25,Цены!$K$25,IF(AD34=Цены!$H$26,Цены!$K$26,IF(AD34=Цены!$H$27,Цены!$K$27,IF(AD34=Цены!$H$28,Цены!$K$28,IF(AD34=Цены!$H$29,Цены!$K$29,IF(AD34=Цены!$H$30,Цены!$K$30,IF(AD34=Цены!$H$31,Цены!$K$31,IF(AD34=Цены!$H$32,Цены!$K$32,IF(AD34=Цены!$H$33,Цены!$K$33,IF(AD34=Цены!$H$34,Цены!$K$34,IF(AD34=Цены!$H$35,Цены!$K$35,IF(AD34=Цены!$H$36,Цены!$K$36,IF(AD34=Цены!$H$37,Цены!$K$37,IF(AD34=Цены!$H$38,Цены!$K$38,IF(AD34=Цены!$H$39,Цены!$K$39,IF(AD34=Цены!$H$40,Цены!$K$40,IF(AD34=Цены!$H$41,Цены!$K$41,IF(AD34=Цены!$H$42,Цены!$K$42,IF(AD34=Цены!$H$43,Цены!$K$43,IF(AD34=Цены!$H$44,Цены!$K$44,IF(AD34=Цены!$H$45,Цены!$K$45,IF(AD34=Цены!$H$46,Цены!$K$46,IF(AD34=Цены!$H$47,Цены!$K$47,IF(AD34=Цены!$H$48,Цены!$K$48,IF(AD34=Цены!$H$49,Цены!$K$49,IF(AD34=Цены!$H$50,Цены!$K$50,IF(AD34=Цены!$H$51,Цены!$K$51,IF(AD34=Цены!$H$52,Цены!$K$52,IF(AD34=Цены!$H$53,Цены!$K$53,IF(AD34=Цены!$H$54,Цены!$K$54,IF(AD34=Цены!$H$55,Цены!$K$55))))))))))))))))))))))))))))))))))))))))))))))))))))))</f>
        <v>400</v>
      </c>
      <c r="AI34" s="265"/>
      <c r="AJ34" s="265"/>
      <c r="AK34" s="272"/>
      <c r="AL34" s="273"/>
      <c r="AM34" s="273"/>
      <c r="AN34" s="268"/>
      <c r="AO34" s="312"/>
      <c r="AP34" s="275"/>
      <c r="AQ34" s="211" t="s">
        <v>179</v>
      </c>
      <c r="AR34" s="131">
        <v>1</v>
      </c>
      <c r="AS34" s="80">
        <f>IF(AQ34=Цены!$H$3,Цены!$L$3,IF(AQ34=Цены!$H$4,Цены!$L$4,IF(AQ34=Цены!$H$5,Цены!$L$5,IF(AQ34=Цены!$H$6,Цены!$L$6,IF(AQ34=Цены!$H$7,Цены!$L$7,IF(AQ34=Цены!$H$8,Цены!$L$8,IF(AQ34=Цены!$H$9,Цены!$L$9,IF(AQ34=Цены!$H$10,Цены!$L$10,IF(AQ34=Цены!$H$11,Цены!$L$11,IF(AQ34=Цены!$H$12,Цены!$L$12,IF(AQ34=Цены!$H$13,Цены!$L$13,IF(AQ34=Цены!$H$14,Цены!$L$14,IF(AQ34=Цены!$H$14,Цены!$L$14,IF(AQ34=Цены!$H$15,Цены!$L$15,IF(AQ34=Цены!$H$16,Цены!$L$16,IF(AQ34=Цены!$H$17,Цены!$L$17,IF(AQ34=Цены!$H$18,Цены!$L$18,IF(AQ34=Цены!$H$19,Цены!$L$19,IF(AQ34=Цены!$H$20,Цены!$L$20,IF(AQ34=Цены!$H$21,Цены!$L$21,IF(AQ34=Цены!$H$22,Цены!$L$22,IF(AQ34=Цены!$H$23,Цены!$L$23,IF(AQ34=Цены!$H$24,Цены!$L$24,IF(AQ34=Цены!$H$25,Цены!$L$25,IF(AQ34=Цены!$H$26,Цены!$L$26,IF(AQ34=Цены!$H$27,Цены!$L$27,IF(AQ34=Цены!$H$28,Цены!$L$28,IF(AQ34=Цены!$H$29,Цены!$L$29,IF(AQ34=Цены!$H$30,Цены!$L$30,IF(AQ34=Цены!$H$31,Цены!$L$31,IF(AQ34=Цены!$H$32,Цены!$L$32,IF(AQ34=Цены!$H$33,Цены!$L$33,IF(AQ34=Цены!$H$34,Цены!$L$34,IF(AQ34=Цены!$H$35,Цены!$L$35,IF(AQ34=Цены!$H$36,Цены!$L$36,IF(AQ34=Цены!$H$37,Цены!$L$37,IF(AQ34=Цены!$H$38,Цены!$L$38,IF(AQ34=Цены!$H$39,Цены!$L$39,IF(AQ34=Цены!$H$40,Цены!$L$40,IF(AQ34=Цены!$H$41,Цены!$L$41,IF(AQ34=Цены!$H$42,Цены!$L$42,IF(AQ34=Цены!$H$43,Цены!$L$43,IF(AQ34=Цены!$H$44,Цены!$L$44,IF(AQ34=Цены!$H$45,Цены!$L$45,IF(AQ34=Цены!$H$46,Цены!$L$46,IF(AQ34=Цены!$H$47,Цены!$L$47,IF(AQ34=Цены!$H$48,Цены!$L$48,IF(AQ34=Цены!$H$49,Цены!$L$49,IF(AQ34=Цены!$H$50,Цены!$L$50,IF(AQ34=Цены!$H$51,Цены!$L$51,IF(AQ34=Цены!$H$52,Цены!$L$52,IF(AQ34=Цены!$H$53,Цены!$L$53,IF(AQ34=Цены!$H$54,Цены!$L$54,IF(AQ34=Цены!$H$55,Цены!$L$55))))))))))))))))))))))))))))))))))))))))))))))))))))))</f>
        <v>0</v>
      </c>
      <c r="AT34" s="271"/>
      <c r="AU34" s="81">
        <f>IF(AQ34=Цены!$H$3,Цены!$K$3,IF(AQ34=Цены!$H$4,Цены!$K$4,IF(AQ34=Цены!$H$5,Цены!$K$5,IF(AQ34=Цены!$H$6,Цены!$K$6,IF(AQ34=Цены!$H$7,Цены!$K$7,IF(AQ34=Цены!$H$8,Цены!$K$8,IF(AQ34=Цены!$H$9,Цены!$K$9,IF(AQ34=Цены!$H$10,Цены!$K$10,IF(AQ34=Цены!$H$11,Цены!$K$11,IF(AQ34=Цены!$H$12,Цены!$K$12,IF(AQ34=Цены!$H$13,Цены!$K$13,IF(AQ34=Цены!$H$14,Цены!$K$14,IF(AQ34=Цены!$H$14,Цены!$K$14,IF(AQ34=Цены!$H$15,Цены!$K$15,IF(AQ34=Цены!$H$16,Цены!$K$16,IF(AQ34=Цены!$H$17,Цены!$K$17,IF(AQ34=Цены!$H$18,Цены!$K$18,IF(AQ34=Цены!$H$19,Цены!$K$19,IF(AQ34=Цены!$H$20,Цены!$K$20,IF(AQ34=Цены!$H$21,Цены!$K$21,IF(AQ34=Цены!$H$22,Цены!$K$22,IF(AQ34=Цены!$H$23,Цены!$K$23,IF(AQ34=Цены!$H$24,Цены!$K$24,IF(AQ34=Цены!$H$25,Цены!$K$25,IF(AQ34=Цены!$H$26,Цены!$K$26,IF(AQ34=Цены!$H$27,Цены!$K$27,IF(AQ34=Цены!$H$28,Цены!$K$28,IF(AQ34=Цены!$H$29,Цены!$K$29,IF(AQ34=Цены!$H$30,Цены!$K$30,IF(AQ34=Цены!$H$31,Цены!$K$31,IF(AQ34=Цены!$H$32,Цены!$K$32,IF(AQ34=Цены!$H$33,Цены!$K$33,IF(AQ34=Цены!$H$34,Цены!$K$34,IF(AQ34=Цены!$H$35,Цены!$K$35,IF(AQ34=Цены!$H$36,Цены!$K$36,IF(AQ34=Цены!$H$37,Цены!$K$37,IF(AQ34=Цены!$H$38,Цены!$K$38,IF(AQ34=Цены!$H$39,Цены!$K$39,IF(AQ34=Цены!$H$40,Цены!$K$40,IF(AQ34=Цены!$H$41,Цены!$K$41,IF(AQ34=Цены!$H$42,Цены!$K$42,IF(AQ34=Цены!$H$43,Цены!$K$43,IF(AQ34=Цены!$H$44,Цены!$K$44,IF(AQ34=Цены!$H$45,Цены!$K$45,IF(AQ34=Цены!$H$46,Цены!$K$46,IF(AQ34=Цены!$H$47,Цены!$K$47,IF(AQ34=Цены!$H$48,Цены!$K$48,IF(AQ34=Цены!$H$49,Цены!$K$49,IF(AQ34=Цены!$H$50,Цены!$K$50,IF(AQ34=Цены!$H$51,Цены!$K$51,IF(AQ34=Цены!$H$52,Цены!$K$52,IF(AQ34=Цены!$H$53,Цены!$K$53,IF(AQ34=Цены!$H$54,Цены!$K$54,IF(AQ34=Цены!$H$55,Цены!$K$55))))))))))))))))))))))))))))))))))))))))))))))))))))))</f>
        <v>432</v>
      </c>
      <c r="AV34" s="265"/>
      <c r="AW34" s="265"/>
      <c r="AX34" s="272"/>
      <c r="AY34" s="273"/>
      <c r="AZ34" s="273"/>
      <c r="BA34" s="268"/>
      <c r="BB34" s="274"/>
      <c r="BC34" s="275"/>
      <c r="BD34" s="263"/>
      <c r="BE34" s="211"/>
      <c r="BF34" s="106"/>
      <c r="BG34" s="103" t="b">
        <f>IF(BE34=Цены!$H$3,Цены!$L$3,IF(BE34=Цены!$H$4,Цены!$L$4,IF(BE34=Цены!$H$5,Цены!$L$5,IF(BE34=Цены!$H$6,Цены!$L$6,IF(BE34=Цены!$H$7,Цены!$L$7,IF(BE34=Цены!$H$8,Цены!$L$8,IF(BE34=Цены!$H$9,Цены!$L$9,IF(BE34=Цены!$H$10,Цены!$L$10,IF(BE34=Цены!$H$11,Цены!$L$11,IF(BE34=Цены!$H$12,Цены!$L$12,IF(BE34=Цены!$H$13,Цены!$L$13,IF(BE34=Цены!$H$14,Цены!$L$14,IF(BE34=Цены!$H$14,Цены!$L$14,IF(BE34=Цены!$H$15,Цены!$L$15,IF(BE34=Цены!$H$16,Цены!$L$16,IF(BE34=Цены!$H$17,Цены!$L$17,IF(BE34=Цены!$H$18,Цены!$L$18,IF(BE34=Цены!$H$19,Цены!$L$19,IF(BE34=Цены!$H$20,Цены!$L$20,IF(BE34=Цены!$H$21,Цены!$L$21,IF(BE34=Цены!$H$22,Цены!$L$22,IF(BE34=Цены!$H$23,Цены!$L$23,IF(BE34=Цены!$H$24,Цены!$L$24,IF(BE34=Цены!$H$25,Цены!$L$25,IF(BE34=Цены!$H$26,Цены!$L$26,IF(BE34=Цены!$H$27,Цены!$L$27,IF(BE34=Цены!$H$28,Цены!$L$28,IF(BE34=Цены!$H$29,Цены!$L$29,IF(BE34=Цены!$H$30,Цены!$L$30,IF(BE34=Цены!$H$31,Цены!$L$31,IF(BE34=Цены!$H$32,Цены!$L$32,IF(BE34=Цены!$H$33,Цены!$L$33,IF(BE34=Цены!$H$34,Цены!$L$34,IF(BE34=Цены!$H$35,Цены!$L$35,IF(BE34=Цены!$H$36,Цены!$L$36,IF(BE34=Цены!$H$37,Цены!$L$37,IF(BE34=Цены!$H$38,Цены!$L$38,IF(BE34=Цены!$H$39,Цены!$L$39,IF(BE34=Цены!$H$40,Цены!$L$40,IF(BE34=Цены!$H$41,Цены!$L$41,IF(BE34=Цены!$H$42,Цены!$L$42,IF(BE34=Цены!$H$43,Цены!$L$43,IF(BE34=Цены!$H$44,Цены!$L$44,IF(BE34=Цены!$H$45,Цены!$L$45,IF(BE34=Цены!$H$46,Цены!$L$46,IF(BE34=Цены!$H$47,Цены!$L$47,IF(BE34=Цены!$H$48,Цены!$L$48,IF(BE34=Цены!$H$49,Цены!$L$49,IF(BE34=Цены!$H$50,Цены!$L$50,IF(BE34=Цены!$H$51,Цены!$L$51,IF(BE34=Цены!$H$52,Цены!$L$52,IF(BE34=Цены!$H$53,Цены!$L$53,IF(BE34=Цены!$H$54,Цены!$L$54,IF(BE34=Цены!$H$55,Цены!$L$55))))))))))))))))))))))))))))))))))))))))))))))))))))))</f>
        <v>0</v>
      </c>
      <c r="BH34" s="280"/>
      <c r="BI34" s="104" t="b">
        <f>IF(BE34=Цены!$H$3,Цены!$K$3,IF(BE34=Цены!$H$4,Цены!$K$4,IF(BE34=Цены!$H$5,Цены!$K$5,IF(BE34=Цены!$H$6,Цены!$K$6,IF(BE34=Цены!$H$7,Цены!$K$7,IF(BE34=Цены!$H$8,Цены!$K$8,IF(BE34=Цены!$H$9,Цены!$K$9,IF(BE34=Цены!$H$10,Цены!$K$10,IF(BE34=Цены!$H$11,Цены!$K$11,IF(BE34=Цены!$H$12,Цены!$K$12,IF(BE34=Цены!$H$13,Цены!$K$13,IF(BE34=Цены!$H$14,Цены!$K$14,IF(BE34=Цены!$H$14,Цены!$K$14,IF(BE34=Цены!$H$15,Цены!$K$15,IF(BE34=Цены!$H$16,Цены!$K$16,IF(BE34=Цены!$H$17,Цены!$K$17,IF(BE34=Цены!$H$18,Цены!$K$18,IF(BE34=Цены!$H$19,Цены!$K$19,IF(BE34=Цены!$H$20,Цены!$K$20,IF(BE34=Цены!$H$21,Цены!$K$21,IF(BE34=Цены!$H$22,Цены!$K$22,IF(BE34=Цены!$H$23,Цены!$K$23,IF(BE34=Цены!$H$24,Цены!$K$24,IF(BE34=Цены!$H$25,Цены!$K$25,IF(BE34=Цены!$H$26,Цены!$K$26,IF(BE34=Цены!$H$27,Цены!$K$27,IF(BE34=Цены!$H$28,Цены!$K$28,IF(BE34=Цены!$H$29,Цены!$K$29,IF(BE34=Цены!$H$30,Цены!$K$30,IF(BE34=Цены!$H$31,Цены!$K$31,IF(BE34=Цены!$H$32,Цены!$K$32,IF(BE34=Цены!$H$33,Цены!$K$33,IF(BE34=Цены!$H$34,Цены!$K$34,IF(BE34=Цены!$H$35,Цены!$K$35,IF(BE34=Цены!$H$36,Цены!$K$36,IF(BE34=Цены!$H$37,Цены!$K$37,IF(BE34=Цены!$H$38,Цены!$K$38,IF(BE34=Цены!$H$39,Цены!$K$39,IF(BE34=Цены!$H$40,Цены!$K$40,IF(BE34=Цены!$H$41,Цены!$K$41,IF(BE34=Цены!$H$42,Цены!$K$42,IF(BE34=Цены!$H$43,Цены!$K$43,IF(BE34=Цены!$H$44,Цены!$K$44,IF(BE34=Цены!$H$45,Цены!$K$45,IF(BE34=Цены!$H$46,Цены!$K$46,IF(BE34=Цены!$H$47,Цены!$K$47,IF(BE34=Цены!$H$48,Цены!$K$48,IF(BE34=Цены!$H$49,Цены!$K$49,IF(BE34=Цены!$H$50,Цены!$K$50,IF(BE34=Цены!$H$51,Цены!$K$51,IF(BE34=Цены!$H$52,Цены!$K$52,IF(BE34=Цены!$H$53,Цены!$K$53,IF(BE34=Цены!$H$54,Цены!$K$54,IF(BE34=Цены!$H$55,Цены!$K$55))))))))))))))))))))))))))))))))))))))))))))))))))))))</f>
        <v>0</v>
      </c>
      <c r="BJ34" s="265"/>
      <c r="BK34" s="265"/>
      <c r="BL34" s="272"/>
      <c r="BM34" s="273"/>
      <c r="BN34" s="273"/>
      <c r="BO34" s="268"/>
      <c r="BP34" s="281"/>
      <c r="BQ34" s="275"/>
      <c r="BR34" s="211"/>
      <c r="BS34" s="108"/>
      <c r="BT34" s="109" t="b">
        <f>IF(BR34=Цены!$H$3,Цены!$L$3,IF(BR34=Цены!$H$4,Цены!$L$4,IF(BR34=Цены!$H$5,Цены!$L$5,IF(BR34=Цены!$H$6,Цены!$L$6,IF(BR34=Цены!$H$7,Цены!$L$7,IF(BR34=Цены!$H$8,Цены!$L$8,IF(BR34=Цены!$H$9,Цены!$L$9,IF(BR34=Цены!$H$10,Цены!$L$10,IF(BR34=Цены!$H$11,Цены!$L$11,IF(BR34=Цены!$H$12,Цены!$L$12,IF(BR34=Цены!$H$13,Цены!$L$13,IF(BR34=Цены!$H$14,Цены!$L$14,IF(BR34=Цены!$H$14,Цены!$L$14,IF(BR34=Цены!$H$15,Цены!$L$15,IF(BR34=Цены!$H$16,Цены!$L$16,IF(BR34=Цены!$H$17,Цены!$L$17,IF(BR34=Цены!$H$18,Цены!$L$18,IF(BR34=Цены!$H$19,Цены!$L$19,IF(BR34=Цены!$H$20,Цены!$L$20,IF(BR34=Цены!$H$21,Цены!$L$21,IF(BR34=Цены!$H$22,Цены!$L$22,IF(BR34=Цены!$H$23,Цены!$L$23,IF(BR34=Цены!$H$24,Цены!$L$24,IF(BR34=Цены!$H$25,Цены!$L$25,IF(BR34=Цены!$H$26,Цены!$L$26,IF(BR34=Цены!$H$27,Цены!$L$27,IF(BR34=Цены!$H$28,Цены!$L$28,IF(BR34=Цены!$H$29,Цены!$L$29,IF(BR34=Цены!$H$30,Цены!$L$30,IF(BR34=Цены!$H$31,Цены!$L$31,IF(BR34=Цены!$H$32,Цены!$L$32,IF(BR34=Цены!$H$33,Цены!$L$33,IF(BR34=Цены!$H$34,Цены!$L$34,IF(BR34=Цены!$H$35,Цены!$L$35,IF(BR34=Цены!$H$36,Цены!$L$36,IF(BR34=Цены!$H$37,Цены!$L$37,IF(BR34=Цены!$H$38,Цены!$L$38,IF(BR34=Цены!$H$39,Цены!$L$39,IF(BR34=Цены!$H$40,Цены!$L$40,IF(BR34=Цены!$H$41,Цены!$L$41,IF(BR34=Цены!$H$42,Цены!$L$42,IF(BR34=Цены!$H$43,Цены!$L$43,IF(BR34=Цены!$H$44,Цены!$L$44,IF(BR34=Цены!$H$45,Цены!$L$45,IF(BR34=Цены!$H$46,Цены!$L$46,IF(BR34=Цены!$H$47,Цены!$L$47,IF(BR34=Цены!$H$48,Цены!$L$48,IF(BR34=Цены!$H$49,Цены!$L$49,IF(BR34=Цены!$H$50,Цены!$L$50,IF(BR34=Цены!$H$51,Цены!$L$51,IF(BR34=Цены!$H$52,Цены!$L$52,IF(BR34=Цены!$H$53,Цены!$L$53,IF(BR34=Цены!$H$54,Цены!$L$54,IF(BR34=Цены!$H$55,Цены!$L$55))))))))))))))))))))))))))))))))))))))))))))))))))))))</f>
        <v>0</v>
      </c>
      <c r="BU34" s="284"/>
      <c r="BV34" s="110" t="b">
        <f>IF(BR34=Цены!$H$3,Цены!$K$3,IF(BR34=Цены!$H$4,Цены!$K$4,IF(BR34=Цены!$H$5,Цены!$K$5,IF(BR34=Цены!$H$6,Цены!$K$6,IF(BR34=Цены!$H$7,Цены!$K$7,IF(BR34=Цены!$H$8,Цены!$K$8,IF(BR34=Цены!$H$9,Цены!$K$9,IF(BR34=Цены!$H$10,Цены!$K$10,IF(BR34=Цены!$H$11,Цены!$K$11,IF(BR34=Цены!$H$12,Цены!$K$12,IF(BR34=Цены!$H$13,Цены!$K$13,IF(BR34=Цены!$H$14,Цены!$K$14,IF(BR34=Цены!$H$14,Цены!$K$14,IF(BR34=Цены!$H$15,Цены!$K$15,IF(BR34=Цены!$H$16,Цены!$K$16,IF(BR34=Цены!$H$17,Цены!$K$17,IF(BR34=Цены!$H$18,Цены!$K$18,IF(BR34=Цены!$H$19,Цены!$K$19,IF(BR34=Цены!$H$20,Цены!$K$20,IF(BR34=Цены!$H$21,Цены!$K$21,IF(BR34=Цены!$H$22,Цены!$K$22,IF(BR34=Цены!$H$23,Цены!$K$23,IF(BR34=Цены!$H$24,Цены!$K$24,IF(BR34=Цены!$H$25,Цены!$K$25,IF(BR34=Цены!$H$26,Цены!$K$26,IF(BR34=Цены!$H$27,Цены!$K$27,IF(BR34=Цены!$H$28,Цены!$K$28,IF(BR34=Цены!$H$29,Цены!$K$29,IF(BR34=Цены!$H$30,Цены!$K$30,IF(BR34=Цены!$H$31,Цены!$K$31,IF(BR34=Цены!$H$32,Цены!$K$32,IF(BR34=Цены!$H$33,Цены!$K$33,IF(BR34=Цены!$H$34,Цены!$K$34,IF(BR34=Цены!$H$35,Цены!$K$35,IF(BR34=Цены!$H$36,Цены!$K$36,IF(BR34=Цены!$H$37,Цены!$K$37,IF(BR34=Цены!$H$38,Цены!$K$38,IF(BR34=Цены!$H$39,Цены!$K$39,IF(BR34=Цены!$H$40,Цены!$K$40,IF(BR34=Цены!$H$41,Цены!$K$41,IF(BR34=Цены!$H$42,Цены!$K$42,IF(BR34=Цены!$H$43,Цены!$K$43,IF(BR34=Цены!$H$44,Цены!$K$44,IF(BR34=Цены!$H$45,Цены!$K$45,IF(BR34=Цены!$H$46,Цены!$K$46,IF(BR34=Цены!$H$47,Цены!$K$47,IF(BR34=Цены!$H$48,Цены!$K$48,IF(BR34=Цены!$H$49,Цены!$K$49,IF(BR34=Цены!$H$50,Цены!$K$50,IF(BR34=Цены!$H$51,Цены!$K$51,IF(BR34=Цены!$H$52,Цены!$K$52,IF(BR34=Цены!$H$53,Цены!$K$53,IF(BR34=Цены!$H$54,Цены!$K$54,IF(BR34=Цены!$H$55,Цены!$K$55))))))))))))))))))))))))))))))))))))))))))))))))))))))</f>
        <v>0</v>
      </c>
      <c r="BW34" s="265"/>
      <c r="BX34" s="265"/>
      <c r="BY34" s="272"/>
      <c r="BZ34" s="273"/>
      <c r="CA34" s="273"/>
      <c r="CB34" s="268"/>
      <c r="CC34" s="285"/>
      <c r="CD34" s="275"/>
      <c r="CE34" s="183" t="s">
        <v>121</v>
      </c>
      <c r="CF34" s="112">
        <v>2</v>
      </c>
      <c r="CG34" s="113">
        <f>IF(CE34=Цены!$H$3,Цены!$L$3,IF(CE34=Цены!$H$4,Цены!$L$4,IF(CE34=Цены!$H$5,Цены!$L$5,IF(CE34=Цены!$H$6,Цены!$L$6,IF(CE34=Цены!$H$7,Цены!$L$7,IF(CE34=Цены!$H$8,Цены!$L$8,IF(CE34=Цены!$H$9,Цены!$L$9,IF(CE34=Цены!$H$10,Цены!$L$10,IF(CE34=Цены!$H$11,Цены!$L$11,IF(CE34=Цены!$H$12,Цены!$L$12,IF(CE34=Цены!$H$13,Цены!$L$13,IF(CE34=Цены!$H$14,Цены!$L$14,IF(CE34=Цены!$H$14,Цены!$L$14,IF(CE34=Цены!$H$15,Цены!$L$15,IF(CE34=Цены!$H$16,Цены!$L$16,IF(CE34=Цены!$H$17,Цены!$L$17,IF(CE34=Цены!$H$18,Цены!$L$18,IF(CE34=Цены!$H$19,Цены!$L$19,IF(CE34=Цены!$H$20,Цены!$L$20,IF(CE34=Цены!$H$21,Цены!$L$21,IF(CE34=Цены!$H$22,Цены!$L$22,IF(CE34=Цены!$H$23,Цены!$L$23,IF(CE34=Цены!$H$24,Цены!$L$24,IF(CE34=Цены!$H$25,Цены!$L$25,IF(CE34=Цены!$H$26,Цены!$L$26,IF(CE34=Цены!$H$27,Цены!$L$27,IF(CE34=Цены!$H$28,Цены!$L$28,IF(CE34=Цены!$H$29,Цены!$L$29,IF(CE34=Цены!$H$30,Цены!$L$30,IF(CE34=Цены!$H$31,Цены!$L$31,IF(CE34=Цены!$H$32,Цены!$L$32,IF(CE34=Цены!$H$33,Цены!$L$33,IF(CE34=Цены!$H$34,Цены!$L$34,IF(CE34=Цены!$H$35,Цены!$L$35,IF(CE34=Цены!$H$36,Цены!$L$36,IF(CE34=Цены!$H$37,Цены!$L$37,IF(CE34=Цены!$H$38,Цены!$L$38,IF(CE34=Цены!$H$39,Цены!$L$39,IF(CE34=Цены!$H$40,Цены!$L$40,IF(CE34=Цены!$H$41,Цены!$L$41,IF(CE34=Цены!$H$42,Цены!$L$42,IF(CE34=Цены!$H$43,Цены!$L$43,IF(CE34=Цены!$H$44,Цены!$L$44,IF(CE34=Цены!$H$45,Цены!$L$45,IF(CE34=Цены!$H$46,Цены!$L$46,IF(CE34=Цены!$H$47,Цены!$L$47,IF(CE34=Цены!$H$48,Цены!$L$48,IF(CE34=Цены!$H$49,Цены!$L$49,IF(CE34=Цены!$H$50,Цены!$L$50,IF(CE34=Цены!$H$51,Цены!$L$51,IF(CE34=Цены!$H$52,Цены!$L$52,IF(CE34=Цены!$H$53,Цены!$L$53,IF(CE34=Цены!$H$54,Цены!$L$54,IF(CE34=Цены!$H$55,Цены!$L$55))))))))))))))))))))))))))))))))))))))))))))))))))))))</f>
        <v>1.32E-2</v>
      </c>
      <c r="CH34" s="282"/>
      <c r="CI34" s="114">
        <f>IF(CE34=Цены!$H$3,Цены!$K$3,IF(CE34=Цены!$H$4,Цены!$K$4,IF(CE34=Цены!$H$5,Цены!$K$5,IF(CE34=Цены!$H$6,Цены!$K$6,IF(CE34=Цены!$H$7,Цены!$K$7,IF(CE34=Цены!$H$8,Цены!$K$8,IF(CE34=Цены!$H$9,Цены!$K$9,IF(CE34=Цены!$H$10,Цены!$K$10,IF(CE34=Цены!$H$11,Цены!$K$11,IF(CE34=Цены!$H$12,Цены!$K$12,IF(CE34=Цены!$H$13,Цены!$K$13,IF(CE34=Цены!$H$14,Цены!$K$14,IF(CE34=Цены!$H$14,Цены!$K$14,IF(CE34=Цены!$H$15,Цены!$K$15,IF(CE34=Цены!$H$16,Цены!$K$16,IF(CE34=Цены!$H$17,Цены!$K$17,IF(CE34=Цены!$H$18,Цены!$K$18,IF(CE34=Цены!$H$19,Цены!$K$19,IF(CE34=Цены!$H$20,Цены!$K$20,IF(CE34=Цены!$H$21,Цены!$K$21,IF(CE34=Цены!$H$22,Цены!$K$22,IF(CE34=Цены!$H$23,Цены!$K$23,IF(CE34=Цены!$H$24,Цены!$K$24,IF(CE34=Цены!$H$25,Цены!$K$25,IF(CE34=Цены!$H$26,Цены!$K$26,IF(CE34=Цены!$H$27,Цены!$K$27,IF(CE34=Цены!$H$28,Цены!$K$28,IF(CE34=Цены!$H$29,Цены!$K$29,IF(CE34=Цены!$H$30,Цены!$K$30,IF(CE34=Цены!$H$31,Цены!$K$31,IF(CE34=Цены!$H$32,Цены!$K$32,IF(CE34=Цены!$H$33,Цены!$K$33,IF(CE34=Цены!$H$34,Цены!$K$34,IF(CE34=Цены!$H$35,Цены!$K$35,IF(CE34=Цены!$H$36,Цены!$K$36,IF(CE34=Цены!$H$37,Цены!$K$37,IF(CE34=Цены!$H$38,Цены!$K$38,IF(CE34=Цены!$H$39,Цены!$K$39,IF(CE34=Цены!$H$40,Цены!$K$40,IF(CE34=Цены!$H$41,Цены!$K$41,IF(CE34=Цены!$H$42,Цены!$K$42,IF(CE34=Цены!$H$43,Цены!$K$43,IF(CE34=Цены!$H$44,Цены!$K$44,IF(CE34=Цены!$H$45,Цены!$K$45,IF(CE34=Цены!$H$46,Цены!$K$46,IF(CE34=Цены!$H$47,Цены!$K$47,IF(CE34=Цены!$H$48,Цены!$K$48,IF(CE34=Цены!$H$49,Цены!$K$49,IF(CE34=Цены!$H$50,Цены!$K$50,IF(CE34=Цены!$H$51,Цены!$K$51,IF(CE34=Цены!$H$52,Цены!$K$52,IF(CE34=Цены!$H$53,Цены!$K$53,IF(CE34=Цены!$H$54,Цены!$K$54,IF(CE34=Цены!$H$55,Цены!$K$55))))))))))))))))))))))))))))))))))))))))))))))))))))))</f>
        <v>54</v>
      </c>
      <c r="CJ34" s="265"/>
      <c r="CK34" s="265"/>
      <c r="CL34" s="272"/>
      <c r="CM34" s="273"/>
      <c r="CN34" s="273"/>
      <c r="CO34" s="268"/>
      <c r="CP34" s="283"/>
      <c r="CQ34" s="275"/>
    </row>
    <row r="35" spans="1:95" x14ac:dyDescent="0.25">
      <c r="A35" s="352" t="s">
        <v>171</v>
      </c>
      <c r="B35" s="265" t="s">
        <v>112</v>
      </c>
      <c r="C35" s="265" t="s">
        <v>113</v>
      </c>
      <c r="D35" s="175" t="s">
        <v>166</v>
      </c>
      <c r="E35" s="167">
        <v>9</v>
      </c>
      <c r="F35" s="27">
        <f>IF(D35=Цены!$H$3,Цены!$L$3,IF(D35=Цены!$H$4,Цены!$L$4,IF(D35=Цены!$H$5,Цены!$L$5,IF(D35=Цены!$H$6,Цены!$L$6,IF(D35=Цены!$H$7,Цены!$L$7,IF(D35=Цены!$H$8,Цены!$L$8,IF(D35=Цены!$H$9,Цены!$L$9,IF(D35=Цены!$H$10,Цены!$L$10,IF(D35=Цены!$H$11,Цены!$L$11,IF(D35=Цены!$H$12,Цены!$L$12,IF(D35=Цены!$H$13,Цены!$L$13,IF(D35=Цены!$H$14,Цены!$L$14,IF(D35=Цены!$H$14,Цены!$L$14,IF(D35=Цены!$H$15,Цены!$L$15,IF(D35=Цены!$H$16,Цены!$L$16,IF(D35=Цены!$H$17,Цены!$L$17,IF(D35=Цены!$H$18,Цены!$L$18,IF(D35=Цены!$H$19,Цены!$L$19,IF(D35=Цены!$H$20,Цены!$L$20,IF(D35=Цены!$H$21,Цены!$L$21,IF(D35=Цены!$H$22,Цены!$L$22,IF(D35=Цены!$H$23,Цены!$L$23,IF(D35=Цены!$H$24,Цены!$L$24,IF(D35=Цены!$H$25,Цены!$L$25,IF(D35=Цены!$H$26,Цены!$L$26,IF(D35=Цены!$H$27,Цены!$L$27,IF(D35=Цены!$H$28,Цены!$L$28,IF(D35=Цены!$H$29,Цены!$L$29,IF(D35=Цены!$H$30,Цены!$L$30,IF(D35=Цены!$H$31,Цены!$L$31,IF(D35=Цены!$H$32,Цены!$L$32,IF(D35=Цены!$H$33,Цены!$L$33,IF(D35=Цены!$H$34,Цены!$L$34,IF(D35=Цены!$H$35,Цены!$L$35,IF(D35=Цены!$H$36,Цены!$L$36,IF(D35=Цены!$H$37,Цены!$L$37,IF(D35=Цены!$H$38,Цены!$L$38,IF(D35=Цены!$H$39,Цены!$L$39,IF(D35=Цены!$H$40,Цены!$L$40,IF(D35=Цены!$H$41,Цены!$L$41,IF(D35=Цены!$H$42,Цены!$L$42,IF(D35=Цены!$H$43,Цены!$L$43,IF(D35=Цены!$H$44,Цены!$L$44,IF(D35=Цены!$H$45,Цены!$L$45,IF(D35=Цены!$H$46,Цены!$L$46,IF(D35=Цены!$H$47,Цены!$L$47,IF(D35=Цены!$H$48,Цены!$L$48,IF(D35=Цены!$H$49,Цены!$L$49,IF(D35=Цены!$H$50,Цены!$L$50,IF(D35=Цены!$H$51,Цены!$L$51,IF(D35=Цены!$H$52,Цены!$L$52,IF(D35=Цены!$H$53,Цены!$L$53,IF(D35=Цены!$H$54,Цены!$L$54,IF(D35=Цены!$H$55,Цены!$L$55))))))))))))))))))))))))))))))))))))))))))))))))))))))</f>
        <v>1.23</v>
      </c>
      <c r="G35" s="309">
        <f>E35*F35+E36*F36+E37*F37+E38*F38</f>
        <v>13.036400000000002</v>
      </c>
      <c r="H35" s="28">
        <f>IF(D35=Цены!$H$3,Цены!$K$3,IF(D35=Цены!$H$4,Цены!$K$4,IF(D35=Цены!$H$5,Цены!$K$5,IF(D35=Цены!$H$6,Цены!$K$6,IF(D35=Цены!$H$7,Цены!$K$7,IF(D35=Цены!$H$8,Цены!$K$8,IF(D35=Цены!$H$9,Цены!$K$9,IF(D35=Цены!$H$10,Цены!$K$10,IF(D35=Цены!$H$11,Цены!$K$11,IF(D35=Цены!$H$12,Цены!$K$12,IF(D35=Цены!$H$13,Цены!$K$13,IF(D35=Цены!$H$14,Цены!$K$14,IF(D35=Цены!$H$14,Цены!$K$14,IF(D35=Цены!$H$15,Цены!$K$15,IF(D35=Цены!$H$16,Цены!$K$16,IF(D35=Цены!$H$17,Цены!$K$17,IF(D35=Цены!$H$18,Цены!$K$18,IF(D35=Цены!$H$19,Цены!$K$19,IF(D35=Цены!$H$20,Цены!$K$20,IF(D35=Цены!$H$21,Цены!$K$21,IF(D35=Цены!$H$22,Цены!$K$22,IF(D35=Цены!$H$23,Цены!$K$23,IF(D35=Цены!$H$24,Цены!$K$24,IF(D35=Цены!$H$25,Цены!$K$25,IF(D35=Цены!$H$26,Цены!$K$26,IF(D35=Цены!$H$27,Цены!$K$27,IF(D35=Цены!$H$28,Цены!$K$28,IF(D35=Цены!$H$29,Цены!$K$29,IF(D35=Цены!$H$30,Цены!$K$30,IF(D35=Цены!$H$31,Цены!$K$31,IF(D35=Цены!$H$32,Цены!$K$32,IF(D35=Цены!$H$33,Цены!$K$33,IF(D35=Цены!$H$34,Цены!$K$34,IF(D35=Цены!$H$35,Цены!$K$35,IF(D35=Цены!$H$36,Цены!$K$36,IF(D35=Цены!$H$37,Цены!$K$37,IF(D35=Цены!$H$38,Цены!$K$38,IF(D35=Цены!$H$39,Цены!$K$39,IF(D35=Цены!$H$40,Цены!$K$40,IF(D35=Цены!$H$41,Цены!$K$41,IF(D35=Цены!$H$42,Цены!$K$42,IF(D35=Цены!$H$43,Цены!$K$43,IF(D35=Цены!$H$44,Цены!$K$44,IF(D35=Цены!$H$45,Цены!$K$45,IF(D35=Цены!$H$46,Цены!$K$46,IF(D35=Цены!$H$47,Цены!$K$47,IF(D35=Цены!$H$48,Цены!$K$48,IF(D35=Цены!$H$49,Цены!$K$49,IF(D35=Цены!$H$50,Цены!$K$50,IF(D35=Цены!$H$51,Цены!$K$51,IF(D35=Цены!$H$52,Цены!$K$52,IF(D35=Цены!$H$53,Цены!$K$53,IF(D35=Цены!$H$54,Цены!$K$54,IF(D35=Цены!$H$55,Цены!$K$55))))))))))))))))))))))))))))))))))))))))))))))))))))))</f>
        <v>255</v>
      </c>
      <c r="I35" s="265">
        <v>4</v>
      </c>
      <c r="J35" s="265">
        <v>800</v>
      </c>
      <c r="K35" s="266">
        <f t="shared" ref="K35" si="54">E35*H35+E36*H36+E37*H37+E38*H38</f>
        <v>5795</v>
      </c>
      <c r="L35" s="267">
        <v>6000</v>
      </c>
      <c r="M35" s="266">
        <f t="shared" ref="M35" si="55">K35+L35</f>
        <v>11795</v>
      </c>
      <c r="N35" s="268">
        <v>8000</v>
      </c>
      <c r="O35" s="310">
        <f>N35/M35*100</f>
        <v>67.825349724459514</v>
      </c>
      <c r="P35" s="270">
        <f>MROUND(M35+N35,500)</f>
        <v>20000</v>
      </c>
      <c r="Q35" s="172" t="s">
        <v>165</v>
      </c>
      <c r="R35" s="30">
        <v>8</v>
      </c>
      <c r="S35" s="27">
        <f>IF(Q35=Цены!$H$3,Цены!$L$3,IF(Q35=Цены!$H$4,Цены!$L$4,IF(Q35=Цены!$H$5,Цены!$L$5,IF(Q35=Цены!$H$6,Цены!$L$6,IF(Q35=Цены!$H$7,Цены!$L$7,IF(Q35=Цены!$H$8,Цены!$L$8,IF(Q35=Цены!$H$9,Цены!$L$9,IF(Q35=Цены!$H$10,Цены!$L$10,IF(Q35=Цены!$H$11,Цены!$L$11,IF(Q35=Цены!$H$12,Цены!$L$12,IF(Q35=Цены!$H$13,Цены!$L$13,IF(Q35=Цены!$H$14,Цены!$L$14,IF(Q35=Цены!$H$14,Цены!$L$14,IF(Q35=Цены!$H$15,Цены!$L$15,IF(Q35=Цены!$H$16,Цены!$L$16,IF(Q35=Цены!$H$17,Цены!$L$17,IF(Q35=Цены!$H$18,Цены!$L$18,IF(Q35=Цены!$H$19,Цены!$L$19,IF(Q35=Цены!$H$20,Цены!$L$20,IF(Q35=Цены!$H$21,Цены!$L$21,IF(Q35=Цены!$H$22,Цены!$L$22,IF(Q35=Цены!$H$23,Цены!$L$23,IF(Q35=Цены!$H$24,Цены!$L$24,IF(Q35=Цены!$H$25,Цены!$L$25,IF(Q35=Цены!$H$26,Цены!$L$26,IF(Q35=Цены!$H$27,Цены!$L$27,IF(Q35=Цены!$H$28,Цены!$L$28,IF(Q35=Цены!$H$29,Цены!$L$29,IF(Q35=Цены!$H$30,Цены!$L$30,IF(Q35=Цены!$H$31,Цены!$L$31,IF(Q35=Цены!$H$32,Цены!$L$32,IF(Q35=Цены!$H$33,Цены!$L$33,IF(Q35=Цены!$H$34,Цены!$L$34,IF(Q35=Цены!$H$35,Цены!$L$35,IF(Q35=Цены!$H$36,Цены!$L$36,IF(Q35=Цены!$H$37,Цены!$L$37,IF(Q35=Цены!$H$38,Цены!$L$38,IF(Q35=Цены!$H$39,Цены!$L$39,IF(Q35=Цены!$H$40,Цены!$L$40,IF(Q35=Цены!$H$41,Цены!$L$41,IF(Q35=Цены!$H$42,Цены!$L$42,IF(Q35=Цены!$H$43,Цены!$L$43,IF(Q35=Цены!$H$44,Цены!$L$44,IF(Q35=Цены!$H$45,Цены!$L$45,IF(Q35=Цены!$H$46,Цены!$L$46,IF(Q35=Цены!$H$47,Цены!$L$47,IF(Q35=Цены!$H$48,Цены!$L$48,IF(Q35=Цены!$H$49,Цены!$L$49,IF(Q35=Цены!$H$50,Цены!$L$50,IF(Q35=Цены!$H$51,Цены!$L$51,IF(Q35=Цены!$H$52,Цены!$L$52,IF(Q35=Цены!$H$53,Цены!$L$53,IF(Q35=Цены!$H$54,Цены!$L$54,IF(Q35=Цены!$H$55,Цены!$L$55))))))))))))))))))))))))))))))))))))))))))))))))))))))</f>
        <v>1.85</v>
      </c>
      <c r="T35" s="309">
        <f>R35*S35+R36*S36+R37*S37+R38*S38</f>
        <v>17.36</v>
      </c>
      <c r="U35" s="162">
        <f>IF(Q35=Цены!$H$3,Цены!$K$3,IF(Q35=Цены!$H$4,Цены!$K$4,IF(Q35=Цены!$H$5,Цены!$K$5,IF(Q35=Цены!$H$6,Цены!$K$6,IF(Q35=Цены!$H$7,Цены!$K$7,IF(Q35=Цены!$H$8,Цены!$K$8,IF(Q35=Цены!$H$9,Цены!$K$9,IF(Q35=Цены!$H$10,Цены!$K$10,IF(Q35=Цены!$H$11,Цены!$K$11,IF(Q35=Цены!$H$12,Цены!$K$12,IF(Q35=Цены!$H$13,Цены!$K$13,IF(Q35=Цены!$H$14,Цены!$K$14,IF(Q35=Цены!$H$14,Цены!$K$14,IF(Q35=Цены!$H$15,Цены!$K$15,IF(Q35=Цены!$H$16,Цены!$K$16,IF(Q35=Цены!$H$17,Цены!$K$17,IF(Q35=Цены!$H$18,Цены!$K$18,IF(Q35=Цены!$H$19,Цены!$K$19,IF(Q35=Цены!$H$20,Цены!$K$20,IF(Q35=Цены!$H$21,Цены!$K$21,IF(Q35=Цены!$H$22,Цены!$K$22,IF(Q35=Цены!$H$23,Цены!$K$23,IF(Q35=Цены!$H$24,Цены!$K$24,IF(Q35=Цены!$H$25,Цены!$K$25,IF(Q35=Цены!$H$26,Цены!$K$26,IF(Q35=Цены!$H$27,Цены!$K$27,IF(Q35=Цены!$H$28,Цены!$K$28,IF(Q35=Цены!$H$29,Цены!$K$29,IF(Q35=Цены!$H$30,Цены!$K$30,IF(Q35=Цены!$H$31,Цены!$K$31,IF(Q35=Цены!$H$32,Цены!$K$32,IF(Q35=Цены!$H$33,Цены!$K$33,IF(Q35=Цены!$H$34,Цены!$K$34,IF(Q35=Цены!$H$35,Цены!$K$35,IF(Q35=Цены!$H$36,Цены!$K$36,IF(Q35=Цены!$H$37,Цены!$K$37,IF(Q35=Цены!$H$38,Цены!$K$38,IF(Q35=Цены!$H$39,Цены!$K$39,IF(Q35=Цены!$H$40,Цены!$K$40,IF(Q35=Цены!$H$41,Цены!$K$41,IF(Q35=Цены!$H$42,Цены!$K$42,IF(Q35=Цены!$H$43,Цены!$K$43,IF(Q35=Цены!$H$44,Цены!$K$44,IF(Q35=Цены!$H$45,Цены!$K$45,IF(Q35=Цены!$H$46,Цены!$K$46,IF(Q35=Цены!$H$47,Цены!$K$47,IF(Q35=Цены!$H$48,Цены!$K$48,IF(Q35=Цены!$H$49,Цены!$K$49,IF(Q35=Цены!$H$50,Цены!$K$50,IF(Q35=Цены!$H$51,Цены!$K$51,IF(Q35=Цены!$H$52,Цены!$K$52,IF(Q35=Цены!$H$53,Цены!$K$53,IF(Q35=Цены!$H$54,Цены!$K$54,IF(Q35=Цены!$H$55,Цены!$K$55))))))))))))))))))))))))))))))))))))))))))))))))))))))</f>
        <v>318</v>
      </c>
      <c r="V35" s="265">
        <v>4</v>
      </c>
      <c r="W35" s="265">
        <v>800</v>
      </c>
      <c r="X35" s="266">
        <f>R35*U35+R36*U36+R37*U37+R38*U38</f>
        <v>3792</v>
      </c>
      <c r="Y35" s="267">
        <v>4000</v>
      </c>
      <c r="Z35" s="266">
        <f>X35+Y35</f>
        <v>7792</v>
      </c>
      <c r="AA35" s="319">
        <v>5000</v>
      </c>
      <c r="AB35" s="310">
        <f>AA35/Z35*100</f>
        <v>64.168377823408633</v>
      </c>
      <c r="AC35" s="270">
        <f>MROUND(Z35+AA35,500)</f>
        <v>13000</v>
      </c>
      <c r="AD35" s="172" t="s">
        <v>165</v>
      </c>
      <c r="AE35" s="128">
        <v>9</v>
      </c>
      <c r="AF35" s="27">
        <f>IF(AD35=Цены!$H$3,Цены!$L$3,IF(AD35=Цены!$H$4,Цены!$L$4,IF(AD35=Цены!$H$5,Цены!$L$5,IF(AD35=Цены!$H$6,Цены!$L$6,IF(AD35=Цены!$H$7,Цены!$L$7,IF(AD35=Цены!$H$8,Цены!$L$8,IF(AD35=Цены!$H$9,Цены!$L$9,IF(AD35=Цены!$H$10,Цены!$L$10,IF(AD35=Цены!$H$11,Цены!$L$11,IF(AD35=Цены!$H$12,Цены!$L$12,IF(AD35=Цены!$H$13,Цены!$L$13,IF(AD35=Цены!$H$14,Цены!$L$14,IF(AD35=Цены!$H$14,Цены!$L$14,IF(AD35=Цены!$H$15,Цены!$L$15,IF(AD35=Цены!$H$16,Цены!$L$16,IF(AD35=Цены!$H$17,Цены!$L$17,IF(AD35=Цены!$H$18,Цены!$L$18,IF(AD35=Цены!$H$19,Цены!$L$19,IF(AD35=Цены!$H$20,Цены!$L$20,IF(AD35=Цены!$H$21,Цены!$L$21,IF(AD35=Цены!$H$22,Цены!$L$22,IF(AD35=Цены!$H$23,Цены!$L$23,IF(AD35=Цены!$H$24,Цены!$L$24,IF(AD35=Цены!$H$25,Цены!$L$25,IF(AD35=Цены!$H$26,Цены!$L$26,IF(AD35=Цены!$H$27,Цены!$L$27,IF(AD35=Цены!$H$28,Цены!$L$28,IF(AD35=Цены!$H$29,Цены!$L$29,IF(AD35=Цены!$H$30,Цены!$L$30,IF(AD35=Цены!$H$31,Цены!$L$31,IF(AD35=Цены!$H$32,Цены!$L$32,IF(AD35=Цены!$H$33,Цены!$L$33,IF(AD35=Цены!$H$34,Цены!$L$34,IF(AD35=Цены!$H$35,Цены!$L$35,IF(AD35=Цены!$H$36,Цены!$L$36,IF(AD35=Цены!$H$37,Цены!$L$37,IF(AD35=Цены!$H$38,Цены!$L$38,IF(AD35=Цены!$H$39,Цены!$L$39,IF(AD35=Цены!$H$40,Цены!$L$40,IF(AD35=Цены!$H$41,Цены!$L$41,IF(AD35=Цены!$H$42,Цены!$L$42,IF(AD35=Цены!$H$43,Цены!$L$43,IF(AD35=Цены!$H$44,Цены!$L$44,IF(AD35=Цены!$H$45,Цены!$L$45,IF(AD35=Цены!$H$46,Цены!$L$46,IF(AD35=Цены!$H$47,Цены!$L$47,IF(AD35=Цены!$H$48,Цены!$L$48,IF(AD35=Цены!$H$49,Цены!$L$49,IF(AD35=Цены!$H$50,Цены!$L$50,IF(AD35=Цены!$H$51,Цены!$L$51,IF(AD35=Цены!$H$52,Цены!$L$52,IF(AD35=Цены!$H$53,Цены!$L$53,IF(AD35=Цены!$H$54,Цены!$L$54,IF(AD35=Цены!$H$55,Цены!$L$55))))))))))))))))))))))))))))))))))))))))))))))))))))))</f>
        <v>1.85</v>
      </c>
      <c r="AG35" s="309">
        <f>AE35*AF35+AE36*AF36+AE37*AF37+AE38*AF38</f>
        <v>36.200000000000003</v>
      </c>
      <c r="AH35" s="28">
        <f>IF(AD35=Цены!$H$3,Цены!$K$3,IF(AD35=Цены!$H$4,Цены!$K$4,IF(AD35=Цены!$H$5,Цены!$K$5,IF(AD35=Цены!$H$6,Цены!$K$6,IF(AD35=Цены!$H$7,Цены!$K$7,IF(AD35=Цены!$H$8,Цены!$K$8,IF(AD35=Цены!$H$9,Цены!$K$9,IF(AD35=Цены!$H$10,Цены!$K$10,IF(AD35=Цены!$H$11,Цены!$K$11,IF(AD35=Цены!$H$12,Цены!$K$12,IF(AD35=Цены!$H$13,Цены!$K$13,IF(AD35=Цены!$H$14,Цены!$K$14,IF(AD35=Цены!$H$14,Цены!$K$14,IF(AD35=Цены!$H$15,Цены!$K$15,IF(AD35=Цены!$H$16,Цены!$K$16,IF(AD35=Цены!$H$17,Цены!$K$17,IF(AD35=Цены!$H$18,Цены!$K$18,IF(AD35=Цены!$H$19,Цены!$K$19,IF(AD35=Цены!$H$20,Цены!$K$20,IF(AD35=Цены!$H$21,Цены!$K$21,IF(AD35=Цены!$H$22,Цены!$K$22,IF(AD35=Цены!$H$23,Цены!$K$23,IF(AD35=Цены!$H$24,Цены!$K$24,IF(AD35=Цены!$H$25,Цены!$K$25,IF(AD35=Цены!$H$26,Цены!$K$26,IF(AD35=Цены!$H$27,Цены!$K$27,IF(AD35=Цены!$H$28,Цены!$K$28,IF(AD35=Цены!$H$29,Цены!$K$29,IF(AD35=Цены!$H$30,Цены!$K$30,IF(AD35=Цены!$H$31,Цены!$K$31,IF(AD35=Цены!$H$32,Цены!$K$32,IF(AD35=Цены!$H$33,Цены!$K$33,IF(AD35=Цены!$H$34,Цены!$K$34,IF(AD35=Цены!$H$35,Цены!$K$35,IF(AD35=Цены!$H$36,Цены!$K$36,IF(AD35=Цены!$H$37,Цены!$K$37,IF(AD35=Цены!$H$38,Цены!$K$38,IF(AD35=Цены!$H$39,Цены!$K$39,IF(AD35=Цены!$H$40,Цены!$K$40,IF(AD35=Цены!$H$41,Цены!$K$41,IF(AD35=Цены!$H$42,Цены!$K$42,IF(AD35=Цены!$H$43,Цены!$K$43,IF(AD35=Цены!$H$44,Цены!$K$44,IF(AD35=Цены!$H$45,Цены!$K$45,IF(AD35=Цены!$H$46,Цены!$K$46,IF(AD35=Цены!$H$47,Цены!$K$47,IF(AD35=Цены!$H$48,Цены!$K$48,IF(AD35=Цены!$H$49,Цены!$K$49,IF(AD35=Цены!$H$50,Цены!$K$50,IF(AD35=Цены!$H$51,Цены!$K$51,IF(AD35=Цены!$H$52,Цены!$K$52,IF(AD35=Цены!$H$53,Цены!$K$53,IF(AD35=Цены!$H$54,Цены!$K$54,IF(AD35=Цены!$H$55,Цены!$K$55))))))))))))))))))))))))))))))))))))))))))))))))))))))</f>
        <v>318</v>
      </c>
      <c r="AI35" s="265">
        <v>6.5</v>
      </c>
      <c r="AJ35" s="265">
        <v>800</v>
      </c>
      <c r="AK35" s="266">
        <f>AE35*AH35+AE36*AH36+AE37*AH37+AE38*AH38</f>
        <v>8918</v>
      </c>
      <c r="AL35" s="267">
        <v>9000</v>
      </c>
      <c r="AM35" s="266">
        <f>AK35+AL35</f>
        <v>17918</v>
      </c>
      <c r="AN35" s="268">
        <v>10000</v>
      </c>
      <c r="AO35" s="310">
        <f>AN35/AM35*100</f>
        <v>55.809800200915284</v>
      </c>
      <c r="AP35" s="270">
        <f>MROUND(AM35+AN35,500)</f>
        <v>28000</v>
      </c>
      <c r="AQ35" s="209" t="s">
        <v>165</v>
      </c>
      <c r="AR35" s="129">
        <v>4</v>
      </c>
      <c r="AS35" s="33">
        <f>IF(AQ35=Цены!$H$3,Цены!$L$3,IF(AQ35=Цены!$H$4,Цены!$L$4,IF(AQ35=Цены!$H$5,Цены!$L$5,IF(AQ35=Цены!$H$6,Цены!$L$6,IF(AQ35=Цены!$H$7,Цены!$L$7,IF(AQ35=Цены!$H$8,Цены!$L$8,IF(AQ35=Цены!$H$9,Цены!$L$9,IF(AQ35=Цены!$H$10,Цены!$L$10,IF(AQ35=Цены!$H$11,Цены!$L$11,IF(AQ35=Цены!$H$12,Цены!$L$12,IF(AQ35=Цены!$H$13,Цены!$L$13,IF(AQ35=Цены!$H$14,Цены!$L$14,IF(AQ35=Цены!$H$14,Цены!$L$14,IF(AQ35=Цены!$H$15,Цены!$L$15,IF(AQ35=Цены!$H$16,Цены!$L$16,IF(AQ35=Цены!$H$17,Цены!$L$17,IF(AQ35=Цены!$H$18,Цены!$L$18,IF(AQ35=Цены!$H$19,Цены!$L$19,IF(AQ35=Цены!$H$20,Цены!$L$20,IF(AQ35=Цены!$H$21,Цены!$L$21,IF(AQ35=Цены!$H$22,Цены!$L$22,IF(AQ35=Цены!$H$23,Цены!$L$23,IF(AQ35=Цены!$H$24,Цены!$L$24,IF(AQ35=Цены!$H$25,Цены!$L$25,IF(AQ35=Цены!$H$26,Цены!$L$26,IF(AQ35=Цены!$H$27,Цены!$L$27,IF(AQ35=Цены!$H$28,Цены!$L$28,IF(AQ35=Цены!$H$29,Цены!$L$29,IF(AQ35=Цены!$H$30,Цены!$L$30,IF(AQ35=Цены!$H$31,Цены!$L$31,IF(AQ35=Цены!$H$32,Цены!$L$32,IF(AQ35=Цены!$H$33,Цены!$L$33,IF(AQ35=Цены!$H$34,Цены!$L$34,IF(AQ35=Цены!$H$35,Цены!$L$35,IF(AQ35=Цены!$H$36,Цены!$L$36,IF(AQ35=Цены!$H$37,Цены!$L$37,IF(AQ35=Цены!$H$38,Цены!$L$38,IF(AQ35=Цены!$H$39,Цены!$L$39,IF(AQ35=Цены!$H$40,Цены!$L$40,IF(AQ35=Цены!$H$41,Цены!$L$41,IF(AQ35=Цены!$H$42,Цены!$L$42,IF(AQ35=Цены!$H$43,Цены!$L$43,IF(AQ35=Цены!$H$44,Цены!$L$44,IF(AQ35=Цены!$H$45,Цены!$L$45,IF(AQ35=Цены!$H$46,Цены!$L$46,IF(AQ35=Цены!$H$47,Цены!$L$47,IF(AQ35=Цены!$H$48,Цены!$L$48,IF(AQ35=Цены!$H$49,Цены!$L$49,IF(AQ35=Цены!$H$50,Цены!$L$50,IF(AQ35=Цены!$H$51,Цены!$L$51,IF(AQ35=Цены!$H$52,Цены!$L$52,IF(AQ35=Цены!$H$53,Цены!$L$53,IF(AQ35=Цены!$H$54,Цены!$L$54,IF(AQ35=Цены!$H$55,Цены!$L$55))))))))))))))))))))))))))))))))))))))))))))))))))))))</f>
        <v>1.85</v>
      </c>
      <c r="AT35" s="276">
        <f>AR35*AS35+AR36*AS36+AR37*AS37+AR38*AS38</f>
        <v>7.9700000000000006</v>
      </c>
      <c r="AU35" s="34">
        <f>IF(AQ35=Цены!$H$3,Цены!$K$3,IF(AQ35=Цены!$H$4,Цены!$K$4,IF(AQ35=Цены!$H$5,Цены!$K$5,IF(AQ35=Цены!$H$6,Цены!$K$6,IF(AQ35=Цены!$H$7,Цены!$K$7,IF(AQ35=Цены!$H$8,Цены!$K$8,IF(AQ35=Цены!$H$9,Цены!$K$9,IF(AQ35=Цены!$H$10,Цены!$K$10,IF(AQ35=Цены!$H$11,Цены!$K$11,IF(AQ35=Цены!$H$12,Цены!$K$12,IF(AQ35=Цены!$H$13,Цены!$K$13,IF(AQ35=Цены!$H$14,Цены!$K$14,IF(AQ35=Цены!$H$14,Цены!$K$14,IF(AQ35=Цены!$H$15,Цены!$K$15,IF(AQ35=Цены!$H$16,Цены!$K$16,IF(AQ35=Цены!$H$17,Цены!$K$17,IF(AQ35=Цены!$H$18,Цены!$K$18,IF(AQ35=Цены!$H$19,Цены!$K$19,IF(AQ35=Цены!$H$20,Цены!$K$20,IF(AQ35=Цены!$H$21,Цены!$K$21,IF(AQ35=Цены!$H$22,Цены!$K$22,IF(AQ35=Цены!$H$23,Цены!$K$23,IF(AQ35=Цены!$H$24,Цены!$K$24,IF(AQ35=Цены!$H$25,Цены!$K$25,IF(AQ35=Цены!$H$26,Цены!$K$26,IF(AQ35=Цены!$H$27,Цены!$K$27,IF(AQ35=Цены!$H$28,Цены!$K$28,IF(AQ35=Цены!$H$29,Цены!$K$29,IF(AQ35=Цены!$H$30,Цены!$K$30,IF(AQ35=Цены!$H$31,Цены!$K$31,IF(AQ35=Цены!$H$32,Цены!$K$32,IF(AQ35=Цены!$H$33,Цены!$K$33,IF(AQ35=Цены!$H$34,Цены!$K$34,IF(AQ35=Цены!$H$35,Цены!$K$35,IF(AQ35=Цены!$H$36,Цены!$K$36,IF(AQ35=Цены!$H$37,Цены!$K$37,IF(AQ35=Цены!$H$38,Цены!$K$38,IF(AQ35=Цены!$H$39,Цены!$K$39,IF(AQ35=Цены!$H$40,Цены!$K$40,IF(AQ35=Цены!$H$41,Цены!$K$41,IF(AQ35=Цены!$H$42,Цены!$K$42,IF(AQ35=Цены!$H$43,Цены!$K$43,IF(AQ35=Цены!$H$44,Цены!$K$44,IF(AQ35=Цены!$H$45,Цены!$K$45,IF(AQ35=Цены!$H$46,Цены!$K$46,IF(AQ35=Цены!$H$47,Цены!$K$47,IF(AQ35=Цены!$H$48,Цены!$K$48,IF(AQ35=Цены!$H$49,Цены!$K$49,IF(AQ35=Цены!$H$50,Цены!$K$50,IF(AQ35=Цены!$H$51,Цены!$K$51,IF(AQ35=Цены!$H$52,Цены!$K$52,IF(AQ35=Цены!$H$53,Цены!$K$53,IF(AQ35=Цены!$H$54,Цены!$K$54,IF(AQ35=Цены!$H$55,Цены!$K$55))))))))))))))))))))))))))))))))))))))))))))))))))))))</f>
        <v>318</v>
      </c>
      <c r="AV35" s="265">
        <v>5.5</v>
      </c>
      <c r="AW35" s="265">
        <v>800</v>
      </c>
      <c r="AX35" s="266">
        <f>AR35*AU35+AR36*AU36+AR37*AU37+AR38*AU38</f>
        <v>2616</v>
      </c>
      <c r="AY35" s="267">
        <v>6000</v>
      </c>
      <c r="AZ35" s="266">
        <f>AX35+AY35</f>
        <v>8616</v>
      </c>
      <c r="BA35" s="268">
        <v>6000</v>
      </c>
      <c r="BB35" s="269">
        <f>BA35/AZ35*100</f>
        <v>69.637883008356553</v>
      </c>
      <c r="BC35" s="270">
        <f>MROUND(AZ35+BA35,500)</f>
        <v>14500</v>
      </c>
      <c r="BD35" s="258">
        <f>BC35+CQ35</f>
        <v>20500</v>
      </c>
      <c r="BE35" s="209" t="s">
        <v>166</v>
      </c>
      <c r="BF35" s="71">
        <v>5</v>
      </c>
      <c r="BG35" s="33">
        <f>IF(BE35=Цены!$H$3,Цены!$L$3,IF(BE35=Цены!$H$4,Цены!$L$4,IF(BE35=Цены!$H$5,Цены!$L$5,IF(BE35=Цены!$H$6,Цены!$L$6,IF(BE35=Цены!$H$7,Цены!$L$7,IF(BE35=Цены!$H$8,Цены!$L$8,IF(BE35=Цены!$H$9,Цены!$L$9,IF(BE35=Цены!$H$10,Цены!$L$10,IF(BE35=Цены!$H$11,Цены!$L$11,IF(BE35=Цены!$H$12,Цены!$L$12,IF(BE35=Цены!$H$13,Цены!$L$13,IF(BE35=Цены!$H$14,Цены!$L$14,IF(BE35=Цены!$H$14,Цены!$L$14,IF(BE35=Цены!$H$15,Цены!$L$15,IF(BE35=Цены!$H$16,Цены!$L$16,IF(BE35=Цены!$H$17,Цены!$L$17,IF(BE35=Цены!$H$18,Цены!$L$18,IF(BE35=Цены!$H$19,Цены!$L$19,IF(BE35=Цены!$H$20,Цены!$L$20,IF(BE35=Цены!$H$21,Цены!$L$21,IF(BE35=Цены!$H$22,Цены!$L$22,IF(BE35=Цены!$H$23,Цены!$L$23,IF(BE35=Цены!$H$24,Цены!$L$24,IF(BE35=Цены!$H$25,Цены!$L$25,IF(BE35=Цены!$H$26,Цены!$L$26,IF(BE35=Цены!$H$27,Цены!$L$27,IF(BE35=Цены!$H$28,Цены!$L$28,IF(BE35=Цены!$H$29,Цены!$L$29,IF(BE35=Цены!$H$30,Цены!$L$30,IF(BE35=Цены!$H$31,Цены!$L$31,IF(BE35=Цены!$H$32,Цены!$L$32,IF(BE35=Цены!$H$33,Цены!$L$33,IF(BE35=Цены!$H$34,Цены!$L$34,IF(BE35=Цены!$H$35,Цены!$L$35,IF(BE35=Цены!$H$36,Цены!$L$36,IF(BE35=Цены!$H$37,Цены!$L$37,IF(BE35=Цены!$H$38,Цены!$L$38,IF(BE35=Цены!$H$39,Цены!$L$39,IF(BE35=Цены!$H$40,Цены!$L$40,IF(BE35=Цены!$H$41,Цены!$L$41,IF(BE35=Цены!$H$42,Цены!$L$42,IF(BE35=Цены!$H$43,Цены!$L$43,IF(BE35=Цены!$H$44,Цены!$L$44,IF(BE35=Цены!$H$45,Цены!$L$45,IF(BE35=Цены!$H$46,Цены!$L$46,IF(BE35=Цены!$H$47,Цены!$L$47,IF(BE35=Цены!$H$48,Цены!$L$48,IF(BE35=Цены!$H$49,Цены!$L$49,IF(BE35=Цены!$H$50,Цены!$L$50,IF(BE35=Цены!$H$51,Цены!$L$51,IF(BE35=Цены!$H$52,Цены!$L$52,IF(BE35=Цены!$H$53,Цены!$L$53,IF(BE35=Цены!$H$54,Цены!$L$54,IF(BE35=Цены!$H$55,Цены!$L$55))))))))))))))))))))))))))))))))))))))))))))))))))))))</f>
        <v>1.23</v>
      </c>
      <c r="BH35" s="276">
        <f>BF35*BG35+BF36*BG36+BF37*BG37+BF38*BG38</f>
        <v>6.7200000000000006</v>
      </c>
      <c r="BI35" s="34">
        <f>IF(BE35=Цены!$H$3,Цены!$K$3,IF(BE35=Цены!$H$4,Цены!$K$4,IF(BE35=Цены!$H$5,Цены!$K$5,IF(BE35=Цены!$H$6,Цены!$K$6,IF(BE35=Цены!$H$7,Цены!$K$7,IF(BE35=Цены!$H$8,Цены!$K$8,IF(BE35=Цены!$H$9,Цены!$K$9,IF(BE35=Цены!$H$10,Цены!$K$10,IF(BE35=Цены!$H$11,Цены!$K$11,IF(BE35=Цены!$H$12,Цены!$K$12,IF(BE35=Цены!$H$13,Цены!$K$13,IF(BE35=Цены!$H$14,Цены!$K$14,IF(BE35=Цены!$H$14,Цены!$K$14,IF(BE35=Цены!$H$15,Цены!$K$15,IF(BE35=Цены!$H$16,Цены!$K$16,IF(BE35=Цены!$H$17,Цены!$K$17,IF(BE35=Цены!$H$18,Цены!$K$18,IF(BE35=Цены!$H$19,Цены!$K$19,IF(BE35=Цены!$H$20,Цены!$K$20,IF(BE35=Цены!$H$21,Цены!$K$21,IF(BE35=Цены!$H$22,Цены!$K$22,IF(BE35=Цены!$H$23,Цены!$K$23,IF(BE35=Цены!$H$24,Цены!$K$24,IF(BE35=Цены!$H$25,Цены!$K$25,IF(BE35=Цены!$H$26,Цены!$K$26,IF(BE35=Цены!$H$27,Цены!$K$27,IF(BE35=Цены!$H$28,Цены!$K$28,IF(BE35=Цены!$H$29,Цены!$K$29,IF(BE35=Цены!$H$30,Цены!$K$30,IF(BE35=Цены!$H$31,Цены!$K$31,IF(BE35=Цены!$H$32,Цены!$K$32,IF(BE35=Цены!$H$33,Цены!$K$33,IF(BE35=Цены!$H$34,Цены!$K$34,IF(BE35=Цены!$H$35,Цены!$K$35,IF(BE35=Цены!$H$36,Цены!$K$36,IF(BE35=Цены!$H$37,Цены!$K$37,IF(BE35=Цены!$H$38,Цены!$K$38,IF(BE35=Цены!$H$39,Цены!$K$39,IF(BE35=Цены!$H$40,Цены!$K$40,IF(BE35=Цены!$H$41,Цены!$K$41,IF(BE35=Цены!$H$42,Цены!$K$42,IF(BE35=Цены!$H$43,Цены!$K$43,IF(BE35=Цены!$H$44,Цены!$K$44,IF(BE35=Цены!$H$45,Цены!$K$45,IF(BE35=Цены!$H$46,Цены!$K$46,IF(BE35=Цены!$H$47,Цены!$K$47,IF(BE35=Цены!$H$48,Цены!$K$48,IF(BE35=Цены!$H$49,Цены!$K$49,IF(BE35=Цены!$H$50,Цены!$K$50,IF(BE35=Цены!$H$51,Цены!$K$51,IF(BE35=Цены!$H$52,Цены!$K$52,IF(BE35=Цены!$H$53,Цены!$K$53,IF(BE35=Цены!$H$54,Цены!$K$54,IF(BE35=Цены!$H$55,Цены!$K$55))))))))))))))))))))))))))))))))))))))))))))))))))))))</f>
        <v>255</v>
      </c>
      <c r="BJ35" s="265">
        <v>4.5</v>
      </c>
      <c r="BK35" s="265">
        <v>800</v>
      </c>
      <c r="BL35" s="266">
        <f>BF35*BI35+BF36*BI36+BF37*BI37+BF38*BI38</f>
        <v>2619</v>
      </c>
      <c r="BM35" s="267">
        <v>5500</v>
      </c>
      <c r="BN35" s="266">
        <f>BL35+BM35</f>
        <v>8119</v>
      </c>
      <c r="BO35" s="268">
        <v>5000</v>
      </c>
      <c r="BP35" s="269">
        <f>BO35/BN35*100</f>
        <v>61.583938908732605</v>
      </c>
      <c r="BQ35" s="270">
        <f>MROUND(BN35+BO35,500)</f>
        <v>13000</v>
      </c>
      <c r="BR35" s="216" t="s">
        <v>166</v>
      </c>
      <c r="BS35" s="43">
        <v>3</v>
      </c>
      <c r="BT35" s="33">
        <f>IF(BR35=Цены!$H$3,Цены!$L$3,IF(BR35=Цены!$H$4,Цены!$L$4,IF(BR35=Цены!$H$5,Цены!$L$5,IF(BR35=Цены!$H$6,Цены!$L$6,IF(BR35=Цены!$H$7,Цены!$L$7,IF(BR35=Цены!$H$8,Цены!$L$8,IF(BR35=Цены!$H$9,Цены!$L$9,IF(BR35=Цены!$H$10,Цены!$L$10,IF(BR35=Цены!$H$11,Цены!$L$11,IF(BR35=Цены!$H$12,Цены!$L$12,IF(BR35=Цены!$H$13,Цены!$L$13,IF(BR35=Цены!$H$14,Цены!$L$14,IF(BR35=Цены!$H$14,Цены!$L$14,IF(BR35=Цены!$H$15,Цены!$L$15,IF(BR35=Цены!$H$16,Цены!$L$16,IF(BR35=Цены!$H$17,Цены!$L$17,IF(BR35=Цены!$H$18,Цены!$L$18,IF(BR35=Цены!$H$19,Цены!$L$19,IF(BR35=Цены!$H$20,Цены!$L$20,IF(BR35=Цены!$H$21,Цены!$L$21,IF(BR35=Цены!$H$22,Цены!$L$22,IF(BR35=Цены!$H$23,Цены!$L$23,IF(BR35=Цены!$H$24,Цены!$L$24,IF(BR35=Цены!$H$25,Цены!$L$25,IF(BR35=Цены!$H$26,Цены!$L$26,IF(BR35=Цены!$H$27,Цены!$L$27,IF(BR35=Цены!$H$28,Цены!$L$28,IF(BR35=Цены!$H$29,Цены!$L$29,IF(BR35=Цены!$H$30,Цены!$L$30,IF(BR35=Цены!$H$31,Цены!$L$31,IF(BR35=Цены!$H$32,Цены!$L$32,IF(BR35=Цены!$H$33,Цены!$L$33,IF(BR35=Цены!$H$34,Цены!$L$34,IF(BR35=Цены!$H$35,Цены!$L$35,IF(BR35=Цены!$H$36,Цены!$L$36,IF(BR35=Цены!$H$37,Цены!$L$37,IF(BR35=Цены!$H$38,Цены!$L$38,IF(BR35=Цены!$H$39,Цены!$L$39,IF(BR35=Цены!$H$40,Цены!$L$40,IF(BR35=Цены!$H$41,Цены!$L$41,IF(BR35=Цены!$H$42,Цены!$L$42,IF(BR35=Цены!$H$43,Цены!$L$43,IF(BR35=Цены!$H$44,Цены!$L$44,IF(BR35=Цены!$H$45,Цены!$L$45,IF(BR35=Цены!$H$46,Цены!$L$46,IF(BR35=Цены!$H$47,Цены!$L$47,IF(BR35=Цены!$H$48,Цены!$L$48,IF(BR35=Цены!$H$49,Цены!$L$49,IF(BR35=Цены!$H$50,Цены!$L$50,IF(BR35=Цены!$H$51,Цены!$L$51,IF(BR35=Цены!$H$52,Цены!$L$52,IF(BR35=Цены!$H$53,Цены!$L$53,IF(BR35=Цены!$H$54,Цены!$L$54,IF(BR35=Цены!$H$55,Цены!$L$55))))))))))))))))))))))))))))))))))))))))))))))))))))))</f>
        <v>1.23</v>
      </c>
      <c r="BU35" s="276">
        <f>BS35*BT35+BS36*BT36+BS37*BT37+BS38*BT38</f>
        <v>5.49</v>
      </c>
      <c r="BV35" s="34">
        <f>IF(BR35=Цены!$H$3,Цены!$K$3,IF(BR35=Цены!$H$4,Цены!$K$4,IF(BR35=Цены!$H$5,Цены!$K$5,IF(BR35=Цены!$H$6,Цены!$K$6,IF(BR35=Цены!$H$7,Цены!$K$7,IF(BR35=Цены!$H$8,Цены!$K$8,IF(BR35=Цены!$H$9,Цены!$K$9,IF(BR35=Цены!$H$10,Цены!$K$10,IF(BR35=Цены!$H$11,Цены!$K$11,IF(BR35=Цены!$H$12,Цены!$K$12,IF(BR35=Цены!$H$13,Цены!$K$13,IF(BR35=Цены!$H$14,Цены!$K$14,IF(BR35=Цены!$H$14,Цены!$K$14,IF(BR35=Цены!$H$15,Цены!$K$15,IF(BR35=Цены!$H$16,Цены!$K$16,IF(BR35=Цены!$H$17,Цены!$K$17,IF(BR35=Цены!$H$18,Цены!$K$18,IF(BR35=Цены!$H$19,Цены!$K$19,IF(BR35=Цены!$H$20,Цены!$K$20,IF(BR35=Цены!$H$21,Цены!$K$21,IF(BR35=Цены!$H$22,Цены!$K$22,IF(BR35=Цены!$H$23,Цены!$K$23,IF(BR35=Цены!$H$24,Цены!$K$24,IF(BR35=Цены!$H$25,Цены!$K$25,IF(BR35=Цены!$H$26,Цены!$K$26,IF(BR35=Цены!$H$27,Цены!$K$27,IF(BR35=Цены!$H$28,Цены!$K$28,IF(BR35=Цены!$H$29,Цены!$K$29,IF(BR35=Цены!$H$30,Цены!$K$30,IF(BR35=Цены!$H$31,Цены!$K$31,IF(BR35=Цены!$H$32,Цены!$K$32,IF(BR35=Цены!$H$33,Цены!$K$33,IF(BR35=Цены!$H$34,Цены!$K$34,IF(BR35=Цены!$H$35,Цены!$K$35,IF(BR35=Цены!$H$36,Цены!$K$36,IF(BR35=Цены!$H$37,Цены!$K$37,IF(BR35=Цены!$H$38,Цены!$K$38,IF(BR35=Цены!$H$39,Цены!$K$39,IF(BR35=Цены!$H$40,Цены!$K$40,IF(BR35=Цены!$H$41,Цены!$K$41,IF(BR35=Цены!$H$42,Цены!$K$42,IF(BR35=Цены!$H$43,Цены!$K$43,IF(BR35=Цены!$H$44,Цены!$K$44,IF(BR35=Цены!$H$45,Цены!$K$45,IF(BR35=Цены!$H$46,Цены!$K$46,IF(BR35=Цены!$H$47,Цены!$K$47,IF(BR35=Цены!$H$48,Цены!$K$48,IF(BR35=Цены!$H$49,Цены!$K$49,IF(BR35=Цены!$H$50,Цены!$K$50,IF(BR35=Цены!$H$51,Цены!$K$51,IF(BR35=Цены!$H$52,Цены!$K$52,IF(BR35=Цены!$H$53,Цены!$K$53,IF(BR35=Цены!$H$54,Цены!$K$54,IF(BR35=Цены!$H$55,Цены!$K$55))))))))))))))))))))))))))))))))))))))))))))))))))))))</f>
        <v>255</v>
      </c>
      <c r="BW35" s="265">
        <v>1</v>
      </c>
      <c r="BX35" s="265">
        <v>800</v>
      </c>
      <c r="BY35" s="266">
        <f>BS35*BV35+BS36*BV36+BS37*BV37+BS38*BV38</f>
        <v>1263</v>
      </c>
      <c r="BZ35" s="267">
        <v>1000</v>
      </c>
      <c r="CA35" s="266">
        <f>BY35+BZ35</f>
        <v>2263</v>
      </c>
      <c r="CB35" s="268">
        <v>2000</v>
      </c>
      <c r="CC35" s="269">
        <f>CB35/CA35*100</f>
        <v>88.378258948298722</v>
      </c>
      <c r="CD35" s="270">
        <f>MROUND(CA35+CB35,500)</f>
        <v>4500</v>
      </c>
      <c r="CE35" s="171" t="s">
        <v>166</v>
      </c>
      <c r="CF35" s="43">
        <v>3</v>
      </c>
      <c r="CG35" s="33">
        <f>IF(CE35=Цены!$H$3,Цены!$L$3,IF(CE35=Цены!$H$4,Цены!$L$4,IF(CE35=Цены!$H$5,Цены!$L$5,IF(CE35=Цены!$H$6,Цены!$L$6,IF(CE35=Цены!$H$7,Цены!$L$7,IF(CE35=Цены!$H$8,Цены!$L$8,IF(CE35=Цены!$H$9,Цены!$L$9,IF(CE35=Цены!$H$10,Цены!$L$10,IF(CE35=Цены!$H$11,Цены!$L$11,IF(CE35=Цены!$H$12,Цены!$L$12,IF(CE35=Цены!$H$13,Цены!$L$13,IF(CE35=Цены!$H$14,Цены!$L$14,IF(CE35=Цены!$H$14,Цены!$L$14,IF(CE35=Цены!$H$15,Цены!$L$15,IF(CE35=Цены!$H$16,Цены!$L$16,IF(CE35=Цены!$H$17,Цены!$L$17,IF(CE35=Цены!$H$18,Цены!$L$18,IF(CE35=Цены!$H$19,Цены!$L$19,IF(CE35=Цены!$H$20,Цены!$L$20,IF(CE35=Цены!$H$21,Цены!$L$21,IF(CE35=Цены!$H$22,Цены!$L$22,IF(CE35=Цены!$H$23,Цены!$L$23,IF(CE35=Цены!$H$24,Цены!$L$24,IF(CE35=Цены!$H$25,Цены!$L$25,IF(CE35=Цены!$H$26,Цены!$L$26,IF(CE35=Цены!$H$27,Цены!$L$27,IF(CE35=Цены!$H$28,Цены!$L$28,IF(CE35=Цены!$H$29,Цены!$L$29,IF(CE35=Цены!$H$30,Цены!$L$30,IF(CE35=Цены!$H$31,Цены!$L$31,IF(CE35=Цены!$H$32,Цены!$L$32,IF(CE35=Цены!$H$33,Цены!$L$33,IF(CE35=Цены!$H$34,Цены!$L$34,IF(CE35=Цены!$H$35,Цены!$L$35,IF(CE35=Цены!$H$36,Цены!$L$36,IF(CE35=Цены!$H$37,Цены!$L$37,IF(CE35=Цены!$H$38,Цены!$L$38,IF(CE35=Цены!$H$39,Цены!$L$39,IF(CE35=Цены!$H$40,Цены!$L$40,IF(CE35=Цены!$H$41,Цены!$L$41,IF(CE35=Цены!$H$42,Цены!$L$42,IF(CE35=Цены!$H$43,Цены!$L$43,IF(CE35=Цены!$H$44,Цены!$L$44,IF(CE35=Цены!$H$45,Цены!$L$45,IF(CE35=Цены!$H$46,Цены!$L$46,IF(CE35=Цены!$H$47,Цены!$L$47,IF(CE35=Цены!$H$48,Цены!$L$48,IF(CE35=Цены!$H$49,Цены!$L$49,IF(CE35=Цены!$H$50,Цены!$L$50,IF(CE35=Цены!$H$51,Цены!$L$51,IF(CE35=Цены!$H$52,Цены!$L$52,IF(CE35=Цены!$H$53,Цены!$L$53,IF(CE35=Цены!$H$54,Цены!$L$54,IF(CE35=Цены!$H$55,Цены!$L$55))))))))))))))))))))))))))))))))))))))))))))))))))))))</f>
        <v>1.23</v>
      </c>
      <c r="CH35" s="276">
        <f>CF35*CG35+CF36*CG36+CF37*CG37+CF38*CG38</f>
        <v>4.4863999999999997</v>
      </c>
      <c r="CI35" s="34">
        <f>IF(CE35=Цены!$H$3,Цены!$K$3,IF(CE35=Цены!$H$4,Цены!$K$4,IF(CE35=Цены!$H$5,Цены!$K$5,IF(CE35=Цены!$H$6,Цены!$K$6,IF(CE35=Цены!$H$7,Цены!$K$7,IF(CE35=Цены!$H$8,Цены!$K$8,IF(CE35=Цены!$H$9,Цены!$K$9,IF(CE35=Цены!$H$10,Цены!$K$10,IF(CE35=Цены!$H$11,Цены!$K$11,IF(CE35=Цены!$H$12,Цены!$K$12,IF(CE35=Цены!$H$13,Цены!$K$13,IF(CE35=Цены!$H$14,Цены!$K$14,IF(CE35=Цены!$H$14,Цены!$K$14,IF(CE35=Цены!$H$15,Цены!$K$15,IF(CE35=Цены!$H$16,Цены!$K$16,IF(CE35=Цены!$H$17,Цены!$K$17,IF(CE35=Цены!$H$18,Цены!$K$18,IF(CE35=Цены!$H$19,Цены!$K$19,IF(CE35=Цены!$H$20,Цены!$K$20,IF(CE35=Цены!$H$21,Цены!$K$21,IF(CE35=Цены!$H$22,Цены!$K$22,IF(CE35=Цены!$H$23,Цены!$K$23,IF(CE35=Цены!$H$24,Цены!$K$24,IF(CE35=Цены!$H$25,Цены!$K$25,IF(CE35=Цены!$H$26,Цены!$K$26,IF(CE35=Цены!$H$27,Цены!$K$27,IF(CE35=Цены!$H$28,Цены!$K$28,IF(CE35=Цены!$H$29,Цены!$K$29,IF(CE35=Цены!$H$30,Цены!$K$30,IF(CE35=Цены!$H$31,Цены!$K$31,IF(CE35=Цены!$H$32,Цены!$K$32,IF(CE35=Цены!$H$33,Цены!$K$33,IF(CE35=Цены!$H$34,Цены!$K$34,IF(CE35=Цены!$H$35,Цены!$K$35,IF(CE35=Цены!$H$36,Цены!$K$36,IF(CE35=Цены!$H$37,Цены!$K$37,IF(CE35=Цены!$H$38,Цены!$K$38,IF(CE35=Цены!$H$39,Цены!$K$39,IF(CE35=Цены!$H$40,Цены!$K$40,IF(CE35=Цены!$H$41,Цены!$K$41,IF(CE35=Цены!$H$42,Цены!$K$42,IF(CE35=Цены!$H$43,Цены!$K$43,IF(CE35=Цены!$H$44,Цены!$K$44,IF(CE35=Цены!$H$45,Цены!$K$45,IF(CE35=Цены!$H$46,Цены!$K$46,IF(CE35=Цены!$H$47,Цены!$K$47,IF(CE35=Цены!$H$48,Цены!$K$48,IF(CE35=Цены!$H$49,Цены!$K$49,IF(CE35=Цены!$H$50,Цены!$K$50,IF(CE35=Цены!$H$51,Цены!$K$51,IF(CE35=Цены!$H$52,Цены!$K$52,IF(CE35=Цены!$H$53,Цены!$K$53,IF(CE35=Цены!$H$54,Цены!$K$54,IF(CE35=Цены!$H$55,Цены!$K$55))))))))))))))))))))))))))))))))))))))))))))))))))))))</f>
        <v>255</v>
      </c>
      <c r="CJ35" s="265">
        <v>1.5</v>
      </c>
      <c r="CK35" s="265">
        <v>800</v>
      </c>
      <c r="CL35" s="266">
        <f>CF35*CI35+CF36*CI36+CF37*CI37+CF38*CI38</f>
        <v>2393</v>
      </c>
      <c r="CM35" s="267">
        <v>1500</v>
      </c>
      <c r="CN35" s="266">
        <f>CL35+CM35</f>
        <v>3893</v>
      </c>
      <c r="CO35" s="268">
        <v>2000</v>
      </c>
      <c r="CP35" s="269">
        <f>CO35/CN35*100</f>
        <v>51.374261494991011</v>
      </c>
      <c r="CQ35" s="270">
        <f>MROUND(CN35+CO35,500)</f>
        <v>6000</v>
      </c>
    </row>
    <row r="36" spans="1:95" x14ac:dyDescent="0.25">
      <c r="A36" s="353"/>
      <c r="B36" s="265"/>
      <c r="C36" s="265"/>
      <c r="D36" s="172" t="s">
        <v>91</v>
      </c>
      <c r="E36" s="167">
        <v>2</v>
      </c>
      <c r="F36" s="27">
        <f>IF(D36=Цены!$H$3,Цены!$L$3,IF(D36=Цены!$H$4,Цены!$L$4,IF(D36=Цены!$H$5,Цены!$L$5,IF(D36=Цены!$H$6,Цены!$L$6,IF(D36=Цены!$H$7,Цены!$L$7,IF(D36=Цены!$H$8,Цены!$L$8,IF(D36=Цены!$H$9,Цены!$L$9,IF(D36=Цены!$H$10,Цены!$L$10,IF(D36=Цены!$H$11,Цены!$L$11,IF(D36=Цены!$H$12,Цены!$L$12,IF(D36=Цены!$H$13,Цены!$L$13,IF(D36=Цены!$H$14,Цены!$L$14,IF(D36=Цены!$H$14,Цены!$L$14,IF(D36=Цены!$H$15,Цены!$L$15,IF(D36=Цены!$H$16,Цены!$L$16,IF(D36=Цены!$H$17,Цены!$L$17,IF(D36=Цены!$H$18,Цены!$L$18,IF(D36=Цены!$H$19,Цены!$L$19,IF(D36=Цены!$H$20,Цены!$L$20,IF(D36=Цены!$H$21,Цены!$L$21,IF(D36=Цены!$H$22,Цены!$L$22,IF(D36=Цены!$H$23,Цены!$L$23,IF(D36=Цены!$H$24,Цены!$L$24,IF(D36=Цены!$H$25,Цены!$L$25,IF(D36=Цены!$H$26,Цены!$L$26,IF(D36=Цены!$H$27,Цены!$L$27,IF(D36=Цены!$H$28,Цены!$L$28,IF(D36=Цены!$H$29,Цены!$L$29,IF(D36=Цены!$H$30,Цены!$L$30,IF(D36=Цены!$H$31,Цены!$L$31,IF(D36=Цены!$H$32,Цены!$L$32,IF(D36=Цены!$H$33,Цены!$L$33,IF(D36=Цены!$H$34,Цены!$L$34,IF(D36=Цены!$H$35,Цены!$L$35,IF(D36=Цены!$H$36,Цены!$L$36,IF(D36=Цены!$H$37,Цены!$L$37,IF(D36=Цены!$H$38,Цены!$L$38,IF(D36=Цены!$H$39,Цены!$L$39,IF(D36=Цены!$H$40,Цены!$L$40,IF(D36=Цены!$H$41,Цены!$L$41,IF(D36=Цены!$H$42,Цены!$L$42,IF(D36=Цены!$H$43,Цены!$L$43,IF(D36=Цены!$H$44,Цены!$L$44,IF(D36=Цены!$H$45,Цены!$L$45,IF(D36=Цены!$H$46,Цены!$L$46,IF(D36=Цены!$H$47,Цены!$L$47,IF(D36=Цены!$H$48,Цены!$L$48,IF(D36=Цены!$H$49,Цены!$L$49,IF(D36=Цены!$H$50,Цены!$L$50,IF(D36=Цены!$H$51,Цены!$L$51,IF(D36=Цены!$H$52,Цены!$L$52,IF(D36=Цены!$H$53,Цены!$L$53,IF(D36=Цены!$H$54,Цены!$L$54,IF(D36=Цены!$H$55,Цены!$L$55))))))))))))))))))))))))))))))))))))))))))))))))))))))</f>
        <v>0.19</v>
      </c>
      <c r="G36" s="309"/>
      <c r="H36" s="28">
        <f>IF(D36=Цены!$H$3,Цены!$K$3,IF(D36=Цены!$H$4,Цены!$K$4,IF(D36=Цены!$H$5,Цены!$K$5,IF(D36=Цены!$H$6,Цены!$K$6,IF(D36=Цены!$H$7,Цены!$K$7,IF(D36=Цены!$H$8,Цены!$K$8,IF(D36=Цены!$H$9,Цены!$K$9,IF(D36=Цены!$H$10,Цены!$K$10,IF(D36=Цены!$H$11,Цены!$K$11,IF(D36=Цены!$H$12,Цены!$K$12,IF(D36=Цены!$H$13,Цены!$K$13,IF(D36=Цены!$H$14,Цены!$K$14,IF(D36=Цены!$H$14,Цены!$K$14,IF(D36=Цены!$H$15,Цены!$K$15,IF(D36=Цены!$H$16,Цены!$K$16,IF(D36=Цены!$H$17,Цены!$K$17,IF(D36=Цены!$H$18,Цены!$K$18,IF(D36=Цены!$H$19,Цены!$K$19,IF(D36=Цены!$H$20,Цены!$K$20,IF(D36=Цены!$H$21,Цены!$K$21,IF(D36=Цены!$H$22,Цены!$K$22,IF(D36=Цены!$H$23,Цены!$K$23,IF(D36=Цены!$H$24,Цены!$K$24,IF(D36=Цены!$H$25,Цены!$K$25,IF(D36=Цены!$H$26,Цены!$K$26,IF(D36=Цены!$H$27,Цены!$K$27,IF(D36=Цены!$H$28,Цены!$K$28,IF(D36=Цены!$H$29,Цены!$K$29,IF(D36=Цены!$H$30,Цены!$K$30,IF(D36=Цены!$H$31,Цены!$K$31,IF(D36=Цены!$H$32,Цены!$K$32,IF(D36=Цены!$H$33,Цены!$K$33,IF(D36=Цены!$H$34,Цены!$K$34,IF(D36=Цены!$H$35,Цены!$K$35,IF(D36=Цены!$H$36,Цены!$K$36,IF(D36=Цены!$H$37,Цены!$K$37,IF(D36=Цены!$H$38,Цены!$K$38,IF(D36=Цены!$H$39,Цены!$K$39,IF(D36=Цены!$H$40,Цены!$K$40,IF(D36=Цены!$H$41,Цены!$K$41,IF(D36=Цены!$H$42,Цены!$K$42,IF(D36=Цены!$H$43,Цены!$K$43,IF(D36=Цены!$H$44,Цены!$K$44,IF(D36=Цены!$H$45,Цены!$K$45,IF(D36=Цены!$H$46,Цены!$K$46,IF(D36=Цены!$H$47,Цены!$K$47,IF(D36=Цены!$H$48,Цены!$K$48,IF(D36=Цены!$H$49,Цены!$K$49,IF(D36=Цены!$H$50,Цены!$K$50,IF(D36=Цены!$H$51,Цены!$K$51,IF(D36=Цены!$H$52,Цены!$K$52,IF(D36=Цены!$H$53,Цены!$K$53,IF(D36=Цены!$H$54,Цены!$K$54,IF(D36=Цены!$H$55,Цены!$K$55))))))))))))))))))))))))))))))))))))))))))))))))))))))</f>
        <v>448</v>
      </c>
      <c r="I36" s="265"/>
      <c r="J36" s="265"/>
      <c r="K36" s="266"/>
      <c r="L36" s="267"/>
      <c r="M36" s="267"/>
      <c r="N36" s="268"/>
      <c r="O36" s="310"/>
      <c r="P36" s="270"/>
      <c r="Q36" s="209" t="s">
        <v>80</v>
      </c>
      <c r="R36" s="30">
        <v>4</v>
      </c>
      <c r="S36" s="27">
        <f>IF(Q36=Цены!$H$3,Цены!$L$3,IF(Q36=Цены!$H$4,Цены!$L$4,IF(Q36=Цены!$H$5,Цены!$L$5,IF(Q36=Цены!$H$6,Цены!$L$6,IF(Q36=Цены!$H$7,Цены!$L$7,IF(Q36=Цены!$H$8,Цены!$L$8,IF(Q36=Цены!$H$9,Цены!$L$9,IF(Q36=Цены!$H$10,Цены!$L$10,IF(Q36=Цены!$H$11,Цены!$L$11,IF(Q36=Цены!$H$12,Цены!$L$12,IF(Q36=Цены!$H$13,Цены!$L$13,IF(Q36=Цены!$H$14,Цены!$L$14,IF(Q36=Цены!$H$14,Цены!$L$14,IF(Q36=Цены!$H$15,Цены!$L$15,IF(Q36=Цены!$H$16,Цены!$L$16,IF(Q36=Цены!$H$17,Цены!$L$17,IF(Q36=Цены!$H$18,Цены!$L$18,IF(Q36=Цены!$H$19,Цены!$L$19,IF(Q36=Цены!$H$20,Цены!$L$20,IF(Q36=Цены!$H$21,Цены!$L$21,IF(Q36=Цены!$H$22,Цены!$L$22,IF(Q36=Цены!$H$23,Цены!$L$23,IF(Q36=Цены!$H$24,Цены!$L$24,IF(Q36=Цены!$H$25,Цены!$L$25,IF(Q36=Цены!$H$26,Цены!$L$26,IF(Q36=Цены!$H$27,Цены!$L$27,IF(Q36=Цены!$H$28,Цены!$L$28,IF(Q36=Цены!$H$29,Цены!$L$29,IF(Q36=Цены!$H$30,Цены!$L$30,IF(Q36=Цены!$H$31,Цены!$L$31,IF(Q36=Цены!$H$32,Цены!$L$32,IF(Q36=Цены!$H$33,Цены!$L$33,IF(Q36=Цены!$H$34,Цены!$L$34,IF(Q36=Цены!$H$35,Цены!$L$35,IF(Q36=Цены!$H$36,Цены!$L$36,IF(Q36=Цены!$H$37,Цены!$L$37,IF(Q36=Цены!$H$38,Цены!$L$38,IF(Q36=Цены!$H$39,Цены!$L$39,IF(Q36=Цены!$H$40,Цены!$L$40,IF(Q36=Цены!$H$41,Цены!$L$41,IF(Q36=Цены!$H$42,Цены!$L$42,IF(Q36=Цены!$H$43,Цены!$L$43,IF(Q36=Цены!$H$44,Цены!$L$44,IF(Q36=Цены!$H$45,Цены!$L$45,IF(Q36=Цены!$H$46,Цены!$L$46,IF(Q36=Цены!$H$47,Цены!$L$47,IF(Q36=Цены!$H$48,Цены!$L$48,IF(Q36=Цены!$H$49,Цены!$L$49,IF(Q36=Цены!$H$50,Цены!$L$50,IF(Q36=Цены!$H$51,Цены!$L$51,IF(Q36=Цены!$H$52,Цены!$L$52,IF(Q36=Цены!$H$53,Цены!$L$53,IF(Q36=Цены!$H$54,Цены!$L$54,IF(Q36=Цены!$H$55,Цены!$L$55))))))))))))))))))))))))))))))))))))))))))))))))))))))</f>
        <v>0.64</v>
      </c>
      <c r="T36" s="309"/>
      <c r="U36" s="162">
        <f>IF(Q36=Цены!$H$3,Цены!$K$3,IF(Q36=Цены!$H$4,Цены!$K$4,IF(Q36=Цены!$H$5,Цены!$K$5,IF(Q36=Цены!$H$6,Цены!$K$6,IF(Q36=Цены!$H$7,Цены!$K$7,IF(Q36=Цены!$H$8,Цены!$K$8,IF(Q36=Цены!$H$9,Цены!$K$9,IF(Q36=Цены!$H$10,Цены!$K$10,IF(Q36=Цены!$H$11,Цены!$K$11,IF(Q36=Цены!$H$12,Цены!$K$12,IF(Q36=Цены!$H$13,Цены!$K$13,IF(Q36=Цены!$H$14,Цены!$K$14,IF(Q36=Цены!$H$14,Цены!$K$14,IF(Q36=Цены!$H$15,Цены!$K$15,IF(Q36=Цены!$H$16,Цены!$K$16,IF(Q36=Цены!$H$17,Цены!$K$17,IF(Q36=Цены!$H$18,Цены!$K$18,IF(Q36=Цены!$H$19,Цены!$K$19,IF(Q36=Цены!$H$20,Цены!$K$20,IF(Q36=Цены!$H$21,Цены!$K$21,IF(Q36=Цены!$H$22,Цены!$K$22,IF(Q36=Цены!$H$23,Цены!$K$23,IF(Q36=Цены!$H$24,Цены!$K$24,IF(Q36=Цены!$H$25,Цены!$K$25,IF(Q36=Цены!$H$26,Цены!$K$26,IF(Q36=Цены!$H$27,Цены!$K$27,IF(Q36=Цены!$H$28,Цены!$K$28,IF(Q36=Цены!$H$29,Цены!$K$29,IF(Q36=Цены!$H$30,Цены!$K$30,IF(Q36=Цены!$H$31,Цены!$K$31,IF(Q36=Цены!$H$32,Цены!$K$32,IF(Q36=Цены!$H$33,Цены!$K$33,IF(Q36=Цены!$H$34,Цены!$K$34,IF(Q36=Цены!$H$35,Цены!$K$35,IF(Q36=Цены!$H$36,Цены!$K$36,IF(Q36=Цены!$H$37,Цены!$K$37,IF(Q36=Цены!$H$38,Цены!$K$38,IF(Q36=Цены!$H$39,Цены!$K$39,IF(Q36=Цены!$H$40,Цены!$K$40,IF(Q36=Цены!$H$41,Цены!$K$41,IF(Q36=Цены!$H$42,Цены!$K$42,IF(Q36=Цены!$H$43,Цены!$K$43,IF(Q36=Цены!$H$44,Цены!$K$44,IF(Q36=Цены!$H$45,Цены!$K$45,IF(Q36=Цены!$H$46,Цены!$K$46,IF(Q36=Цены!$H$47,Цены!$K$47,IF(Q36=Цены!$H$48,Цены!$K$48,IF(Q36=Цены!$H$49,Цены!$K$49,IF(Q36=Цены!$H$50,Цены!$K$50,IF(Q36=Цены!$H$51,Цены!$K$51,IF(Q36=Цены!$H$52,Цены!$K$52,IF(Q36=Цены!$H$53,Цены!$K$53,IF(Q36=Цены!$H$54,Цены!$K$54,IF(Q36=Цены!$H$55,Цены!$K$55))))))))))))))))))))))))))))))))))))))))))))))))))))))</f>
        <v>312</v>
      </c>
      <c r="V36" s="265"/>
      <c r="W36" s="265"/>
      <c r="X36" s="266"/>
      <c r="Y36" s="267"/>
      <c r="Z36" s="267"/>
      <c r="AA36" s="320"/>
      <c r="AB36" s="310"/>
      <c r="AC36" s="270"/>
      <c r="AD36" s="172" t="s">
        <v>70</v>
      </c>
      <c r="AE36" s="128">
        <v>4</v>
      </c>
      <c r="AF36" s="27">
        <f>IF(AD36=Цены!$H$3,Цены!$L$3,IF(AD36=Цены!$H$4,Цены!$L$4,IF(AD36=Цены!$H$5,Цены!$L$5,IF(AD36=Цены!$H$6,Цены!$L$6,IF(AD36=Цены!$H$7,Цены!$L$7,IF(AD36=Цены!$H$8,Цены!$L$8,IF(AD36=Цены!$H$9,Цены!$L$9,IF(AD36=Цены!$H$10,Цены!$L$10,IF(AD36=Цены!$H$11,Цены!$L$11,IF(AD36=Цены!$H$12,Цены!$L$12,IF(AD36=Цены!$H$13,Цены!$L$13,IF(AD36=Цены!$H$14,Цены!$L$14,IF(AD36=Цены!$H$14,Цены!$L$14,IF(AD36=Цены!$H$15,Цены!$L$15,IF(AD36=Цены!$H$16,Цены!$L$16,IF(AD36=Цены!$H$17,Цены!$L$17,IF(AD36=Цены!$H$18,Цены!$L$18,IF(AD36=Цены!$H$19,Цены!$L$19,IF(AD36=Цены!$H$20,Цены!$L$20,IF(AD36=Цены!$H$21,Цены!$L$21,IF(AD36=Цены!$H$22,Цены!$L$22,IF(AD36=Цены!$H$23,Цены!$L$23,IF(AD36=Цены!$H$24,Цены!$L$24,IF(AD36=Цены!$H$25,Цены!$L$25,IF(AD36=Цены!$H$26,Цены!$L$26,IF(AD36=Цены!$H$27,Цены!$L$27,IF(AD36=Цены!$H$28,Цены!$L$28,IF(AD36=Цены!$H$29,Цены!$L$29,IF(AD36=Цены!$H$30,Цены!$L$30,IF(AD36=Цены!$H$31,Цены!$L$31,IF(AD36=Цены!$H$32,Цены!$L$32,IF(AD36=Цены!$H$33,Цены!$L$33,IF(AD36=Цены!$H$34,Цены!$L$34,IF(AD36=Цены!$H$35,Цены!$L$35,IF(AD36=Цены!$H$36,Цены!$L$36,IF(AD36=Цены!$H$37,Цены!$L$37,IF(AD36=Цены!$H$38,Цены!$L$38,IF(AD36=Цены!$H$39,Цены!$L$39,IF(AD36=Цены!$H$40,Цены!$L$40,IF(AD36=Цены!$H$41,Цены!$L$41,IF(AD36=Цены!$H$42,Цены!$L$42,IF(AD36=Цены!$H$43,Цены!$L$43,IF(AD36=Цены!$H$44,Цены!$L$44,IF(AD36=Цены!$H$45,Цены!$L$45,IF(AD36=Цены!$H$46,Цены!$L$46,IF(AD36=Цены!$H$47,Цены!$L$47,IF(AD36=Цены!$H$48,Цены!$L$48,IF(AD36=Цены!$H$49,Цены!$L$49,IF(AD36=Цены!$H$50,Цены!$L$50,IF(AD36=Цены!$H$51,Цены!$L$51,IF(AD36=Цены!$H$52,Цены!$L$52,IF(AD36=Цены!$H$53,Цены!$L$53,IF(AD36=Цены!$H$54,Цены!$L$54,IF(AD36=Цены!$H$55,Цены!$L$55))))))))))))))))))))))))))))))))))))))))))))))))))))))</f>
        <v>2.4</v>
      </c>
      <c r="AG36" s="309"/>
      <c r="AH36" s="28">
        <f>IF(AD36=Цены!$H$3,Цены!$K$3,IF(AD36=Цены!$H$4,Цены!$K$4,IF(AD36=Цены!$H$5,Цены!$K$5,IF(AD36=Цены!$H$6,Цены!$K$6,IF(AD36=Цены!$H$7,Цены!$K$7,IF(AD36=Цены!$H$8,Цены!$K$8,IF(AD36=Цены!$H$9,Цены!$K$9,IF(AD36=Цены!$H$10,Цены!$K$10,IF(AD36=Цены!$H$11,Цены!$K$11,IF(AD36=Цены!$H$12,Цены!$K$12,IF(AD36=Цены!$H$13,Цены!$K$13,IF(AD36=Цены!$H$14,Цены!$K$14,IF(AD36=Цены!$H$14,Цены!$K$14,IF(AD36=Цены!$H$15,Цены!$K$15,IF(AD36=Цены!$H$16,Цены!$K$16,IF(AD36=Цены!$H$17,Цены!$K$17,IF(AD36=Цены!$H$18,Цены!$K$18,IF(AD36=Цены!$H$19,Цены!$K$19,IF(AD36=Цены!$H$20,Цены!$K$20,IF(AD36=Цены!$H$21,Цены!$K$21,IF(AD36=Цены!$H$22,Цены!$K$22,IF(AD36=Цены!$H$23,Цены!$K$23,IF(AD36=Цены!$H$24,Цены!$K$24,IF(AD36=Цены!$H$25,Цены!$K$25,IF(AD36=Цены!$H$26,Цены!$K$26,IF(AD36=Цены!$H$27,Цены!$K$27,IF(AD36=Цены!$H$28,Цены!$K$28,IF(AD36=Цены!$H$29,Цены!$K$29,IF(AD36=Цены!$H$30,Цены!$K$30,IF(AD36=Цены!$H$31,Цены!$K$31,IF(AD36=Цены!$H$32,Цены!$K$32,IF(AD36=Цены!$H$33,Цены!$K$33,IF(AD36=Цены!$H$34,Цены!$K$34,IF(AD36=Цены!$H$35,Цены!$K$35,IF(AD36=Цены!$H$36,Цены!$K$36,IF(AD36=Цены!$H$37,Цены!$K$37,IF(AD36=Цены!$H$38,Цены!$K$38,IF(AD36=Цены!$H$39,Цены!$K$39,IF(AD36=Цены!$H$40,Цены!$K$40,IF(AD36=Цены!$H$41,Цены!$K$41,IF(AD36=Цены!$H$42,Цены!$K$42,IF(AD36=Цены!$H$43,Цены!$K$43,IF(AD36=Цены!$H$44,Цены!$K$44,IF(AD36=Цены!$H$45,Цены!$K$45,IF(AD36=Цены!$H$46,Цены!$K$46,IF(AD36=Цены!$H$47,Цены!$K$47,IF(AD36=Цены!$H$48,Цены!$K$48,IF(AD36=Цены!$H$49,Цены!$K$49,IF(AD36=Цены!$H$50,Цены!$K$50,IF(AD36=Цены!$H$51,Цены!$K$51,IF(AD36=Цены!$H$52,Цены!$K$52,IF(AD36=Цены!$H$53,Цены!$K$53,IF(AD36=Цены!$H$54,Цены!$K$54,IF(AD36=Цены!$H$55,Цены!$K$55))))))))))))))))))))))))))))))))))))))))))))))))))))))</f>
        <v>469</v>
      </c>
      <c r="AI36" s="265"/>
      <c r="AJ36" s="265"/>
      <c r="AK36" s="266"/>
      <c r="AL36" s="267"/>
      <c r="AM36" s="267"/>
      <c r="AN36" s="268"/>
      <c r="AO36" s="310"/>
      <c r="AP36" s="270"/>
      <c r="AQ36" s="209" t="s">
        <v>144</v>
      </c>
      <c r="AR36" s="129">
        <v>3</v>
      </c>
      <c r="AS36" s="33">
        <f>IF(AQ36=Цены!$H$3,Цены!$L$3,IF(AQ36=Цены!$H$4,Цены!$L$4,IF(AQ36=Цены!$H$5,Цены!$L$5,IF(AQ36=Цены!$H$6,Цены!$L$6,IF(AQ36=Цены!$H$7,Цены!$L$7,IF(AQ36=Цены!$H$8,Цены!$L$8,IF(AQ36=Цены!$H$9,Цены!$L$9,IF(AQ36=Цены!$H$10,Цены!$L$10,IF(AQ36=Цены!$H$11,Цены!$L$11,IF(AQ36=Цены!$H$12,Цены!$L$12,IF(AQ36=Цены!$H$13,Цены!$L$13,IF(AQ36=Цены!$H$14,Цены!$L$14,IF(AQ36=Цены!$H$14,Цены!$L$14,IF(AQ36=Цены!$H$15,Цены!$L$15,IF(AQ36=Цены!$H$16,Цены!$L$16,IF(AQ36=Цены!$H$17,Цены!$L$17,IF(AQ36=Цены!$H$18,Цены!$L$18,IF(AQ36=Цены!$H$19,Цены!$L$19,IF(AQ36=Цены!$H$20,Цены!$L$20,IF(AQ36=Цены!$H$21,Цены!$L$21,IF(AQ36=Цены!$H$22,Цены!$L$22,IF(AQ36=Цены!$H$23,Цены!$L$23,IF(AQ36=Цены!$H$24,Цены!$L$24,IF(AQ36=Цены!$H$25,Цены!$L$25,IF(AQ36=Цены!$H$26,Цены!$L$26,IF(AQ36=Цены!$H$27,Цены!$L$27,IF(AQ36=Цены!$H$28,Цены!$L$28,IF(AQ36=Цены!$H$29,Цены!$L$29,IF(AQ36=Цены!$H$30,Цены!$L$30,IF(AQ36=Цены!$H$31,Цены!$L$31,IF(AQ36=Цены!$H$32,Цены!$L$32,IF(AQ36=Цены!$H$33,Цены!$L$33,IF(AQ36=Цены!$H$34,Цены!$L$34,IF(AQ36=Цены!$H$35,Цены!$L$35,IF(AQ36=Цены!$H$36,Цены!$L$36,IF(AQ36=Цены!$H$37,Цены!$L$37,IF(AQ36=Цены!$H$38,Цены!$L$38,IF(AQ36=Цены!$H$39,Цены!$L$39,IF(AQ36=Цены!$H$40,Цены!$L$40,IF(AQ36=Цены!$H$41,Цены!$L$41,IF(AQ36=Цены!$H$42,Цены!$L$42,IF(AQ36=Цены!$H$43,Цены!$L$43,IF(AQ36=Цены!$H$44,Цены!$L$44,IF(AQ36=Цены!$H$45,Цены!$L$45,IF(AQ36=Цены!$H$46,Цены!$L$46,IF(AQ36=Цены!$H$47,Цены!$L$47,IF(AQ36=Цены!$H$48,Цены!$L$48,IF(AQ36=Цены!$H$49,Цены!$L$49,IF(AQ36=Цены!$H$50,Цены!$L$50,IF(AQ36=Цены!$H$51,Цены!$L$51,IF(AQ36=Цены!$H$52,Цены!$L$52,IF(AQ36=Цены!$H$53,Цены!$L$53,IF(AQ36=Цены!$H$54,Цены!$L$54,IF(AQ36=Цены!$H$55,Цены!$L$55))))))))))))))))))))))))))))))))))))))))))))))))))))))</f>
        <v>0.19</v>
      </c>
      <c r="AT36" s="276"/>
      <c r="AU36" s="34">
        <f>IF(AQ36=Цены!$H$3,Цены!$K$3,IF(AQ36=Цены!$H$4,Цены!$K$4,IF(AQ36=Цены!$H$5,Цены!$K$5,IF(AQ36=Цены!$H$6,Цены!$K$6,IF(AQ36=Цены!$H$7,Цены!$K$7,IF(AQ36=Цены!$H$8,Цены!$K$8,IF(AQ36=Цены!$H$9,Цены!$K$9,IF(AQ36=Цены!$H$10,Цены!$K$10,IF(AQ36=Цены!$H$11,Цены!$K$11,IF(AQ36=Цены!$H$12,Цены!$K$12,IF(AQ36=Цены!$H$13,Цены!$K$13,IF(AQ36=Цены!$H$14,Цены!$K$14,IF(AQ36=Цены!$H$14,Цены!$K$14,IF(AQ36=Цены!$H$15,Цены!$K$15,IF(AQ36=Цены!$H$16,Цены!$K$16,IF(AQ36=Цены!$H$17,Цены!$K$17,IF(AQ36=Цены!$H$18,Цены!$K$18,IF(AQ36=Цены!$H$19,Цены!$K$19,IF(AQ36=Цены!$H$20,Цены!$K$20,IF(AQ36=Цены!$H$21,Цены!$K$21,IF(AQ36=Цены!$H$22,Цены!$K$22,IF(AQ36=Цены!$H$23,Цены!$K$23,IF(AQ36=Цены!$H$24,Цены!$K$24,IF(AQ36=Цены!$H$25,Цены!$K$25,IF(AQ36=Цены!$H$26,Цены!$K$26,IF(AQ36=Цены!$H$27,Цены!$K$27,IF(AQ36=Цены!$H$28,Цены!$K$28,IF(AQ36=Цены!$H$29,Цены!$K$29,IF(AQ36=Цены!$H$30,Цены!$K$30,IF(AQ36=Цены!$H$31,Цены!$K$31,IF(AQ36=Цены!$H$32,Цены!$K$32,IF(AQ36=Цены!$H$33,Цены!$K$33,IF(AQ36=Цены!$H$34,Цены!$K$34,IF(AQ36=Цены!$H$35,Цены!$K$35,IF(AQ36=Цены!$H$36,Цены!$K$36,IF(AQ36=Цены!$H$37,Цены!$K$37,IF(AQ36=Цены!$H$38,Цены!$K$38,IF(AQ36=Цены!$H$39,Цены!$K$39,IF(AQ36=Цены!$H$40,Цены!$K$40,IF(AQ36=Цены!$H$41,Цены!$K$41,IF(AQ36=Цены!$H$42,Цены!$K$42,IF(AQ36=Цены!$H$43,Цены!$K$43,IF(AQ36=Цены!$H$44,Цены!$K$44,IF(AQ36=Цены!$H$45,Цены!$K$45,IF(AQ36=Цены!$H$46,Цены!$K$46,IF(AQ36=Цены!$H$47,Цены!$K$47,IF(AQ36=Цены!$H$48,Цены!$K$48,IF(AQ36=Цены!$H$49,Цены!$K$49,IF(AQ36=Цены!$H$50,Цены!$K$50,IF(AQ36=Цены!$H$51,Цены!$K$51,IF(AQ36=Цены!$H$52,Цены!$K$52,IF(AQ36=Цены!$H$53,Цены!$K$53,IF(AQ36=Цены!$H$54,Цены!$K$54,IF(AQ36=Цены!$H$55,Цены!$K$55))))))))))))))))))))))))))))))))))))))))))))))))))))))</f>
        <v>448</v>
      </c>
      <c r="AV36" s="265"/>
      <c r="AW36" s="265"/>
      <c r="AX36" s="266"/>
      <c r="AY36" s="267"/>
      <c r="AZ36" s="267"/>
      <c r="BA36" s="268"/>
      <c r="BB36" s="269"/>
      <c r="BC36" s="270"/>
      <c r="BD36" s="259"/>
      <c r="BE36" s="209" t="s">
        <v>144</v>
      </c>
      <c r="BF36" s="71">
        <v>3</v>
      </c>
      <c r="BG36" s="33">
        <f>IF(BE36=Цены!$H$3,Цены!$L$3,IF(BE36=Цены!$H$4,Цены!$L$4,IF(BE36=Цены!$H$5,Цены!$L$5,IF(BE36=Цены!$H$6,Цены!$L$6,IF(BE36=Цены!$H$7,Цены!$L$7,IF(BE36=Цены!$H$8,Цены!$L$8,IF(BE36=Цены!$H$9,Цены!$L$9,IF(BE36=Цены!$H$10,Цены!$L$10,IF(BE36=Цены!$H$11,Цены!$L$11,IF(BE36=Цены!$H$12,Цены!$L$12,IF(BE36=Цены!$H$13,Цены!$L$13,IF(BE36=Цены!$H$14,Цены!$L$14,IF(BE36=Цены!$H$14,Цены!$L$14,IF(BE36=Цены!$H$15,Цены!$L$15,IF(BE36=Цены!$H$16,Цены!$L$16,IF(BE36=Цены!$H$17,Цены!$L$17,IF(BE36=Цены!$H$18,Цены!$L$18,IF(BE36=Цены!$H$19,Цены!$L$19,IF(BE36=Цены!$H$20,Цены!$L$20,IF(BE36=Цены!$H$21,Цены!$L$21,IF(BE36=Цены!$H$22,Цены!$L$22,IF(BE36=Цены!$H$23,Цены!$L$23,IF(BE36=Цены!$H$24,Цены!$L$24,IF(BE36=Цены!$H$25,Цены!$L$25,IF(BE36=Цены!$H$26,Цены!$L$26,IF(BE36=Цены!$H$27,Цены!$L$27,IF(BE36=Цены!$H$28,Цены!$L$28,IF(BE36=Цены!$H$29,Цены!$L$29,IF(BE36=Цены!$H$30,Цены!$L$30,IF(BE36=Цены!$H$31,Цены!$L$31,IF(BE36=Цены!$H$32,Цены!$L$32,IF(BE36=Цены!$H$33,Цены!$L$33,IF(BE36=Цены!$H$34,Цены!$L$34,IF(BE36=Цены!$H$35,Цены!$L$35,IF(BE36=Цены!$H$36,Цены!$L$36,IF(BE36=Цены!$H$37,Цены!$L$37,IF(BE36=Цены!$H$38,Цены!$L$38,IF(BE36=Цены!$H$39,Цены!$L$39,IF(BE36=Цены!$H$40,Цены!$L$40,IF(BE36=Цены!$H$41,Цены!$L$41,IF(BE36=Цены!$H$42,Цены!$L$42,IF(BE36=Цены!$H$43,Цены!$L$43,IF(BE36=Цены!$H$44,Цены!$L$44,IF(BE36=Цены!$H$45,Цены!$L$45,IF(BE36=Цены!$H$46,Цены!$L$46,IF(BE36=Цены!$H$47,Цены!$L$47,IF(BE36=Цены!$H$48,Цены!$L$48,IF(BE36=Цены!$H$49,Цены!$L$49,IF(BE36=Цены!$H$50,Цены!$L$50,IF(BE36=Цены!$H$51,Цены!$L$51,IF(BE36=Цены!$H$52,Цены!$L$52,IF(BE36=Цены!$H$53,Цены!$L$53,IF(BE36=Цены!$H$54,Цены!$L$54,IF(BE36=Цены!$H$55,Цены!$L$55))))))))))))))))))))))))))))))))))))))))))))))))))))))</f>
        <v>0.19</v>
      </c>
      <c r="BH36" s="276"/>
      <c r="BI36" s="34">
        <f>IF(BE36=Цены!$H$3,Цены!$K$3,IF(BE36=Цены!$H$4,Цены!$K$4,IF(BE36=Цены!$H$5,Цены!$K$5,IF(BE36=Цены!$H$6,Цены!$K$6,IF(BE36=Цены!$H$7,Цены!$K$7,IF(BE36=Цены!$H$8,Цены!$K$8,IF(BE36=Цены!$H$9,Цены!$K$9,IF(BE36=Цены!$H$10,Цены!$K$10,IF(BE36=Цены!$H$11,Цены!$K$11,IF(BE36=Цены!$H$12,Цены!$K$12,IF(BE36=Цены!$H$13,Цены!$K$13,IF(BE36=Цены!$H$14,Цены!$K$14,IF(BE36=Цены!$H$14,Цены!$K$14,IF(BE36=Цены!$H$15,Цены!$K$15,IF(BE36=Цены!$H$16,Цены!$K$16,IF(BE36=Цены!$H$17,Цены!$K$17,IF(BE36=Цены!$H$18,Цены!$K$18,IF(BE36=Цены!$H$19,Цены!$K$19,IF(BE36=Цены!$H$20,Цены!$K$20,IF(BE36=Цены!$H$21,Цены!$K$21,IF(BE36=Цены!$H$22,Цены!$K$22,IF(BE36=Цены!$H$23,Цены!$K$23,IF(BE36=Цены!$H$24,Цены!$K$24,IF(BE36=Цены!$H$25,Цены!$K$25,IF(BE36=Цены!$H$26,Цены!$K$26,IF(BE36=Цены!$H$27,Цены!$K$27,IF(BE36=Цены!$H$28,Цены!$K$28,IF(BE36=Цены!$H$29,Цены!$K$29,IF(BE36=Цены!$H$30,Цены!$K$30,IF(BE36=Цены!$H$31,Цены!$K$31,IF(BE36=Цены!$H$32,Цены!$K$32,IF(BE36=Цены!$H$33,Цены!$K$33,IF(BE36=Цены!$H$34,Цены!$K$34,IF(BE36=Цены!$H$35,Цены!$K$35,IF(BE36=Цены!$H$36,Цены!$K$36,IF(BE36=Цены!$H$37,Цены!$K$37,IF(BE36=Цены!$H$38,Цены!$K$38,IF(BE36=Цены!$H$39,Цены!$K$39,IF(BE36=Цены!$H$40,Цены!$K$40,IF(BE36=Цены!$H$41,Цены!$K$41,IF(BE36=Цены!$H$42,Цены!$K$42,IF(BE36=Цены!$H$43,Цены!$K$43,IF(BE36=Цены!$H$44,Цены!$K$44,IF(BE36=Цены!$H$45,Цены!$K$45,IF(BE36=Цены!$H$46,Цены!$K$46,IF(BE36=Цены!$H$47,Цены!$K$47,IF(BE36=Цены!$H$48,Цены!$K$48,IF(BE36=Цены!$H$49,Цены!$K$49,IF(BE36=Цены!$H$50,Цены!$K$50,IF(BE36=Цены!$H$51,Цены!$K$51,IF(BE36=Цены!$H$52,Цены!$K$52,IF(BE36=Цены!$H$53,Цены!$K$53,IF(BE36=Цены!$H$54,Цены!$K$54,IF(BE36=Цены!$H$55,Цены!$K$55))))))))))))))))))))))))))))))))))))))))))))))))))))))</f>
        <v>448</v>
      </c>
      <c r="BJ36" s="265"/>
      <c r="BK36" s="265"/>
      <c r="BL36" s="266"/>
      <c r="BM36" s="267"/>
      <c r="BN36" s="267"/>
      <c r="BO36" s="268"/>
      <c r="BP36" s="269"/>
      <c r="BQ36" s="270"/>
      <c r="BR36" s="213" t="s">
        <v>122</v>
      </c>
      <c r="BS36" s="43">
        <v>3</v>
      </c>
      <c r="BT36" s="33">
        <f>IF(BR36=Цены!$H$3,Цены!$L$3,IF(BR36=Цены!$H$4,Цены!$L$4,IF(BR36=Цены!$H$5,Цены!$L$5,IF(BR36=Цены!$H$6,Цены!$L$6,IF(BR36=Цены!$H$7,Цены!$L$7,IF(BR36=Цены!$H$8,Цены!$L$8,IF(BR36=Цены!$H$9,Цены!$L$9,IF(BR36=Цены!$H$10,Цены!$L$10,IF(BR36=Цены!$H$11,Цены!$L$11,IF(BR36=Цены!$H$12,Цены!$L$12,IF(BR36=Цены!$H$13,Цены!$L$13,IF(BR36=Цены!$H$14,Цены!$L$14,IF(BR36=Цены!$H$14,Цены!$L$14,IF(BR36=Цены!$H$15,Цены!$L$15,IF(BR36=Цены!$H$16,Цены!$L$16,IF(BR36=Цены!$H$17,Цены!$L$17,IF(BR36=Цены!$H$18,Цены!$L$18,IF(BR36=Цены!$H$19,Цены!$L$19,IF(BR36=Цены!$H$20,Цены!$L$20,IF(BR36=Цены!$H$21,Цены!$L$21,IF(BR36=Цены!$H$22,Цены!$L$22,IF(BR36=Цены!$H$23,Цены!$L$23,IF(BR36=Цены!$H$24,Цены!$L$24,IF(BR36=Цены!$H$25,Цены!$L$25,IF(BR36=Цены!$H$26,Цены!$L$26,IF(BR36=Цены!$H$27,Цены!$L$27,IF(BR36=Цены!$H$28,Цены!$L$28,IF(BR36=Цены!$H$29,Цены!$L$29,IF(BR36=Цены!$H$30,Цены!$L$30,IF(BR36=Цены!$H$31,Цены!$L$31,IF(BR36=Цены!$H$32,Цены!$L$32,IF(BR36=Цены!$H$33,Цены!$L$33,IF(BR36=Цены!$H$34,Цены!$L$34,IF(BR36=Цены!$H$35,Цены!$L$35,IF(BR36=Цены!$H$36,Цены!$L$36,IF(BR36=Цены!$H$37,Цены!$L$37,IF(BR36=Цены!$H$38,Цены!$L$38,IF(BR36=Цены!$H$39,Цены!$L$39,IF(BR36=Цены!$H$40,Цены!$L$40,IF(BR36=Цены!$H$41,Цены!$L$41,IF(BR36=Цены!$H$42,Цены!$L$42,IF(BR36=Цены!$H$43,Цены!$L$43,IF(BR36=Цены!$H$44,Цены!$L$44,IF(BR36=Цены!$H$45,Цены!$L$45,IF(BR36=Цены!$H$46,Цены!$L$46,IF(BR36=Цены!$H$47,Цены!$L$47,IF(BR36=Цены!$H$48,Цены!$L$48,IF(BR36=Цены!$H$49,Цены!$L$49,IF(BR36=Цены!$H$50,Цены!$L$50,IF(BR36=Цены!$H$51,Цены!$L$51,IF(BR36=Цены!$H$52,Цены!$L$52,IF(BR36=Цены!$H$53,Цены!$L$53,IF(BR36=Цены!$H$54,Цены!$L$54,IF(BR36=Цены!$H$55,Цены!$L$55))))))))))))))))))))))))))))))))))))))))))))))))))))))</f>
        <v>0.6</v>
      </c>
      <c r="BU36" s="276"/>
      <c r="BV36" s="34">
        <f>IF(BR36=Цены!$H$3,Цены!$K$3,IF(BR36=Цены!$H$4,Цены!$K$4,IF(BR36=Цены!$H$5,Цены!$K$5,IF(BR36=Цены!$H$6,Цены!$K$6,IF(BR36=Цены!$H$7,Цены!$K$7,IF(BR36=Цены!$H$8,Цены!$K$8,IF(BR36=Цены!$H$9,Цены!$K$9,IF(BR36=Цены!$H$10,Цены!$K$10,IF(BR36=Цены!$H$11,Цены!$K$11,IF(BR36=Цены!$H$12,Цены!$K$12,IF(BR36=Цены!$H$13,Цены!$K$13,IF(BR36=Цены!$H$14,Цены!$K$14,IF(BR36=Цены!$H$14,Цены!$K$14,IF(BR36=Цены!$H$15,Цены!$K$15,IF(BR36=Цены!$H$16,Цены!$K$16,IF(BR36=Цены!$H$17,Цены!$K$17,IF(BR36=Цены!$H$18,Цены!$K$18,IF(BR36=Цены!$H$19,Цены!$K$19,IF(BR36=Цены!$H$20,Цены!$K$20,IF(BR36=Цены!$H$21,Цены!$K$21,IF(BR36=Цены!$H$22,Цены!$K$22,IF(BR36=Цены!$H$23,Цены!$K$23,IF(BR36=Цены!$H$24,Цены!$K$24,IF(BR36=Цены!$H$25,Цены!$K$25,IF(BR36=Цены!$H$26,Цены!$K$26,IF(BR36=Цены!$H$27,Цены!$K$27,IF(BR36=Цены!$H$28,Цены!$K$28,IF(BR36=Цены!$H$29,Цены!$K$29,IF(BR36=Цены!$H$30,Цены!$K$30,IF(BR36=Цены!$H$31,Цены!$K$31,IF(BR36=Цены!$H$32,Цены!$K$32,IF(BR36=Цены!$H$33,Цены!$K$33,IF(BR36=Цены!$H$34,Цены!$K$34,IF(BR36=Цены!$H$35,Цены!$K$35,IF(BR36=Цены!$H$36,Цены!$K$36,IF(BR36=Цены!$H$37,Цены!$K$37,IF(BR36=Цены!$H$38,Цены!$K$38,IF(BR36=Цены!$H$39,Цены!$K$39,IF(BR36=Цены!$H$40,Цены!$K$40,IF(BR36=Цены!$H$41,Цены!$K$41,IF(BR36=Цены!$H$42,Цены!$K$42,IF(BR36=Цены!$H$43,Цены!$K$43,IF(BR36=Цены!$H$44,Цены!$K$44,IF(BR36=Цены!$H$45,Цены!$K$45,IF(BR36=Цены!$H$46,Цены!$K$46,IF(BR36=Цены!$H$47,Цены!$K$47,IF(BR36=Цены!$H$48,Цены!$K$48,IF(BR36=Цены!$H$49,Цены!$K$49,IF(BR36=Цены!$H$50,Цены!$K$50,IF(BR36=Цены!$H$51,Цены!$K$51,IF(BR36=Цены!$H$52,Цены!$K$52,IF(BR36=Цены!$H$53,Цены!$K$53,IF(BR36=Цены!$H$54,Цены!$K$54,IF(BR36=Цены!$H$55,Цены!$K$55))))))))))))))))))))))))))))))))))))))))))))))))))))))</f>
        <v>166</v>
      </c>
      <c r="BW36" s="265"/>
      <c r="BX36" s="265"/>
      <c r="BY36" s="266"/>
      <c r="BZ36" s="267"/>
      <c r="CA36" s="267"/>
      <c r="CB36" s="268"/>
      <c r="CC36" s="269"/>
      <c r="CD36" s="270"/>
      <c r="CE36" s="171" t="s">
        <v>91</v>
      </c>
      <c r="CF36" s="43">
        <v>2</v>
      </c>
      <c r="CG36" s="33">
        <f>IF(CE36=Цены!$H$3,Цены!$L$3,IF(CE36=Цены!$H$4,Цены!$L$4,IF(CE36=Цены!$H$5,Цены!$L$5,IF(CE36=Цены!$H$6,Цены!$L$6,IF(CE36=Цены!$H$7,Цены!$L$7,IF(CE36=Цены!$H$8,Цены!$L$8,IF(CE36=Цены!$H$9,Цены!$L$9,IF(CE36=Цены!$H$10,Цены!$L$10,IF(CE36=Цены!$H$11,Цены!$L$11,IF(CE36=Цены!$H$12,Цены!$L$12,IF(CE36=Цены!$H$13,Цены!$L$13,IF(CE36=Цены!$H$14,Цены!$L$14,IF(CE36=Цены!$H$14,Цены!$L$14,IF(CE36=Цены!$H$15,Цены!$L$15,IF(CE36=Цены!$H$16,Цены!$L$16,IF(CE36=Цены!$H$17,Цены!$L$17,IF(CE36=Цены!$H$18,Цены!$L$18,IF(CE36=Цены!$H$19,Цены!$L$19,IF(CE36=Цены!$H$20,Цены!$L$20,IF(CE36=Цены!$H$21,Цены!$L$21,IF(CE36=Цены!$H$22,Цены!$L$22,IF(CE36=Цены!$H$23,Цены!$L$23,IF(CE36=Цены!$H$24,Цены!$L$24,IF(CE36=Цены!$H$25,Цены!$L$25,IF(CE36=Цены!$H$26,Цены!$L$26,IF(CE36=Цены!$H$27,Цены!$L$27,IF(CE36=Цены!$H$28,Цены!$L$28,IF(CE36=Цены!$H$29,Цены!$L$29,IF(CE36=Цены!$H$30,Цены!$L$30,IF(CE36=Цены!$H$31,Цены!$L$31,IF(CE36=Цены!$H$32,Цены!$L$32,IF(CE36=Цены!$H$33,Цены!$L$33,IF(CE36=Цены!$H$34,Цены!$L$34,IF(CE36=Цены!$H$35,Цены!$L$35,IF(CE36=Цены!$H$36,Цены!$L$36,IF(CE36=Цены!$H$37,Цены!$L$37,IF(CE36=Цены!$H$38,Цены!$L$38,IF(CE36=Цены!$H$39,Цены!$L$39,IF(CE36=Цены!$H$40,Цены!$L$40,IF(CE36=Цены!$H$41,Цены!$L$41,IF(CE36=Цены!$H$42,Цены!$L$42,IF(CE36=Цены!$H$43,Цены!$L$43,IF(CE36=Цены!$H$44,Цены!$L$44,IF(CE36=Цены!$H$45,Цены!$L$45,IF(CE36=Цены!$H$46,Цены!$L$46,IF(CE36=Цены!$H$47,Цены!$L$47,IF(CE36=Цены!$H$48,Цены!$L$48,IF(CE36=Цены!$H$49,Цены!$L$49,IF(CE36=Цены!$H$50,Цены!$L$50,IF(CE36=Цены!$H$51,Цены!$L$51,IF(CE36=Цены!$H$52,Цены!$L$52,IF(CE36=Цены!$H$53,Цены!$L$53,IF(CE36=Цены!$H$54,Цены!$L$54,IF(CE36=Цены!$H$55,Цены!$L$55))))))))))))))))))))))))))))))))))))))))))))))))))))))</f>
        <v>0.19</v>
      </c>
      <c r="CH36" s="276"/>
      <c r="CI36" s="34">
        <f>IF(CE36=Цены!$H$3,Цены!$K$3,IF(CE36=Цены!$H$4,Цены!$K$4,IF(CE36=Цены!$H$5,Цены!$K$5,IF(CE36=Цены!$H$6,Цены!$K$6,IF(CE36=Цены!$H$7,Цены!$K$7,IF(CE36=Цены!$H$8,Цены!$K$8,IF(CE36=Цены!$H$9,Цены!$K$9,IF(CE36=Цены!$H$10,Цены!$K$10,IF(CE36=Цены!$H$11,Цены!$K$11,IF(CE36=Цены!$H$12,Цены!$K$12,IF(CE36=Цены!$H$13,Цены!$K$13,IF(CE36=Цены!$H$14,Цены!$K$14,IF(CE36=Цены!$H$14,Цены!$K$14,IF(CE36=Цены!$H$15,Цены!$K$15,IF(CE36=Цены!$H$16,Цены!$K$16,IF(CE36=Цены!$H$17,Цены!$K$17,IF(CE36=Цены!$H$18,Цены!$K$18,IF(CE36=Цены!$H$19,Цены!$K$19,IF(CE36=Цены!$H$20,Цены!$K$20,IF(CE36=Цены!$H$21,Цены!$K$21,IF(CE36=Цены!$H$22,Цены!$K$22,IF(CE36=Цены!$H$23,Цены!$K$23,IF(CE36=Цены!$H$24,Цены!$K$24,IF(CE36=Цены!$H$25,Цены!$K$25,IF(CE36=Цены!$H$26,Цены!$K$26,IF(CE36=Цены!$H$27,Цены!$K$27,IF(CE36=Цены!$H$28,Цены!$K$28,IF(CE36=Цены!$H$29,Цены!$K$29,IF(CE36=Цены!$H$30,Цены!$K$30,IF(CE36=Цены!$H$31,Цены!$K$31,IF(CE36=Цены!$H$32,Цены!$K$32,IF(CE36=Цены!$H$33,Цены!$K$33,IF(CE36=Цены!$H$34,Цены!$K$34,IF(CE36=Цены!$H$35,Цены!$K$35,IF(CE36=Цены!$H$36,Цены!$K$36,IF(CE36=Цены!$H$37,Цены!$K$37,IF(CE36=Цены!$H$38,Цены!$K$38,IF(CE36=Цены!$H$39,Цены!$K$39,IF(CE36=Цены!$H$40,Цены!$K$40,IF(CE36=Цены!$H$41,Цены!$K$41,IF(CE36=Цены!$H$42,Цены!$K$42,IF(CE36=Цены!$H$43,Цены!$K$43,IF(CE36=Цены!$H$44,Цены!$K$44,IF(CE36=Цены!$H$45,Цены!$K$45,IF(CE36=Цены!$H$46,Цены!$K$46,IF(CE36=Цены!$H$47,Цены!$K$47,IF(CE36=Цены!$H$48,Цены!$K$48,IF(CE36=Цены!$H$49,Цены!$K$49,IF(CE36=Цены!$H$50,Цены!$K$50,IF(CE36=Цены!$H$51,Цены!$K$51,IF(CE36=Цены!$H$52,Цены!$K$52,IF(CE36=Цены!$H$53,Цены!$K$53,IF(CE36=Цены!$H$54,Цены!$K$54,IF(CE36=Цены!$H$55,Цены!$K$55))))))))))))))))))))))))))))))))))))))))))))))))))))))</f>
        <v>448</v>
      </c>
      <c r="CJ36" s="265"/>
      <c r="CK36" s="265"/>
      <c r="CL36" s="266"/>
      <c r="CM36" s="267"/>
      <c r="CN36" s="267"/>
      <c r="CO36" s="268"/>
      <c r="CP36" s="269"/>
      <c r="CQ36" s="270"/>
    </row>
    <row r="37" spans="1:95" x14ac:dyDescent="0.25">
      <c r="A37" s="353"/>
      <c r="B37" s="265"/>
      <c r="C37" s="265"/>
      <c r="D37" s="171" t="s">
        <v>123</v>
      </c>
      <c r="E37" s="167">
        <v>4</v>
      </c>
      <c r="F37" s="27">
        <f>IF(D37=Цены!$H$3,Цены!$L$3,IF(D37=Цены!$H$4,Цены!$L$4,IF(D37=Цены!$H$5,Цены!$L$5,IF(D37=Цены!$H$6,Цены!$L$6,IF(D37=Цены!$H$7,Цены!$L$7,IF(D37=Цены!$H$8,Цены!$L$8,IF(D37=Цены!$H$9,Цены!$L$9,IF(D37=Цены!$H$10,Цены!$L$10,IF(D37=Цены!$H$11,Цены!$L$11,IF(D37=Цены!$H$12,Цены!$L$12,IF(D37=Цены!$H$13,Цены!$L$13,IF(D37=Цены!$H$14,Цены!$L$14,IF(D37=Цены!$H$14,Цены!$L$14,IF(D37=Цены!$H$15,Цены!$L$15,IF(D37=Цены!$H$16,Цены!$L$16,IF(D37=Цены!$H$17,Цены!$L$17,IF(D37=Цены!$H$18,Цены!$L$18,IF(D37=Цены!$H$19,Цены!$L$19,IF(D37=Цены!$H$20,Цены!$L$20,IF(D37=Цены!$H$21,Цены!$L$21,IF(D37=Цены!$H$22,Цены!$L$22,IF(D37=Цены!$H$23,Цены!$L$23,IF(D37=Цены!$H$24,Цены!$L$24,IF(D37=Цены!$H$25,Цены!$L$25,IF(D37=Цены!$H$26,Цены!$L$26,IF(D37=Цены!$H$27,Цены!$L$27,IF(D37=Цены!$H$28,Цены!$L$28,IF(D37=Цены!$H$29,Цены!$L$29,IF(D37=Цены!$H$30,Цены!$L$30,IF(D37=Цены!$H$31,Цены!$L$31,IF(D37=Цены!$H$32,Цены!$L$32,IF(D37=Цены!$H$33,Цены!$L$33,IF(D37=Цены!$H$34,Цены!$L$34,IF(D37=Цены!$H$35,Цены!$L$35,IF(D37=Цены!$H$36,Цены!$L$36,IF(D37=Цены!$H$37,Цены!$L$37,IF(D37=Цены!$H$38,Цены!$L$38,IF(D37=Цены!$H$39,Цены!$L$39,IF(D37=Цены!$H$40,Цены!$L$40,IF(D37=Цены!$H$41,Цены!$L$41,IF(D37=Цены!$H$42,Цены!$L$42,IF(D37=Цены!$H$43,Цены!$L$43,IF(D37=Цены!$H$44,Цены!$L$44,IF(D37=Цены!$H$45,Цены!$L$45,IF(D37=Цены!$H$46,Цены!$L$46,IF(D37=Цены!$H$47,Цены!$L$47,IF(D37=Цены!$H$48,Цены!$L$48,IF(D37=Цены!$H$49,Цены!$L$49,IF(D37=Цены!$H$50,Цены!$L$50,IF(D37=Цены!$H$51,Цены!$L$51,IF(D37=Цены!$H$52,Цены!$L$52,IF(D37=Цены!$H$53,Цены!$L$53,IF(D37=Цены!$H$54,Цены!$L$54,IF(D37=Цены!$H$55,Цены!$L$55))))))))))))))))))))))))))))))))))))))))))))))))))))))</f>
        <v>0.39</v>
      </c>
      <c r="G37" s="309"/>
      <c r="H37" s="28">
        <f>IF(D37=Цены!$H$3,Цены!$K$3,IF(D37=Цены!$H$4,Цены!$K$4,IF(D37=Цены!$H$5,Цены!$K$5,IF(D37=Цены!$H$6,Цены!$K$6,IF(D37=Цены!$H$7,Цены!$K$7,IF(D37=Цены!$H$8,Цены!$K$8,IF(D37=Цены!$H$9,Цены!$K$9,IF(D37=Цены!$H$10,Цены!$K$10,IF(D37=Цены!$H$11,Цены!$K$11,IF(D37=Цены!$H$12,Цены!$K$12,IF(D37=Цены!$H$13,Цены!$K$13,IF(D37=Цены!$H$14,Цены!$K$14,IF(D37=Цены!$H$14,Цены!$K$14,IF(D37=Цены!$H$15,Цены!$K$15,IF(D37=Цены!$H$16,Цены!$K$16,IF(D37=Цены!$H$17,Цены!$K$17,IF(D37=Цены!$H$18,Цены!$K$18,IF(D37=Цены!$H$19,Цены!$K$19,IF(D37=Цены!$H$20,Цены!$K$20,IF(D37=Цены!$H$21,Цены!$K$21,IF(D37=Цены!$H$22,Цены!$K$22,IF(D37=Цены!$H$23,Цены!$K$23,IF(D37=Цены!$H$24,Цены!$K$24,IF(D37=Цены!$H$25,Цены!$K$25,IF(D37=Цены!$H$26,Цены!$K$26,IF(D37=Цены!$H$27,Цены!$K$27,IF(D37=Цены!$H$28,Цены!$K$28,IF(D37=Цены!$H$29,Цены!$K$29,IF(D37=Цены!$H$30,Цены!$K$30,IF(D37=Цены!$H$31,Цены!$K$31,IF(D37=Цены!$H$32,Цены!$K$32,IF(D37=Цены!$H$33,Цены!$K$33,IF(D37=Цены!$H$34,Цены!$K$34,IF(D37=Цены!$H$35,Цены!$K$35,IF(D37=Цены!$H$36,Цены!$K$36,IF(D37=Цены!$H$37,Цены!$K$37,IF(D37=Цены!$H$38,Цены!$K$38,IF(D37=Цены!$H$39,Цены!$K$39,IF(D37=Цены!$H$40,Цены!$K$40,IF(D37=Цены!$H$41,Цены!$K$41,IF(D37=Цены!$H$42,Цены!$K$42,IF(D37=Цены!$H$43,Цены!$K$43,IF(D37=Цены!$H$44,Цены!$K$44,IF(D37=Цены!$H$45,Цены!$K$45,IF(D37=Цены!$H$46,Цены!$K$46,IF(D37=Цены!$H$47,Цены!$K$47,IF(D37=Цены!$H$48,Цены!$K$48,IF(D37=Цены!$H$49,Цены!$K$49,IF(D37=Цены!$H$50,Цены!$K$50,IF(D37=Цены!$H$51,Цены!$K$51,IF(D37=Цены!$H$52,Цены!$K$52,IF(D37=Цены!$H$53,Цены!$K$53,IF(D37=Цены!$H$54,Цены!$K$54,IF(D37=Цены!$H$55,Цены!$K$55))))))))))))))))))))))))))))))))))))))))))))))))))))))</f>
        <v>624</v>
      </c>
      <c r="I37" s="265"/>
      <c r="J37" s="265"/>
      <c r="K37" s="266"/>
      <c r="L37" s="267"/>
      <c r="M37" s="267"/>
      <c r="N37" s="268"/>
      <c r="O37" s="310"/>
      <c r="P37" s="270"/>
      <c r="Q37" s="210"/>
      <c r="R37" s="30"/>
      <c r="S37" s="27" t="b">
        <f>IF(Q37=Цены!$H$3,Цены!$L$3,IF(Q37=Цены!$H$4,Цены!$L$4,IF(Q37=Цены!$H$5,Цены!$L$5,IF(Q37=Цены!$H$6,Цены!$L$6,IF(Q37=Цены!$H$7,Цены!$L$7,IF(Q37=Цены!$H$8,Цены!$L$8,IF(Q37=Цены!$H$9,Цены!$L$9,IF(Q37=Цены!$H$10,Цены!$L$10,IF(Q37=Цены!$H$11,Цены!$L$11,IF(Q37=Цены!$H$12,Цены!$L$12,IF(Q37=Цены!$H$13,Цены!$L$13,IF(Q37=Цены!$H$14,Цены!$L$14,IF(Q37=Цены!$H$14,Цены!$L$14,IF(Q37=Цены!$H$15,Цены!$L$15,IF(Q37=Цены!$H$16,Цены!$L$16,IF(Q37=Цены!$H$17,Цены!$L$17,IF(Q37=Цены!$H$18,Цены!$L$18,IF(Q37=Цены!$H$19,Цены!$L$19,IF(Q37=Цены!$H$20,Цены!$L$20,IF(Q37=Цены!$H$21,Цены!$L$21,IF(Q37=Цены!$H$22,Цены!$L$22,IF(Q37=Цены!$H$23,Цены!$L$23,IF(Q37=Цены!$H$24,Цены!$L$24,IF(Q37=Цены!$H$25,Цены!$L$25,IF(Q37=Цены!$H$26,Цены!$L$26,IF(Q37=Цены!$H$27,Цены!$L$27,IF(Q37=Цены!$H$28,Цены!$L$28,IF(Q37=Цены!$H$29,Цены!$L$29,IF(Q37=Цены!$H$30,Цены!$L$30,IF(Q37=Цены!$H$31,Цены!$L$31,IF(Q37=Цены!$H$32,Цены!$L$32,IF(Q37=Цены!$H$33,Цены!$L$33,IF(Q37=Цены!$H$34,Цены!$L$34,IF(Q37=Цены!$H$35,Цены!$L$35,IF(Q37=Цены!$H$36,Цены!$L$36,IF(Q37=Цены!$H$37,Цены!$L$37,IF(Q37=Цены!$H$38,Цены!$L$38,IF(Q37=Цены!$H$39,Цены!$L$39,IF(Q37=Цены!$H$40,Цены!$L$40,IF(Q37=Цены!$H$41,Цены!$L$41,IF(Q37=Цены!$H$42,Цены!$L$42,IF(Q37=Цены!$H$43,Цены!$L$43,IF(Q37=Цены!$H$44,Цены!$L$44,IF(Q37=Цены!$H$45,Цены!$L$45,IF(Q37=Цены!$H$46,Цены!$L$46,IF(Q37=Цены!$H$47,Цены!$L$47,IF(Q37=Цены!$H$48,Цены!$L$48,IF(Q37=Цены!$H$49,Цены!$L$49,IF(Q37=Цены!$H$50,Цены!$L$50,IF(Q37=Цены!$H$51,Цены!$L$51,IF(Q37=Цены!$H$52,Цены!$L$52,IF(Q37=Цены!$H$53,Цены!$L$53,IF(Q37=Цены!$H$54,Цены!$L$54,IF(Q37=Цены!$H$55,Цены!$L$55))))))))))))))))))))))))))))))))))))))))))))))))))))))</f>
        <v>0</v>
      </c>
      <c r="T37" s="309"/>
      <c r="U37" s="162" t="b">
        <f>IF(Q37=Цены!$H$3,Цены!$K$3,IF(Q37=Цены!$H$4,Цены!$K$4,IF(Q37=Цены!$H$5,Цены!$K$5,IF(Q37=Цены!$H$6,Цены!$K$6,IF(Q37=Цены!$H$7,Цены!$K$7,IF(Q37=Цены!$H$8,Цены!$K$8,IF(Q37=Цены!$H$9,Цены!$K$9,IF(Q37=Цены!$H$10,Цены!$K$10,IF(Q37=Цены!$H$11,Цены!$K$11,IF(Q37=Цены!$H$12,Цены!$K$12,IF(Q37=Цены!$H$13,Цены!$K$13,IF(Q37=Цены!$H$14,Цены!$K$14,IF(Q37=Цены!$H$14,Цены!$K$14,IF(Q37=Цены!$H$15,Цены!$K$15,IF(Q37=Цены!$H$16,Цены!$K$16,IF(Q37=Цены!$H$17,Цены!$K$17,IF(Q37=Цены!$H$18,Цены!$K$18,IF(Q37=Цены!$H$19,Цены!$K$19,IF(Q37=Цены!$H$20,Цены!$K$20,IF(Q37=Цены!$H$21,Цены!$K$21,IF(Q37=Цены!$H$22,Цены!$K$22,IF(Q37=Цены!$H$23,Цены!$K$23,IF(Q37=Цены!$H$24,Цены!$K$24,IF(Q37=Цены!$H$25,Цены!$K$25,IF(Q37=Цены!$H$26,Цены!$K$26,IF(Q37=Цены!$H$27,Цены!$K$27,IF(Q37=Цены!$H$28,Цены!$K$28,IF(Q37=Цены!$H$29,Цены!$K$29,IF(Q37=Цены!$H$30,Цены!$K$30,IF(Q37=Цены!$H$31,Цены!$K$31,IF(Q37=Цены!$H$32,Цены!$K$32,IF(Q37=Цены!$H$33,Цены!$K$33,IF(Q37=Цены!$H$34,Цены!$K$34,IF(Q37=Цены!$H$35,Цены!$K$35,IF(Q37=Цены!$H$36,Цены!$K$36,IF(Q37=Цены!$H$37,Цены!$K$37,IF(Q37=Цены!$H$38,Цены!$K$38,IF(Q37=Цены!$H$39,Цены!$K$39,IF(Q37=Цены!$H$40,Цены!$K$40,IF(Q37=Цены!$H$41,Цены!$K$41,IF(Q37=Цены!$H$42,Цены!$K$42,IF(Q37=Цены!$H$43,Цены!$K$43,IF(Q37=Цены!$H$44,Цены!$K$44,IF(Q37=Цены!$H$45,Цены!$K$45,IF(Q37=Цены!$H$46,Цены!$K$46,IF(Q37=Цены!$H$47,Цены!$K$47,IF(Q37=Цены!$H$48,Цены!$K$48,IF(Q37=Цены!$H$49,Цены!$K$49,IF(Q37=Цены!$H$50,Цены!$K$50,IF(Q37=Цены!$H$51,Цены!$K$51,IF(Q37=Цены!$H$52,Цены!$K$52,IF(Q37=Цены!$H$53,Цены!$K$53,IF(Q37=Цены!$H$54,Цены!$K$54,IF(Q37=Цены!$H$55,Цены!$K$55))))))))))))))))))))))))))))))))))))))))))))))))))))))</f>
        <v>0</v>
      </c>
      <c r="V37" s="265"/>
      <c r="W37" s="265"/>
      <c r="X37" s="266"/>
      <c r="Y37" s="267"/>
      <c r="Z37" s="267"/>
      <c r="AA37" s="320"/>
      <c r="AB37" s="310"/>
      <c r="AC37" s="270"/>
      <c r="AD37" s="209" t="s">
        <v>88</v>
      </c>
      <c r="AE37" s="128">
        <v>5</v>
      </c>
      <c r="AF37" s="27">
        <f>IF(AD37=Цены!$H$3,Цены!$L$3,IF(AD37=Цены!$H$4,Цены!$L$4,IF(AD37=Цены!$H$5,Цены!$L$5,IF(AD37=Цены!$H$6,Цены!$L$6,IF(AD37=Цены!$H$7,Цены!$L$7,IF(AD37=Цены!$H$8,Цены!$L$8,IF(AD37=Цены!$H$9,Цены!$L$9,IF(AD37=Цены!$H$10,Цены!$L$10,IF(AD37=Цены!$H$11,Цены!$L$11,IF(AD37=Цены!$H$12,Цены!$L$12,IF(AD37=Цены!$H$13,Цены!$L$13,IF(AD37=Цены!$H$14,Цены!$L$14,IF(AD37=Цены!$H$14,Цены!$L$14,IF(AD37=Цены!$H$15,Цены!$L$15,IF(AD37=Цены!$H$16,Цены!$L$16,IF(AD37=Цены!$H$17,Цены!$L$17,IF(AD37=Цены!$H$18,Цены!$L$18,IF(AD37=Цены!$H$19,Цены!$L$19,IF(AD37=Цены!$H$20,Цены!$L$20,IF(AD37=Цены!$H$21,Цены!$L$21,IF(AD37=Цены!$H$22,Цены!$L$22,IF(AD37=Цены!$H$23,Цены!$L$23,IF(AD37=Цены!$H$24,Цены!$L$24,IF(AD37=Цены!$H$25,Цены!$L$25,IF(AD37=Цены!$H$26,Цены!$L$26,IF(AD37=Цены!$H$27,Цены!$L$27,IF(AD37=Цены!$H$28,Цены!$L$28,IF(AD37=Цены!$H$29,Цены!$L$29,IF(AD37=Цены!$H$30,Цены!$L$30,IF(AD37=Цены!$H$31,Цены!$L$31,IF(AD37=Цены!$H$32,Цены!$L$32,IF(AD37=Цены!$H$33,Цены!$L$33,IF(AD37=Цены!$H$34,Цены!$L$34,IF(AD37=Цены!$H$35,Цены!$L$35,IF(AD37=Цены!$H$36,Цены!$L$36,IF(AD37=Цены!$H$37,Цены!$L$37,IF(AD37=Цены!$H$38,Цены!$L$38,IF(AD37=Цены!$H$39,Цены!$L$39,IF(AD37=Цены!$H$40,Цены!$L$40,IF(AD37=Цены!$H$41,Цены!$L$41,IF(AD37=Цены!$H$42,Цены!$L$42,IF(AD37=Цены!$H$43,Цены!$L$43,IF(AD37=Цены!$H$44,Цены!$L$44,IF(AD37=Цены!$H$45,Цены!$L$45,IF(AD37=Цены!$H$46,Цены!$L$46,IF(AD37=Цены!$H$47,Цены!$L$47,IF(AD37=Цены!$H$48,Цены!$L$48,IF(AD37=Цены!$H$49,Цены!$L$49,IF(AD37=Цены!$H$50,Цены!$L$50,IF(AD37=Цены!$H$51,Цены!$L$51,IF(AD37=Цены!$H$52,Цены!$L$52,IF(AD37=Цены!$H$53,Цены!$L$53,IF(AD37=Цены!$H$54,Цены!$L$54,IF(AD37=Цены!$H$55,Цены!$L$55))))))))))))))))))))))))))))))))))))))))))))))))))))))</f>
        <v>1.8</v>
      </c>
      <c r="AG37" s="309"/>
      <c r="AH37" s="28">
        <f>IF(AD37=Цены!$H$3,Цены!$K$3,IF(AD37=Цены!$H$4,Цены!$K$4,IF(AD37=Цены!$H$5,Цены!$K$5,IF(AD37=Цены!$H$6,Цены!$K$6,IF(AD37=Цены!$H$7,Цены!$K$7,IF(AD37=Цены!$H$8,Цены!$K$8,IF(AD37=Цены!$H$9,Цены!$K$9,IF(AD37=Цены!$H$10,Цены!$K$10,IF(AD37=Цены!$H$11,Цены!$K$11,IF(AD37=Цены!$H$12,Цены!$K$12,IF(AD37=Цены!$H$13,Цены!$K$13,IF(AD37=Цены!$H$14,Цены!$K$14,IF(AD37=Цены!$H$14,Цены!$K$14,IF(AD37=Цены!$H$15,Цены!$K$15,IF(AD37=Цены!$H$16,Цены!$K$16,IF(AD37=Цены!$H$17,Цены!$K$17,IF(AD37=Цены!$H$18,Цены!$K$18,IF(AD37=Цены!$H$19,Цены!$K$19,IF(AD37=Цены!$H$20,Цены!$K$20,IF(AD37=Цены!$H$21,Цены!$K$21,IF(AD37=Цены!$H$22,Цены!$K$22,IF(AD37=Цены!$H$23,Цены!$K$23,IF(AD37=Цены!$H$24,Цены!$K$24,IF(AD37=Цены!$H$25,Цены!$K$25,IF(AD37=Цены!$H$26,Цены!$K$26,IF(AD37=Цены!$H$27,Цены!$K$27,IF(AD37=Цены!$H$28,Цены!$K$28,IF(AD37=Цены!$H$29,Цены!$K$29,IF(AD37=Цены!$H$30,Цены!$K$30,IF(AD37=Цены!$H$31,Цены!$K$31,IF(AD37=Цены!$H$32,Цены!$K$32,IF(AD37=Цены!$H$33,Цены!$K$33,IF(AD37=Цены!$H$34,Цены!$K$34,IF(AD37=Цены!$H$35,Цены!$K$35,IF(AD37=Цены!$H$36,Цены!$K$36,IF(AD37=Цены!$H$37,Цены!$K$37,IF(AD37=Цены!$H$38,Цены!$K$38,IF(AD37=Цены!$H$39,Цены!$K$39,IF(AD37=Цены!$H$40,Цены!$K$40,IF(AD37=Цены!$H$41,Цены!$K$41,IF(AD37=Цены!$H$42,Цены!$K$42,IF(AD37=Цены!$H$43,Цены!$K$43,IF(AD37=Цены!$H$44,Цены!$K$44,IF(AD37=Цены!$H$45,Цены!$K$45,IF(AD37=Цены!$H$46,Цены!$K$46,IF(AD37=Цены!$H$47,Цены!$K$47,IF(AD37=Цены!$H$48,Цены!$K$48,IF(AD37=Цены!$H$49,Цены!$K$49,IF(AD37=Цены!$H$50,Цены!$K$50,IF(AD37=Цены!$H$51,Цены!$K$51,IF(AD37=Цены!$H$52,Цены!$K$52,IF(AD37=Цены!$H$53,Цены!$K$53,IF(AD37=Цены!$H$54,Цены!$K$54,IF(AD37=Цены!$H$55,Цены!$K$55))))))))))))))))))))))))))))))))))))))))))))))))))))))</f>
        <v>388</v>
      </c>
      <c r="AI37" s="265"/>
      <c r="AJ37" s="265"/>
      <c r="AK37" s="266"/>
      <c r="AL37" s="267"/>
      <c r="AM37" s="267"/>
      <c r="AN37" s="268"/>
      <c r="AO37" s="310"/>
      <c r="AP37" s="270"/>
      <c r="AQ37" s="209"/>
      <c r="AR37" s="129"/>
      <c r="AS37" s="33" t="b">
        <f>IF(AQ37=Цены!$H$3,Цены!$L$3,IF(AQ37=Цены!$H$4,Цены!$L$4,IF(AQ37=Цены!$H$5,Цены!$L$5,IF(AQ37=Цены!$H$6,Цены!$L$6,IF(AQ37=Цены!$H$7,Цены!$L$7,IF(AQ37=Цены!$H$8,Цены!$L$8,IF(AQ37=Цены!$H$9,Цены!$L$9,IF(AQ37=Цены!$H$10,Цены!$L$10,IF(AQ37=Цены!$H$11,Цены!$L$11,IF(AQ37=Цены!$H$12,Цены!$L$12,IF(AQ37=Цены!$H$13,Цены!$L$13,IF(AQ37=Цены!$H$14,Цены!$L$14,IF(AQ37=Цены!$H$14,Цены!$L$14,IF(AQ37=Цены!$H$15,Цены!$L$15,IF(AQ37=Цены!$H$16,Цены!$L$16,IF(AQ37=Цены!$H$17,Цены!$L$17,IF(AQ37=Цены!$H$18,Цены!$L$18,IF(AQ37=Цены!$H$19,Цены!$L$19,IF(AQ37=Цены!$H$20,Цены!$L$20,IF(AQ37=Цены!$H$21,Цены!$L$21,IF(AQ37=Цены!$H$22,Цены!$L$22,IF(AQ37=Цены!$H$23,Цены!$L$23,IF(AQ37=Цены!$H$24,Цены!$L$24,IF(AQ37=Цены!$H$25,Цены!$L$25,IF(AQ37=Цены!$H$26,Цены!$L$26,IF(AQ37=Цены!$H$27,Цены!$L$27,IF(AQ37=Цены!$H$28,Цены!$L$28,IF(AQ37=Цены!$H$29,Цены!$L$29,IF(AQ37=Цены!$H$30,Цены!$L$30,IF(AQ37=Цены!$H$31,Цены!$L$31,IF(AQ37=Цены!$H$32,Цены!$L$32,IF(AQ37=Цены!$H$33,Цены!$L$33,IF(AQ37=Цены!$H$34,Цены!$L$34,IF(AQ37=Цены!$H$35,Цены!$L$35,IF(AQ37=Цены!$H$36,Цены!$L$36,IF(AQ37=Цены!$H$37,Цены!$L$37,IF(AQ37=Цены!$H$38,Цены!$L$38,IF(AQ37=Цены!$H$39,Цены!$L$39,IF(AQ37=Цены!$H$40,Цены!$L$40,IF(AQ37=Цены!$H$41,Цены!$L$41,IF(AQ37=Цены!$H$42,Цены!$L$42,IF(AQ37=Цены!$H$43,Цены!$L$43,IF(AQ37=Цены!$H$44,Цены!$L$44,IF(AQ37=Цены!$H$45,Цены!$L$45,IF(AQ37=Цены!$H$46,Цены!$L$46,IF(AQ37=Цены!$H$47,Цены!$L$47,IF(AQ37=Цены!$H$48,Цены!$L$48,IF(AQ37=Цены!$H$49,Цены!$L$49,IF(AQ37=Цены!$H$50,Цены!$L$50,IF(AQ37=Цены!$H$51,Цены!$L$51,IF(AQ37=Цены!$H$52,Цены!$L$52,IF(AQ37=Цены!$H$53,Цены!$L$53,IF(AQ37=Цены!$H$54,Цены!$L$54,IF(AQ37=Цены!$H$55,Цены!$L$55))))))))))))))))))))))))))))))))))))))))))))))))))))))</f>
        <v>0</v>
      </c>
      <c r="AT37" s="276"/>
      <c r="AU37" s="34" t="b">
        <f>IF(AQ37=Цены!$H$3,Цены!$K$3,IF(AQ37=Цены!$H$4,Цены!$K$4,IF(AQ37=Цены!$H$5,Цены!$K$5,IF(AQ37=Цены!$H$6,Цены!$K$6,IF(AQ37=Цены!$H$7,Цены!$K$7,IF(AQ37=Цены!$H$8,Цены!$K$8,IF(AQ37=Цены!$H$9,Цены!$K$9,IF(AQ37=Цены!$H$10,Цены!$K$10,IF(AQ37=Цены!$H$11,Цены!$K$11,IF(AQ37=Цены!$H$12,Цены!$K$12,IF(AQ37=Цены!$H$13,Цены!$K$13,IF(AQ37=Цены!$H$14,Цены!$K$14,IF(AQ37=Цены!$H$14,Цены!$K$14,IF(AQ37=Цены!$H$15,Цены!$K$15,IF(AQ37=Цены!$H$16,Цены!$K$16,IF(AQ37=Цены!$H$17,Цены!$K$17,IF(AQ37=Цены!$H$18,Цены!$K$18,IF(AQ37=Цены!$H$19,Цены!$K$19,IF(AQ37=Цены!$H$20,Цены!$K$20,IF(AQ37=Цены!$H$21,Цены!$K$21,IF(AQ37=Цены!$H$22,Цены!$K$22,IF(AQ37=Цены!$H$23,Цены!$K$23,IF(AQ37=Цены!$H$24,Цены!$K$24,IF(AQ37=Цены!$H$25,Цены!$K$25,IF(AQ37=Цены!$H$26,Цены!$K$26,IF(AQ37=Цены!$H$27,Цены!$K$27,IF(AQ37=Цены!$H$28,Цены!$K$28,IF(AQ37=Цены!$H$29,Цены!$K$29,IF(AQ37=Цены!$H$30,Цены!$K$30,IF(AQ37=Цены!$H$31,Цены!$K$31,IF(AQ37=Цены!$H$32,Цены!$K$32,IF(AQ37=Цены!$H$33,Цены!$K$33,IF(AQ37=Цены!$H$34,Цены!$K$34,IF(AQ37=Цены!$H$35,Цены!$K$35,IF(AQ37=Цены!$H$36,Цены!$K$36,IF(AQ37=Цены!$H$37,Цены!$K$37,IF(AQ37=Цены!$H$38,Цены!$K$38,IF(AQ37=Цены!$H$39,Цены!$K$39,IF(AQ37=Цены!$H$40,Цены!$K$40,IF(AQ37=Цены!$H$41,Цены!$K$41,IF(AQ37=Цены!$H$42,Цены!$K$42,IF(AQ37=Цены!$H$43,Цены!$K$43,IF(AQ37=Цены!$H$44,Цены!$K$44,IF(AQ37=Цены!$H$45,Цены!$K$45,IF(AQ37=Цены!$H$46,Цены!$K$46,IF(AQ37=Цены!$H$47,Цены!$K$47,IF(AQ37=Цены!$H$48,Цены!$K$48,IF(AQ37=Цены!$H$49,Цены!$K$49,IF(AQ37=Цены!$H$50,Цены!$K$50,IF(AQ37=Цены!$H$51,Цены!$K$51,IF(AQ37=Цены!$H$52,Цены!$K$52,IF(AQ37=Цены!$H$53,Цены!$K$53,IF(AQ37=Цены!$H$54,Цены!$K$54,IF(AQ37=Цены!$H$55,Цены!$K$55))))))))))))))))))))))))))))))))))))))))))))))))))))))</f>
        <v>0</v>
      </c>
      <c r="AV37" s="265"/>
      <c r="AW37" s="265"/>
      <c r="AX37" s="266"/>
      <c r="AY37" s="267"/>
      <c r="AZ37" s="267"/>
      <c r="BA37" s="268"/>
      <c r="BB37" s="269"/>
      <c r="BC37" s="270"/>
      <c r="BD37" s="259"/>
      <c r="BE37" s="210"/>
      <c r="BF37" s="71"/>
      <c r="BG37" s="33" t="b">
        <f>IF(BE37=Цены!$H$3,Цены!$L$3,IF(BE37=Цены!$H$4,Цены!$L$4,IF(BE37=Цены!$H$5,Цены!$L$5,IF(BE37=Цены!$H$6,Цены!$L$6,IF(BE37=Цены!$H$7,Цены!$L$7,IF(BE37=Цены!$H$8,Цены!$L$8,IF(BE37=Цены!$H$9,Цены!$L$9,IF(BE37=Цены!$H$10,Цены!$L$10,IF(BE37=Цены!$H$11,Цены!$L$11,IF(BE37=Цены!$H$12,Цены!$L$12,IF(BE37=Цены!$H$13,Цены!$L$13,IF(BE37=Цены!$H$14,Цены!$L$14,IF(BE37=Цены!$H$14,Цены!$L$14,IF(BE37=Цены!$H$15,Цены!$L$15,IF(BE37=Цены!$H$16,Цены!$L$16,IF(BE37=Цены!$H$17,Цены!$L$17,IF(BE37=Цены!$H$18,Цены!$L$18,IF(BE37=Цены!$H$19,Цены!$L$19,IF(BE37=Цены!$H$20,Цены!$L$20,IF(BE37=Цены!$H$21,Цены!$L$21,IF(BE37=Цены!$H$22,Цены!$L$22,IF(BE37=Цены!$H$23,Цены!$L$23,IF(BE37=Цены!$H$24,Цены!$L$24,IF(BE37=Цены!$H$25,Цены!$L$25,IF(BE37=Цены!$H$26,Цены!$L$26,IF(BE37=Цены!$H$27,Цены!$L$27,IF(BE37=Цены!$H$28,Цены!$L$28,IF(BE37=Цены!$H$29,Цены!$L$29,IF(BE37=Цены!$H$30,Цены!$L$30,IF(BE37=Цены!$H$31,Цены!$L$31,IF(BE37=Цены!$H$32,Цены!$L$32,IF(BE37=Цены!$H$33,Цены!$L$33,IF(BE37=Цены!$H$34,Цены!$L$34,IF(BE37=Цены!$H$35,Цены!$L$35,IF(BE37=Цены!$H$36,Цены!$L$36,IF(BE37=Цены!$H$37,Цены!$L$37,IF(BE37=Цены!$H$38,Цены!$L$38,IF(BE37=Цены!$H$39,Цены!$L$39,IF(BE37=Цены!$H$40,Цены!$L$40,IF(BE37=Цены!$H$41,Цены!$L$41,IF(BE37=Цены!$H$42,Цены!$L$42,IF(BE37=Цены!$H$43,Цены!$L$43,IF(BE37=Цены!$H$44,Цены!$L$44,IF(BE37=Цены!$H$45,Цены!$L$45,IF(BE37=Цены!$H$46,Цены!$L$46,IF(BE37=Цены!$H$47,Цены!$L$47,IF(BE37=Цены!$H$48,Цены!$L$48,IF(BE37=Цены!$H$49,Цены!$L$49,IF(BE37=Цены!$H$50,Цены!$L$50,IF(BE37=Цены!$H$51,Цены!$L$51,IF(BE37=Цены!$H$52,Цены!$L$52,IF(BE37=Цены!$H$53,Цены!$L$53,IF(BE37=Цены!$H$54,Цены!$L$54,IF(BE37=Цены!$H$55,Цены!$L$55))))))))))))))))))))))))))))))))))))))))))))))))))))))</f>
        <v>0</v>
      </c>
      <c r="BH37" s="276"/>
      <c r="BI37" s="34" t="b">
        <f>IF(BE37=Цены!$H$3,Цены!$K$3,IF(BE37=Цены!$H$4,Цены!$K$4,IF(BE37=Цены!$H$5,Цены!$K$5,IF(BE37=Цены!$H$6,Цены!$K$6,IF(BE37=Цены!$H$7,Цены!$K$7,IF(BE37=Цены!$H$8,Цены!$K$8,IF(BE37=Цены!$H$9,Цены!$K$9,IF(BE37=Цены!$H$10,Цены!$K$10,IF(BE37=Цены!$H$11,Цены!$K$11,IF(BE37=Цены!$H$12,Цены!$K$12,IF(BE37=Цены!$H$13,Цены!$K$13,IF(BE37=Цены!$H$14,Цены!$K$14,IF(BE37=Цены!$H$14,Цены!$K$14,IF(BE37=Цены!$H$15,Цены!$K$15,IF(BE37=Цены!$H$16,Цены!$K$16,IF(BE37=Цены!$H$17,Цены!$K$17,IF(BE37=Цены!$H$18,Цены!$K$18,IF(BE37=Цены!$H$19,Цены!$K$19,IF(BE37=Цены!$H$20,Цены!$K$20,IF(BE37=Цены!$H$21,Цены!$K$21,IF(BE37=Цены!$H$22,Цены!$K$22,IF(BE37=Цены!$H$23,Цены!$K$23,IF(BE37=Цены!$H$24,Цены!$K$24,IF(BE37=Цены!$H$25,Цены!$K$25,IF(BE37=Цены!$H$26,Цены!$K$26,IF(BE37=Цены!$H$27,Цены!$K$27,IF(BE37=Цены!$H$28,Цены!$K$28,IF(BE37=Цены!$H$29,Цены!$K$29,IF(BE37=Цены!$H$30,Цены!$K$30,IF(BE37=Цены!$H$31,Цены!$K$31,IF(BE37=Цены!$H$32,Цены!$K$32,IF(BE37=Цены!$H$33,Цены!$K$33,IF(BE37=Цены!$H$34,Цены!$K$34,IF(BE37=Цены!$H$35,Цены!$K$35,IF(BE37=Цены!$H$36,Цены!$K$36,IF(BE37=Цены!$H$37,Цены!$K$37,IF(BE37=Цены!$H$38,Цены!$K$38,IF(BE37=Цены!$H$39,Цены!$K$39,IF(BE37=Цены!$H$40,Цены!$K$40,IF(BE37=Цены!$H$41,Цены!$K$41,IF(BE37=Цены!$H$42,Цены!$K$42,IF(BE37=Цены!$H$43,Цены!$K$43,IF(BE37=Цены!$H$44,Цены!$K$44,IF(BE37=Цены!$H$45,Цены!$K$45,IF(BE37=Цены!$H$46,Цены!$K$46,IF(BE37=Цены!$H$47,Цены!$K$47,IF(BE37=Цены!$H$48,Цены!$K$48,IF(BE37=Цены!$H$49,Цены!$K$49,IF(BE37=Цены!$H$50,Цены!$K$50,IF(BE37=Цены!$H$51,Цены!$K$51,IF(BE37=Цены!$H$52,Цены!$K$52,IF(BE37=Цены!$H$53,Цены!$K$53,IF(BE37=Цены!$H$54,Цены!$K$54,IF(BE37=Цены!$H$55,Цены!$K$55))))))))))))))))))))))))))))))))))))))))))))))))))))))</f>
        <v>0</v>
      </c>
      <c r="BJ37" s="265"/>
      <c r="BK37" s="265"/>
      <c r="BL37" s="266"/>
      <c r="BM37" s="267"/>
      <c r="BN37" s="267"/>
      <c r="BO37" s="268"/>
      <c r="BP37" s="269"/>
      <c r="BQ37" s="270"/>
      <c r="BR37" s="210"/>
      <c r="BS37" s="43"/>
      <c r="BT37" s="33" t="b">
        <f>IF(BR37=Цены!$H$3,Цены!$L$3,IF(BR37=Цены!$H$4,Цены!$L$4,IF(BR37=Цены!$H$5,Цены!$L$5,IF(BR37=Цены!$H$6,Цены!$L$6,IF(BR37=Цены!$H$7,Цены!$L$7,IF(BR37=Цены!$H$8,Цены!$L$8,IF(BR37=Цены!$H$9,Цены!$L$9,IF(BR37=Цены!$H$10,Цены!$L$10,IF(BR37=Цены!$H$11,Цены!$L$11,IF(BR37=Цены!$H$12,Цены!$L$12,IF(BR37=Цены!$H$13,Цены!$L$13,IF(BR37=Цены!$H$14,Цены!$L$14,IF(BR37=Цены!$H$14,Цены!$L$14,IF(BR37=Цены!$H$15,Цены!$L$15,IF(BR37=Цены!$H$16,Цены!$L$16,IF(BR37=Цены!$H$17,Цены!$L$17,IF(BR37=Цены!$H$18,Цены!$L$18,IF(BR37=Цены!$H$19,Цены!$L$19,IF(BR37=Цены!$H$20,Цены!$L$20,IF(BR37=Цены!$H$21,Цены!$L$21,IF(BR37=Цены!$H$22,Цены!$L$22,IF(BR37=Цены!$H$23,Цены!$L$23,IF(BR37=Цены!$H$24,Цены!$L$24,IF(BR37=Цены!$H$25,Цены!$L$25,IF(BR37=Цены!$H$26,Цены!$L$26,IF(BR37=Цены!$H$27,Цены!$L$27,IF(BR37=Цены!$H$28,Цены!$L$28,IF(BR37=Цены!$H$29,Цены!$L$29,IF(BR37=Цены!$H$30,Цены!$L$30,IF(BR37=Цены!$H$31,Цены!$L$31,IF(BR37=Цены!$H$32,Цены!$L$32,IF(BR37=Цены!$H$33,Цены!$L$33,IF(BR37=Цены!$H$34,Цены!$L$34,IF(BR37=Цены!$H$35,Цены!$L$35,IF(BR37=Цены!$H$36,Цены!$L$36,IF(BR37=Цены!$H$37,Цены!$L$37,IF(BR37=Цены!$H$38,Цены!$L$38,IF(BR37=Цены!$H$39,Цены!$L$39,IF(BR37=Цены!$H$40,Цены!$L$40,IF(BR37=Цены!$H$41,Цены!$L$41,IF(BR37=Цены!$H$42,Цены!$L$42,IF(BR37=Цены!$H$43,Цены!$L$43,IF(BR37=Цены!$H$44,Цены!$L$44,IF(BR37=Цены!$H$45,Цены!$L$45,IF(BR37=Цены!$H$46,Цены!$L$46,IF(BR37=Цены!$H$47,Цены!$L$47,IF(BR37=Цены!$H$48,Цены!$L$48,IF(BR37=Цены!$H$49,Цены!$L$49,IF(BR37=Цены!$H$50,Цены!$L$50,IF(BR37=Цены!$H$51,Цены!$L$51,IF(BR37=Цены!$H$52,Цены!$L$52,IF(BR37=Цены!$H$53,Цены!$L$53,IF(BR37=Цены!$H$54,Цены!$L$54,IF(BR37=Цены!$H$55,Цены!$L$55))))))))))))))))))))))))))))))))))))))))))))))))))))))</f>
        <v>0</v>
      </c>
      <c r="BU37" s="276"/>
      <c r="BV37" s="34" t="b">
        <f>IF(BR37=Цены!$H$3,Цены!$K$3,IF(BR37=Цены!$H$4,Цены!$K$4,IF(BR37=Цены!$H$5,Цены!$K$5,IF(BR37=Цены!$H$6,Цены!$K$6,IF(BR37=Цены!$H$7,Цены!$K$7,IF(BR37=Цены!$H$8,Цены!$K$8,IF(BR37=Цены!$H$9,Цены!$K$9,IF(BR37=Цены!$H$10,Цены!$K$10,IF(BR37=Цены!$H$11,Цены!$K$11,IF(BR37=Цены!$H$12,Цены!$K$12,IF(BR37=Цены!$H$13,Цены!$K$13,IF(BR37=Цены!$H$14,Цены!$K$14,IF(BR37=Цены!$H$14,Цены!$K$14,IF(BR37=Цены!$H$15,Цены!$K$15,IF(BR37=Цены!$H$16,Цены!$K$16,IF(BR37=Цены!$H$17,Цены!$K$17,IF(BR37=Цены!$H$18,Цены!$K$18,IF(BR37=Цены!$H$19,Цены!$K$19,IF(BR37=Цены!$H$20,Цены!$K$20,IF(BR37=Цены!$H$21,Цены!$K$21,IF(BR37=Цены!$H$22,Цены!$K$22,IF(BR37=Цены!$H$23,Цены!$K$23,IF(BR37=Цены!$H$24,Цены!$K$24,IF(BR37=Цены!$H$25,Цены!$K$25,IF(BR37=Цены!$H$26,Цены!$K$26,IF(BR37=Цены!$H$27,Цены!$K$27,IF(BR37=Цены!$H$28,Цены!$K$28,IF(BR37=Цены!$H$29,Цены!$K$29,IF(BR37=Цены!$H$30,Цены!$K$30,IF(BR37=Цены!$H$31,Цены!$K$31,IF(BR37=Цены!$H$32,Цены!$K$32,IF(BR37=Цены!$H$33,Цены!$K$33,IF(BR37=Цены!$H$34,Цены!$K$34,IF(BR37=Цены!$H$35,Цены!$K$35,IF(BR37=Цены!$H$36,Цены!$K$36,IF(BR37=Цены!$H$37,Цены!$K$37,IF(BR37=Цены!$H$38,Цены!$K$38,IF(BR37=Цены!$H$39,Цены!$K$39,IF(BR37=Цены!$H$40,Цены!$K$40,IF(BR37=Цены!$H$41,Цены!$K$41,IF(BR37=Цены!$H$42,Цены!$K$42,IF(BR37=Цены!$H$43,Цены!$K$43,IF(BR37=Цены!$H$44,Цены!$K$44,IF(BR37=Цены!$H$45,Цены!$K$45,IF(BR37=Цены!$H$46,Цены!$K$46,IF(BR37=Цены!$H$47,Цены!$K$47,IF(BR37=Цены!$H$48,Цены!$K$48,IF(BR37=Цены!$H$49,Цены!$K$49,IF(BR37=Цены!$H$50,Цены!$K$50,IF(BR37=Цены!$H$51,Цены!$K$51,IF(BR37=Цены!$H$52,Цены!$K$52,IF(BR37=Цены!$H$53,Цены!$K$53,IF(BR37=Цены!$H$54,Цены!$K$54,IF(BR37=Цены!$H$55,Цены!$K$55))))))))))))))))))))))))))))))))))))))))))))))))))))))</f>
        <v>0</v>
      </c>
      <c r="BW37" s="265"/>
      <c r="BX37" s="265"/>
      <c r="BY37" s="266"/>
      <c r="BZ37" s="267"/>
      <c r="CA37" s="267"/>
      <c r="CB37" s="268"/>
      <c r="CC37" s="269"/>
      <c r="CD37" s="270"/>
      <c r="CE37" s="171" t="s">
        <v>123</v>
      </c>
      <c r="CF37" s="43">
        <v>1</v>
      </c>
      <c r="CG37" s="33">
        <f>IF(CE37=Цены!$H$3,Цены!$L$3,IF(CE37=Цены!$H$4,Цены!$L$4,IF(CE37=Цены!$H$5,Цены!$L$5,IF(CE37=Цены!$H$6,Цены!$L$6,IF(CE37=Цены!$H$7,Цены!$L$7,IF(CE37=Цены!$H$8,Цены!$L$8,IF(CE37=Цены!$H$9,Цены!$L$9,IF(CE37=Цены!$H$10,Цены!$L$10,IF(CE37=Цены!$H$11,Цены!$L$11,IF(CE37=Цены!$H$12,Цены!$L$12,IF(CE37=Цены!$H$13,Цены!$L$13,IF(CE37=Цены!$H$14,Цены!$L$14,IF(CE37=Цены!$H$14,Цены!$L$14,IF(CE37=Цены!$H$15,Цены!$L$15,IF(CE37=Цены!$H$16,Цены!$L$16,IF(CE37=Цены!$H$17,Цены!$L$17,IF(CE37=Цены!$H$18,Цены!$L$18,IF(CE37=Цены!$H$19,Цены!$L$19,IF(CE37=Цены!$H$20,Цены!$L$20,IF(CE37=Цены!$H$21,Цены!$L$21,IF(CE37=Цены!$H$22,Цены!$L$22,IF(CE37=Цены!$H$23,Цены!$L$23,IF(CE37=Цены!$H$24,Цены!$L$24,IF(CE37=Цены!$H$25,Цены!$L$25,IF(CE37=Цены!$H$26,Цены!$L$26,IF(CE37=Цены!$H$27,Цены!$L$27,IF(CE37=Цены!$H$28,Цены!$L$28,IF(CE37=Цены!$H$29,Цены!$L$29,IF(CE37=Цены!$H$30,Цены!$L$30,IF(CE37=Цены!$H$31,Цены!$L$31,IF(CE37=Цены!$H$32,Цены!$L$32,IF(CE37=Цены!$H$33,Цены!$L$33,IF(CE37=Цены!$H$34,Цены!$L$34,IF(CE37=Цены!$H$35,Цены!$L$35,IF(CE37=Цены!$H$36,Цены!$L$36,IF(CE37=Цены!$H$37,Цены!$L$37,IF(CE37=Цены!$H$38,Цены!$L$38,IF(CE37=Цены!$H$39,Цены!$L$39,IF(CE37=Цены!$H$40,Цены!$L$40,IF(CE37=Цены!$H$41,Цены!$L$41,IF(CE37=Цены!$H$42,Цены!$L$42,IF(CE37=Цены!$H$43,Цены!$L$43,IF(CE37=Цены!$H$44,Цены!$L$44,IF(CE37=Цены!$H$45,Цены!$L$45,IF(CE37=Цены!$H$46,Цены!$L$46,IF(CE37=Цены!$H$47,Цены!$L$47,IF(CE37=Цены!$H$48,Цены!$L$48,IF(CE37=Цены!$H$49,Цены!$L$49,IF(CE37=Цены!$H$50,Цены!$L$50,IF(CE37=Цены!$H$51,Цены!$L$51,IF(CE37=Цены!$H$52,Цены!$L$52,IF(CE37=Цены!$H$53,Цены!$L$53,IF(CE37=Цены!$H$54,Цены!$L$54,IF(CE37=Цены!$H$55,Цены!$L$55))))))))))))))))))))))))))))))))))))))))))))))))))))))</f>
        <v>0.39</v>
      </c>
      <c r="CH37" s="276"/>
      <c r="CI37" s="34">
        <f>IF(CE37=Цены!$H$3,Цены!$K$3,IF(CE37=Цены!$H$4,Цены!$K$4,IF(CE37=Цены!$H$5,Цены!$K$5,IF(CE37=Цены!$H$6,Цены!$K$6,IF(CE37=Цены!$H$7,Цены!$K$7,IF(CE37=Цены!$H$8,Цены!$K$8,IF(CE37=Цены!$H$9,Цены!$K$9,IF(CE37=Цены!$H$10,Цены!$K$10,IF(CE37=Цены!$H$11,Цены!$K$11,IF(CE37=Цены!$H$12,Цены!$K$12,IF(CE37=Цены!$H$13,Цены!$K$13,IF(CE37=Цены!$H$14,Цены!$K$14,IF(CE37=Цены!$H$14,Цены!$K$14,IF(CE37=Цены!$H$15,Цены!$K$15,IF(CE37=Цены!$H$16,Цены!$K$16,IF(CE37=Цены!$H$17,Цены!$K$17,IF(CE37=Цены!$H$18,Цены!$K$18,IF(CE37=Цены!$H$19,Цены!$K$19,IF(CE37=Цены!$H$20,Цены!$K$20,IF(CE37=Цены!$H$21,Цены!$K$21,IF(CE37=Цены!$H$22,Цены!$K$22,IF(CE37=Цены!$H$23,Цены!$K$23,IF(CE37=Цены!$H$24,Цены!$K$24,IF(CE37=Цены!$H$25,Цены!$K$25,IF(CE37=Цены!$H$26,Цены!$K$26,IF(CE37=Цены!$H$27,Цены!$K$27,IF(CE37=Цены!$H$28,Цены!$K$28,IF(CE37=Цены!$H$29,Цены!$K$29,IF(CE37=Цены!$H$30,Цены!$K$30,IF(CE37=Цены!$H$31,Цены!$K$31,IF(CE37=Цены!$H$32,Цены!$K$32,IF(CE37=Цены!$H$33,Цены!$K$33,IF(CE37=Цены!$H$34,Цены!$K$34,IF(CE37=Цены!$H$35,Цены!$K$35,IF(CE37=Цены!$H$36,Цены!$K$36,IF(CE37=Цены!$H$37,Цены!$K$37,IF(CE37=Цены!$H$38,Цены!$K$38,IF(CE37=Цены!$H$39,Цены!$K$39,IF(CE37=Цены!$H$40,Цены!$K$40,IF(CE37=Цены!$H$41,Цены!$K$41,IF(CE37=Цены!$H$42,Цены!$K$42,IF(CE37=Цены!$H$43,Цены!$K$43,IF(CE37=Цены!$H$44,Цены!$K$44,IF(CE37=Цены!$H$45,Цены!$K$45,IF(CE37=Цены!$H$46,Цены!$K$46,IF(CE37=Цены!$H$47,Цены!$K$47,IF(CE37=Цены!$H$48,Цены!$K$48,IF(CE37=Цены!$H$49,Цены!$K$49,IF(CE37=Цены!$H$50,Цены!$K$50,IF(CE37=Цены!$H$51,Цены!$K$51,IF(CE37=Цены!$H$52,Цены!$K$52,IF(CE37=Цены!$H$53,Цены!$K$53,IF(CE37=Цены!$H$54,Цены!$K$54,IF(CE37=Цены!$H$55,Цены!$K$55))))))))))))))))))))))))))))))))))))))))))))))))))))))</f>
        <v>624</v>
      </c>
      <c r="CJ37" s="265"/>
      <c r="CK37" s="265"/>
      <c r="CL37" s="266"/>
      <c r="CM37" s="267"/>
      <c r="CN37" s="267"/>
      <c r="CO37" s="268"/>
      <c r="CP37" s="269"/>
      <c r="CQ37" s="270"/>
    </row>
    <row r="38" spans="1:95" x14ac:dyDescent="0.25">
      <c r="A38" s="353"/>
      <c r="B38" s="265"/>
      <c r="C38" s="265"/>
      <c r="D38" s="171" t="s">
        <v>121</v>
      </c>
      <c r="E38" s="167">
        <v>2</v>
      </c>
      <c r="F38" s="27">
        <f>IF(D38=Цены!$H$3,Цены!$L$3,IF(D38=Цены!$H$4,Цены!$L$4,IF(D38=Цены!$H$5,Цены!$L$5,IF(D38=Цены!$H$6,Цены!$L$6,IF(D38=Цены!$H$7,Цены!$L$7,IF(D38=Цены!$H$8,Цены!$L$8,IF(D38=Цены!$H$9,Цены!$L$9,IF(D38=Цены!$H$10,Цены!$L$10,IF(D38=Цены!$H$11,Цены!$L$11,IF(D38=Цены!$H$12,Цены!$L$12,IF(D38=Цены!$H$13,Цены!$L$13,IF(D38=Цены!$H$14,Цены!$L$14,IF(D38=Цены!$H$14,Цены!$L$14,IF(D38=Цены!$H$15,Цены!$L$15,IF(D38=Цены!$H$16,Цены!$L$16,IF(D38=Цены!$H$17,Цены!$L$17,IF(D38=Цены!$H$18,Цены!$L$18,IF(D38=Цены!$H$19,Цены!$L$19,IF(D38=Цены!$H$20,Цены!$L$20,IF(D38=Цены!$H$21,Цены!$L$21,IF(D38=Цены!$H$22,Цены!$L$22,IF(D38=Цены!$H$23,Цены!$L$23,IF(D38=Цены!$H$24,Цены!$L$24,IF(D38=Цены!$H$25,Цены!$L$25,IF(D38=Цены!$H$26,Цены!$L$26,IF(D38=Цены!$H$27,Цены!$L$27,IF(D38=Цены!$H$28,Цены!$L$28,IF(D38=Цены!$H$29,Цены!$L$29,IF(D38=Цены!$H$30,Цены!$L$30,IF(D38=Цены!$H$31,Цены!$L$31,IF(D38=Цены!$H$32,Цены!$L$32,IF(D38=Цены!$H$33,Цены!$L$33,IF(D38=Цены!$H$34,Цены!$L$34,IF(D38=Цены!$H$35,Цены!$L$35,IF(D38=Цены!$H$36,Цены!$L$36,IF(D38=Цены!$H$37,Цены!$L$37,IF(D38=Цены!$H$38,Цены!$L$38,IF(D38=Цены!$H$39,Цены!$L$39,IF(D38=Цены!$H$40,Цены!$L$40,IF(D38=Цены!$H$41,Цены!$L$41,IF(D38=Цены!$H$42,Цены!$L$42,IF(D38=Цены!$H$43,Цены!$L$43,IF(D38=Цены!$H$44,Цены!$L$44,IF(D38=Цены!$H$45,Цены!$L$45,IF(D38=Цены!$H$46,Цены!$L$46,IF(D38=Цены!$H$47,Цены!$L$47,IF(D38=Цены!$H$48,Цены!$L$48,IF(D38=Цены!$H$49,Цены!$L$49,IF(D38=Цены!$H$50,Цены!$L$50,IF(D38=Цены!$H$51,Цены!$L$51,IF(D38=Цены!$H$52,Цены!$L$52,IF(D38=Цены!$H$53,Цены!$L$53,IF(D38=Цены!$H$54,Цены!$L$54,IF(D38=Цены!$H$55,Цены!$L$55))))))))))))))))))))))))))))))))))))))))))))))))))))))</f>
        <v>1.32E-2</v>
      </c>
      <c r="G38" s="309"/>
      <c r="H38" s="28">
        <f>IF(D38=Цены!$H$3,Цены!$K$3,IF(D38=Цены!$H$4,Цены!$K$4,IF(D38=Цены!$H$5,Цены!$K$5,IF(D38=Цены!$H$6,Цены!$K$6,IF(D38=Цены!$H$7,Цены!$K$7,IF(D38=Цены!$H$8,Цены!$K$8,IF(D38=Цены!$H$9,Цены!$K$9,IF(D38=Цены!$H$10,Цены!$K$10,IF(D38=Цены!$H$11,Цены!$K$11,IF(D38=Цены!$H$12,Цены!$K$12,IF(D38=Цены!$H$13,Цены!$K$13,IF(D38=Цены!$H$14,Цены!$K$14,IF(D38=Цены!$H$14,Цены!$K$14,IF(D38=Цены!$H$15,Цены!$K$15,IF(D38=Цены!$H$16,Цены!$K$16,IF(D38=Цены!$H$17,Цены!$K$17,IF(D38=Цены!$H$18,Цены!$K$18,IF(D38=Цены!$H$19,Цены!$K$19,IF(D38=Цены!$H$20,Цены!$K$20,IF(D38=Цены!$H$21,Цены!$K$21,IF(D38=Цены!$H$22,Цены!$K$22,IF(D38=Цены!$H$23,Цены!$K$23,IF(D38=Цены!$H$24,Цены!$K$24,IF(D38=Цены!$H$25,Цены!$K$25,IF(D38=Цены!$H$26,Цены!$K$26,IF(D38=Цены!$H$27,Цены!$K$27,IF(D38=Цены!$H$28,Цены!$K$28,IF(D38=Цены!$H$29,Цены!$K$29,IF(D38=Цены!$H$30,Цены!$K$30,IF(D38=Цены!$H$31,Цены!$K$31,IF(D38=Цены!$H$32,Цены!$K$32,IF(D38=Цены!$H$33,Цены!$K$33,IF(D38=Цены!$H$34,Цены!$K$34,IF(D38=Цены!$H$35,Цены!$K$35,IF(D38=Цены!$H$36,Цены!$K$36,IF(D38=Цены!$H$37,Цены!$K$37,IF(D38=Цены!$H$38,Цены!$K$38,IF(D38=Цены!$H$39,Цены!$K$39,IF(D38=Цены!$H$40,Цены!$K$40,IF(D38=Цены!$H$41,Цены!$K$41,IF(D38=Цены!$H$42,Цены!$K$42,IF(D38=Цены!$H$43,Цены!$K$43,IF(D38=Цены!$H$44,Цены!$K$44,IF(D38=Цены!$H$45,Цены!$K$45,IF(D38=Цены!$H$46,Цены!$K$46,IF(D38=Цены!$H$47,Цены!$K$47,IF(D38=Цены!$H$48,Цены!$K$48,IF(D38=Цены!$H$49,Цены!$K$49,IF(D38=Цены!$H$50,Цены!$K$50,IF(D38=Цены!$H$51,Цены!$K$51,IF(D38=Цены!$H$52,Цены!$K$52,IF(D38=Цены!$H$53,Цены!$K$53,IF(D38=Цены!$H$54,Цены!$K$54,IF(D38=Цены!$H$55,Цены!$K$55))))))))))))))))))))))))))))))))))))))))))))))))))))))</f>
        <v>54</v>
      </c>
      <c r="I38" s="265"/>
      <c r="J38" s="265"/>
      <c r="K38" s="266"/>
      <c r="L38" s="267"/>
      <c r="M38" s="267"/>
      <c r="N38" s="268"/>
      <c r="O38" s="310"/>
      <c r="P38" s="270"/>
      <c r="Q38" s="210"/>
      <c r="R38" s="30"/>
      <c r="S38" s="27" t="b">
        <f>IF(Q38=Цены!$H$3,Цены!$L$3,IF(Q38=Цены!$H$4,Цены!$L$4,IF(Q38=Цены!$H$5,Цены!$L$5,IF(Q38=Цены!$H$6,Цены!$L$6,IF(Q38=Цены!$H$7,Цены!$L$7,IF(Q38=Цены!$H$8,Цены!$L$8,IF(Q38=Цены!$H$9,Цены!$L$9,IF(Q38=Цены!$H$10,Цены!$L$10,IF(Q38=Цены!$H$11,Цены!$L$11,IF(Q38=Цены!$H$12,Цены!$L$12,IF(Q38=Цены!$H$13,Цены!$L$13,IF(Q38=Цены!$H$14,Цены!$L$14,IF(Q38=Цены!$H$14,Цены!$L$14,IF(Q38=Цены!$H$15,Цены!$L$15,IF(Q38=Цены!$H$16,Цены!$L$16,IF(Q38=Цены!$H$17,Цены!$L$17,IF(Q38=Цены!$H$18,Цены!$L$18,IF(Q38=Цены!$H$19,Цены!$L$19,IF(Q38=Цены!$H$20,Цены!$L$20,IF(Q38=Цены!$H$21,Цены!$L$21,IF(Q38=Цены!$H$22,Цены!$L$22,IF(Q38=Цены!$H$23,Цены!$L$23,IF(Q38=Цены!$H$24,Цены!$L$24,IF(Q38=Цены!$H$25,Цены!$L$25,IF(Q38=Цены!$H$26,Цены!$L$26,IF(Q38=Цены!$H$27,Цены!$L$27,IF(Q38=Цены!$H$28,Цены!$L$28,IF(Q38=Цены!$H$29,Цены!$L$29,IF(Q38=Цены!$H$30,Цены!$L$30,IF(Q38=Цены!$H$31,Цены!$L$31,IF(Q38=Цены!$H$32,Цены!$L$32,IF(Q38=Цены!$H$33,Цены!$L$33,IF(Q38=Цены!$H$34,Цены!$L$34,IF(Q38=Цены!$H$35,Цены!$L$35,IF(Q38=Цены!$H$36,Цены!$L$36,IF(Q38=Цены!$H$37,Цены!$L$37,IF(Q38=Цены!$H$38,Цены!$L$38,IF(Q38=Цены!$H$39,Цены!$L$39,IF(Q38=Цены!$H$40,Цены!$L$40,IF(Q38=Цены!$H$41,Цены!$L$41,IF(Q38=Цены!$H$42,Цены!$L$42,IF(Q38=Цены!$H$43,Цены!$L$43,IF(Q38=Цены!$H$44,Цены!$L$44,IF(Q38=Цены!$H$45,Цены!$L$45,IF(Q38=Цены!$H$46,Цены!$L$46,IF(Q38=Цены!$H$47,Цены!$L$47,IF(Q38=Цены!$H$48,Цены!$L$48,IF(Q38=Цены!$H$49,Цены!$L$49,IF(Q38=Цены!$H$50,Цены!$L$50,IF(Q38=Цены!$H$51,Цены!$L$51,IF(Q38=Цены!$H$52,Цены!$L$52,IF(Q38=Цены!$H$53,Цены!$L$53,IF(Q38=Цены!$H$54,Цены!$L$54,IF(Q38=Цены!$H$55,Цены!$L$55))))))))))))))))))))))))))))))))))))))))))))))))))))))</f>
        <v>0</v>
      </c>
      <c r="T38" s="309"/>
      <c r="U38" s="162" t="b">
        <f>IF(Q38=Цены!$H$3,Цены!$K$3,IF(Q38=Цены!$H$4,Цены!$K$4,IF(Q38=Цены!$H$5,Цены!$K$5,IF(Q38=Цены!$H$6,Цены!$K$6,IF(Q38=Цены!$H$7,Цены!$K$7,IF(Q38=Цены!$H$8,Цены!$K$8,IF(Q38=Цены!$H$9,Цены!$K$9,IF(Q38=Цены!$H$10,Цены!$K$10,IF(Q38=Цены!$H$11,Цены!$K$11,IF(Q38=Цены!$H$12,Цены!$K$12,IF(Q38=Цены!$H$13,Цены!$K$13,IF(Q38=Цены!$H$14,Цены!$K$14,IF(Q38=Цены!$H$14,Цены!$K$14,IF(Q38=Цены!$H$15,Цены!$K$15,IF(Q38=Цены!$H$16,Цены!$K$16,IF(Q38=Цены!$H$17,Цены!$K$17,IF(Q38=Цены!$H$18,Цены!$K$18,IF(Q38=Цены!$H$19,Цены!$K$19,IF(Q38=Цены!$H$20,Цены!$K$20,IF(Q38=Цены!$H$21,Цены!$K$21,IF(Q38=Цены!$H$22,Цены!$K$22,IF(Q38=Цены!$H$23,Цены!$K$23,IF(Q38=Цены!$H$24,Цены!$K$24,IF(Q38=Цены!$H$25,Цены!$K$25,IF(Q38=Цены!$H$26,Цены!$K$26,IF(Q38=Цены!$H$27,Цены!$K$27,IF(Q38=Цены!$H$28,Цены!$K$28,IF(Q38=Цены!$H$29,Цены!$K$29,IF(Q38=Цены!$H$30,Цены!$K$30,IF(Q38=Цены!$H$31,Цены!$K$31,IF(Q38=Цены!$H$32,Цены!$K$32,IF(Q38=Цены!$H$33,Цены!$K$33,IF(Q38=Цены!$H$34,Цены!$K$34,IF(Q38=Цены!$H$35,Цены!$K$35,IF(Q38=Цены!$H$36,Цены!$K$36,IF(Q38=Цены!$H$37,Цены!$K$37,IF(Q38=Цены!$H$38,Цены!$K$38,IF(Q38=Цены!$H$39,Цены!$K$39,IF(Q38=Цены!$H$40,Цены!$K$40,IF(Q38=Цены!$H$41,Цены!$K$41,IF(Q38=Цены!$H$42,Цены!$K$42,IF(Q38=Цены!$H$43,Цены!$K$43,IF(Q38=Цены!$H$44,Цены!$K$44,IF(Q38=Цены!$H$45,Цены!$K$45,IF(Q38=Цены!$H$46,Цены!$K$46,IF(Q38=Цены!$H$47,Цены!$K$47,IF(Q38=Цены!$H$48,Цены!$K$48,IF(Q38=Цены!$H$49,Цены!$K$49,IF(Q38=Цены!$H$50,Цены!$K$50,IF(Q38=Цены!$H$51,Цены!$K$51,IF(Q38=Цены!$H$52,Цены!$K$52,IF(Q38=Цены!$H$53,Цены!$K$53,IF(Q38=Цены!$H$54,Цены!$K$54,IF(Q38=Цены!$H$55,Цены!$K$55))))))))))))))))))))))))))))))))))))))))))))))))))))))</f>
        <v>0</v>
      </c>
      <c r="V38" s="265"/>
      <c r="W38" s="265"/>
      <c r="X38" s="266"/>
      <c r="Y38" s="267"/>
      <c r="Z38" s="267"/>
      <c r="AA38" s="320"/>
      <c r="AB38" s="310"/>
      <c r="AC38" s="270"/>
      <c r="AD38" s="209" t="s">
        <v>144</v>
      </c>
      <c r="AE38" s="128">
        <v>5</v>
      </c>
      <c r="AF38" s="27">
        <f>IF(AD38=Цены!$H$3,Цены!$L$3,IF(AD38=Цены!$H$4,Цены!$L$4,IF(AD38=Цены!$H$5,Цены!$L$5,IF(AD38=Цены!$H$6,Цены!$L$6,IF(AD38=Цены!$H$7,Цены!$L$7,IF(AD38=Цены!$H$8,Цены!$L$8,IF(AD38=Цены!$H$9,Цены!$L$9,IF(AD38=Цены!$H$10,Цены!$L$10,IF(AD38=Цены!$H$11,Цены!$L$11,IF(AD38=Цены!$H$12,Цены!$L$12,IF(AD38=Цены!$H$13,Цены!$L$13,IF(AD38=Цены!$H$14,Цены!$L$14,IF(AD38=Цены!$H$14,Цены!$L$14,IF(AD38=Цены!$H$15,Цены!$L$15,IF(AD38=Цены!$H$16,Цены!$L$16,IF(AD38=Цены!$H$17,Цены!$L$17,IF(AD38=Цены!$H$18,Цены!$L$18,IF(AD38=Цены!$H$19,Цены!$L$19,IF(AD38=Цены!$H$20,Цены!$L$20,IF(AD38=Цены!$H$21,Цены!$L$21,IF(AD38=Цены!$H$22,Цены!$L$22,IF(AD38=Цены!$H$23,Цены!$L$23,IF(AD38=Цены!$H$24,Цены!$L$24,IF(AD38=Цены!$H$25,Цены!$L$25,IF(AD38=Цены!$H$26,Цены!$L$26,IF(AD38=Цены!$H$27,Цены!$L$27,IF(AD38=Цены!$H$28,Цены!$L$28,IF(AD38=Цены!$H$29,Цены!$L$29,IF(AD38=Цены!$H$30,Цены!$L$30,IF(AD38=Цены!$H$31,Цены!$L$31,IF(AD38=Цены!$H$32,Цены!$L$32,IF(AD38=Цены!$H$33,Цены!$L$33,IF(AD38=Цены!$H$34,Цены!$L$34,IF(AD38=Цены!$H$35,Цены!$L$35,IF(AD38=Цены!$H$36,Цены!$L$36,IF(AD38=Цены!$H$37,Цены!$L$37,IF(AD38=Цены!$H$38,Цены!$L$38,IF(AD38=Цены!$H$39,Цены!$L$39,IF(AD38=Цены!$H$40,Цены!$L$40,IF(AD38=Цены!$H$41,Цены!$L$41,IF(AD38=Цены!$H$42,Цены!$L$42,IF(AD38=Цены!$H$43,Цены!$L$43,IF(AD38=Цены!$H$44,Цены!$L$44,IF(AD38=Цены!$H$45,Цены!$L$45,IF(AD38=Цены!$H$46,Цены!$L$46,IF(AD38=Цены!$H$47,Цены!$L$47,IF(AD38=Цены!$H$48,Цены!$L$48,IF(AD38=Цены!$H$49,Цены!$L$49,IF(AD38=Цены!$H$50,Цены!$L$50,IF(AD38=Цены!$H$51,Цены!$L$51,IF(AD38=Цены!$H$52,Цены!$L$52,IF(AD38=Цены!$H$53,Цены!$L$53,IF(AD38=Цены!$H$54,Цены!$L$54,IF(AD38=Цены!$H$55,Цены!$L$55))))))))))))))))))))))))))))))))))))))))))))))))))))))</f>
        <v>0.19</v>
      </c>
      <c r="AG38" s="309"/>
      <c r="AH38" s="28">
        <f>IF(AD38=Цены!$H$3,Цены!$K$3,IF(AD38=Цены!$H$4,Цены!$K$4,IF(AD38=Цены!$H$5,Цены!$K$5,IF(AD38=Цены!$H$6,Цены!$K$6,IF(AD38=Цены!$H$7,Цены!$K$7,IF(AD38=Цены!$H$8,Цены!$K$8,IF(AD38=Цены!$H$9,Цены!$K$9,IF(AD38=Цены!$H$10,Цены!$K$10,IF(AD38=Цены!$H$11,Цены!$K$11,IF(AD38=Цены!$H$12,Цены!$K$12,IF(AD38=Цены!$H$13,Цены!$K$13,IF(AD38=Цены!$H$14,Цены!$K$14,IF(AD38=Цены!$H$14,Цены!$K$14,IF(AD38=Цены!$H$15,Цены!$K$15,IF(AD38=Цены!$H$16,Цены!$K$16,IF(AD38=Цены!$H$17,Цены!$K$17,IF(AD38=Цены!$H$18,Цены!$K$18,IF(AD38=Цены!$H$19,Цены!$K$19,IF(AD38=Цены!$H$20,Цены!$K$20,IF(AD38=Цены!$H$21,Цены!$K$21,IF(AD38=Цены!$H$22,Цены!$K$22,IF(AD38=Цены!$H$23,Цены!$K$23,IF(AD38=Цены!$H$24,Цены!$K$24,IF(AD38=Цены!$H$25,Цены!$K$25,IF(AD38=Цены!$H$26,Цены!$K$26,IF(AD38=Цены!$H$27,Цены!$K$27,IF(AD38=Цены!$H$28,Цены!$K$28,IF(AD38=Цены!$H$29,Цены!$K$29,IF(AD38=Цены!$H$30,Цены!$K$30,IF(AD38=Цены!$H$31,Цены!$K$31,IF(AD38=Цены!$H$32,Цены!$K$32,IF(AD38=Цены!$H$33,Цены!$K$33,IF(AD38=Цены!$H$34,Цены!$K$34,IF(AD38=Цены!$H$35,Цены!$K$35,IF(AD38=Цены!$H$36,Цены!$K$36,IF(AD38=Цены!$H$37,Цены!$K$37,IF(AD38=Цены!$H$38,Цены!$K$38,IF(AD38=Цены!$H$39,Цены!$K$39,IF(AD38=Цены!$H$40,Цены!$K$40,IF(AD38=Цены!$H$41,Цены!$K$41,IF(AD38=Цены!$H$42,Цены!$K$42,IF(AD38=Цены!$H$43,Цены!$K$43,IF(AD38=Цены!$H$44,Цены!$K$44,IF(AD38=Цены!$H$45,Цены!$K$45,IF(AD38=Цены!$H$46,Цены!$K$46,IF(AD38=Цены!$H$47,Цены!$K$47,IF(AD38=Цены!$H$48,Цены!$K$48,IF(AD38=Цены!$H$49,Цены!$K$49,IF(AD38=Цены!$H$50,Цены!$K$50,IF(AD38=Цены!$H$51,Цены!$K$51,IF(AD38=Цены!$H$52,Цены!$K$52,IF(AD38=Цены!$H$53,Цены!$K$53,IF(AD38=Цены!$H$54,Цены!$K$54,IF(AD38=Цены!$H$55,Цены!$K$55))))))))))))))))))))))))))))))))))))))))))))))))))))))</f>
        <v>448</v>
      </c>
      <c r="AI38" s="265"/>
      <c r="AJ38" s="265"/>
      <c r="AK38" s="266"/>
      <c r="AL38" s="267"/>
      <c r="AM38" s="267"/>
      <c r="AN38" s="268"/>
      <c r="AO38" s="310"/>
      <c r="AP38" s="270"/>
      <c r="AQ38" s="213"/>
      <c r="AR38" s="129"/>
      <c r="AS38" s="33" t="b">
        <f>IF(AQ38=Цены!$H$3,Цены!$L$3,IF(AQ38=Цены!$H$4,Цены!$L$4,IF(AQ38=Цены!$H$5,Цены!$L$5,IF(AQ38=Цены!$H$6,Цены!$L$6,IF(AQ38=Цены!$H$7,Цены!$L$7,IF(AQ38=Цены!$H$8,Цены!$L$8,IF(AQ38=Цены!$H$9,Цены!$L$9,IF(AQ38=Цены!$H$10,Цены!$L$10,IF(AQ38=Цены!$H$11,Цены!$L$11,IF(AQ38=Цены!$H$12,Цены!$L$12,IF(AQ38=Цены!$H$13,Цены!$L$13,IF(AQ38=Цены!$H$14,Цены!$L$14,IF(AQ38=Цены!$H$14,Цены!$L$14,IF(AQ38=Цены!$H$15,Цены!$L$15,IF(AQ38=Цены!$H$16,Цены!$L$16,IF(AQ38=Цены!$H$17,Цены!$L$17,IF(AQ38=Цены!$H$18,Цены!$L$18,IF(AQ38=Цены!$H$19,Цены!$L$19,IF(AQ38=Цены!$H$20,Цены!$L$20,IF(AQ38=Цены!$H$21,Цены!$L$21,IF(AQ38=Цены!$H$22,Цены!$L$22,IF(AQ38=Цены!$H$23,Цены!$L$23,IF(AQ38=Цены!$H$24,Цены!$L$24,IF(AQ38=Цены!$H$25,Цены!$L$25,IF(AQ38=Цены!$H$26,Цены!$L$26,IF(AQ38=Цены!$H$27,Цены!$L$27,IF(AQ38=Цены!$H$28,Цены!$L$28,IF(AQ38=Цены!$H$29,Цены!$L$29,IF(AQ38=Цены!$H$30,Цены!$L$30,IF(AQ38=Цены!$H$31,Цены!$L$31,IF(AQ38=Цены!$H$32,Цены!$L$32,IF(AQ38=Цены!$H$33,Цены!$L$33,IF(AQ38=Цены!$H$34,Цены!$L$34,IF(AQ38=Цены!$H$35,Цены!$L$35,IF(AQ38=Цены!$H$36,Цены!$L$36,IF(AQ38=Цены!$H$37,Цены!$L$37,IF(AQ38=Цены!$H$38,Цены!$L$38,IF(AQ38=Цены!$H$39,Цены!$L$39,IF(AQ38=Цены!$H$40,Цены!$L$40,IF(AQ38=Цены!$H$41,Цены!$L$41,IF(AQ38=Цены!$H$42,Цены!$L$42,IF(AQ38=Цены!$H$43,Цены!$L$43,IF(AQ38=Цены!$H$44,Цены!$L$44,IF(AQ38=Цены!$H$45,Цены!$L$45,IF(AQ38=Цены!$H$46,Цены!$L$46,IF(AQ38=Цены!$H$47,Цены!$L$47,IF(AQ38=Цены!$H$48,Цены!$L$48,IF(AQ38=Цены!$H$49,Цены!$L$49,IF(AQ38=Цены!$H$50,Цены!$L$50,IF(AQ38=Цены!$H$51,Цены!$L$51,IF(AQ38=Цены!$H$52,Цены!$L$52,IF(AQ38=Цены!$H$53,Цены!$L$53,IF(AQ38=Цены!$H$54,Цены!$L$54,IF(AQ38=Цены!$H$55,Цены!$L$55))))))))))))))))))))))))))))))))))))))))))))))))))))))</f>
        <v>0</v>
      </c>
      <c r="AT38" s="276"/>
      <c r="AU38" s="34" t="b">
        <f>IF(AQ38=Цены!$H$3,Цены!$K$3,IF(AQ38=Цены!$H$4,Цены!$K$4,IF(AQ38=Цены!$H$5,Цены!$K$5,IF(AQ38=Цены!$H$6,Цены!$K$6,IF(AQ38=Цены!$H$7,Цены!$K$7,IF(AQ38=Цены!$H$8,Цены!$K$8,IF(AQ38=Цены!$H$9,Цены!$K$9,IF(AQ38=Цены!$H$10,Цены!$K$10,IF(AQ38=Цены!$H$11,Цены!$K$11,IF(AQ38=Цены!$H$12,Цены!$K$12,IF(AQ38=Цены!$H$13,Цены!$K$13,IF(AQ38=Цены!$H$14,Цены!$K$14,IF(AQ38=Цены!$H$14,Цены!$K$14,IF(AQ38=Цены!$H$15,Цены!$K$15,IF(AQ38=Цены!$H$16,Цены!$K$16,IF(AQ38=Цены!$H$17,Цены!$K$17,IF(AQ38=Цены!$H$18,Цены!$K$18,IF(AQ38=Цены!$H$19,Цены!$K$19,IF(AQ38=Цены!$H$20,Цены!$K$20,IF(AQ38=Цены!$H$21,Цены!$K$21,IF(AQ38=Цены!$H$22,Цены!$K$22,IF(AQ38=Цены!$H$23,Цены!$K$23,IF(AQ38=Цены!$H$24,Цены!$K$24,IF(AQ38=Цены!$H$25,Цены!$K$25,IF(AQ38=Цены!$H$26,Цены!$K$26,IF(AQ38=Цены!$H$27,Цены!$K$27,IF(AQ38=Цены!$H$28,Цены!$K$28,IF(AQ38=Цены!$H$29,Цены!$K$29,IF(AQ38=Цены!$H$30,Цены!$K$30,IF(AQ38=Цены!$H$31,Цены!$K$31,IF(AQ38=Цены!$H$32,Цены!$K$32,IF(AQ38=Цены!$H$33,Цены!$K$33,IF(AQ38=Цены!$H$34,Цены!$K$34,IF(AQ38=Цены!$H$35,Цены!$K$35,IF(AQ38=Цены!$H$36,Цены!$K$36,IF(AQ38=Цены!$H$37,Цены!$K$37,IF(AQ38=Цены!$H$38,Цены!$K$38,IF(AQ38=Цены!$H$39,Цены!$K$39,IF(AQ38=Цены!$H$40,Цены!$K$40,IF(AQ38=Цены!$H$41,Цены!$K$41,IF(AQ38=Цены!$H$42,Цены!$K$42,IF(AQ38=Цены!$H$43,Цены!$K$43,IF(AQ38=Цены!$H$44,Цены!$K$44,IF(AQ38=Цены!$H$45,Цены!$K$45,IF(AQ38=Цены!$H$46,Цены!$K$46,IF(AQ38=Цены!$H$47,Цены!$K$47,IF(AQ38=Цены!$H$48,Цены!$K$48,IF(AQ38=Цены!$H$49,Цены!$K$49,IF(AQ38=Цены!$H$50,Цены!$K$50,IF(AQ38=Цены!$H$51,Цены!$K$51,IF(AQ38=Цены!$H$52,Цены!$K$52,IF(AQ38=Цены!$H$53,Цены!$K$53,IF(AQ38=Цены!$H$54,Цены!$K$54,IF(AQ38=Цены!$H$55,Цены!$K$55))))))))))))))))))))))))))))))))))))))))))))))))))))))</f>
        <v>0</v>
      </c>
      <c r="AV38" s="265"/>
      <c r="AW38" s="265"/>
      <c r="AX38" s="266"/>
      <c r="AY38" s="267"/>
      <c r="AZ38" s="267"/>
      <c r="BA38" s="268"/>
      <c r="BB38" s="269"/>
      <c r="BC38" s="270"/>
      <c r="BD38" s="260"/>
      <c r="BE38" s="210"/>
      <c r="BF38" s="71"/>
      <c r="BG38" s="33" t="b">
        <f>IF(BE38=Цены!$H$3,Цены!$L$3,IF(BE38=Цены!$H$4,Цены!$L$4,IF(BE38=Цены!$H$5,Цены!$L$5,IF(BE38=Цены!$H$6,Цены!$L$6,IF(BE38=Цены!$H$7,Цены!$L$7,IF(BE38=Цены!$H$8,Цены!$L$8,IF(BE38=Цены!$H$9,Цены!$L$9,IF(BE38=Цены!$H$10,Цены!$L$10,IF(BE38=Цены!$H$11,Цены!$L$11,IF(BE38=Цены!$H$12,Цены!$L$12,IF(BE38=Цены!$H$13,Цены!$L$13,IF(BE38=Цены!$H$14,Цены!$L$14,IF(BE38=Цены!$H$14,Цены!$L$14,IF(BE38=Цены!$H$15,Цены!$L$15,IF(BE38=Цены!$H$16,Цены!$L$16,IF(BE38=Цены!$H$17,Цены!$L$17,IF(BE38=Цены!$H$18,Цены!$L$18,IF(BE38=Цены!$H$19,Цены!$L$19,IF(BE38=Цены!$H$20,Цены!$L$20,IF(BE38=Цены!$H$21,Цены!$L$21,IF(BE38=Цены!$H$22,Цены!$L$22,IF(BE38=Цены!$H$23,Цены!$L$23,IF(BE38=Цены!$H$24,Цены!$L$24,IF(BE38=Цены!$H$25,Цены!$L$25,IF(BE38=Цены!$H$26,Цены!$L$26,IF(BE38=Цены!$H$27,Цены!$L$27,IF(BE38=Цены!$H$28,Цены!$L$28,IF(BE38=Цены!$H$29,Цены!$L$29,IF(BE38=Цены!$H$30,Цены!$L$30,IF(BE38=Цены!$H$31,Цены!$L$31,IF(BE38=Цены!$H$32,Цены!$L$32,IF(BE38=Цены!$H$33,Цены!$L$33,IF(BE38=Цены!$H$34,Цены!$L$34,IF(BE38=Цены!$H$35,Цены!$L$35,IF(BE38=Цены!$H$36,Цены!$L$36,IF(BE38=Цены!$H$37,Цены!$L$37,IF(BE38=Цены!$H$38,Цены!$L$38,IF(BE38=Цены!$H$39,Цены!$L$39,IF(BE38=Цены!$H$40,Цены!$L$40,IF(BE38=Цены!$H$41,Цены!$L$41,IF(BE38=Цены!$H$42,Цены!$L$42,IF(BE38=Цены!$H$43,Цены!$L$43,IF(BE38=Цены!$H$44,Цены!$L$44,IF(BE38=Цены!$H$45,Цены!$L$45,IF(BE38=Цены!$H$46,Цены!$L$46,IF(BE38=Цены!$H$47,Цены!$L$47,IF(BE38=Цены!$H$48,Цены!$L$48,IF(BE38=Цены!$H$49,Цены!$L$49,IF(BE38=Цены!$H$50,Цены!$L$50,IF(BE38=Цены!$H$51,Цены!$L$51,IF(BE38=Цены!$H$52,Цены!$L$52,IF(BE38=Цены!$H$53,Цены!$L$53,IF(BE38=Цены!$H$54,Цены!$L$54,IF(BE38=Цены!$H$55,Цены!$L$55))))))))))))))))))))))))))))))))))))))))))))))))))))))</f>
        <v>0</v>
      </c>
      <c r="BH38" s="276"/>
      <c r="BI38" s="34" t="b">
        <f>IF(BE38=Цены!$H$3,Цены!$K$3,IF(BE38=Цены!$H$4,Цены!$K$4,IF(BE38=Цены!$H$5,Цены!$K$5,IF(BE38=Цены!$H$6,Цены!$K$6,IF(BE38=Цены!$H$7,Цены!$K$7,IF(BE38=Цены!$H$8,Цены!$K$8,IF(BE38=Цены!$H$9,Цены!$K$9,IF(BE38=Цены!$H$10,Цены!$K$10,IF(BE38=Цены!$H$11,Цены!$K$11,IF(BE38=Цены!$H$12,Цены!$K$12,IF(BE38=Цены!$H$13,Цены!$K$13,IF(BE38=Цены!$H$14,Цены!$K$14,IF(BE38=Цены!$H$14,Цены!$K$14,IF(BE38=Цены!$H$15,Цены!$K$15,IF(BE38=Цены!$H$16,Цены!$K$16,IF(BE38=Цены!$H$17,Цены!$K$17,IF(BE38=Цены!$H$18,Цены!$K$18,IF(BE38=Цены!$H$19,Цены!$K$19,IF(BE38=Цены!$H$20,Цены!$K$20,IF(BE38=Цены!$H$21,Цены!$K$21,IF(BE38=Цены!$H$22,Цены!$K$22,IF(BE38=Цены!$H$23,Цены!$K$23,IF(BE38=Цены!$H$24,Цены!$K$24,IF(BE38=Цены!$H$25,Цены!$K$25,IF(BE38=Цены!$H$26,Цены!$K$26,IF(BE38=Цены!$H$27,Цены!$K$27,IF(BE38=Цены!$H$28,Цены!$K$28,IF(BE38=Цены!$H$29,Цены!$K$29,IF(BE38=Цены!$H$30,Цены!$K$30,IF(BE38=Цены!$H$31,Цены!$K$31,IF(BE38=Цены!$H$32,Цены!$K$32,IF(BE38=Цены!$H$33,Цены!$K$33,IF(BE38=Цены!$H$34,Цены!$K$34,IF(BE38=Цены!$H$35,Цены!$K$35,IF(BE38=Цены!$H$36,Цены!$K$36,IF(BE38=Цены!$H$37,Цены!$K$37,IF(BE38=Цены!$H$38,Цены!$K$38,IF(BE38=Цены!$H$39,Цены!$K$39,IF(BE38=Цены!$H$40,Цены!$K$40,IF(BE38=Цены!$H$41,Цены!$K$41,IF(BE38=Цены!$H$42,Цены!$K$42,IF(BE38=Цены!$H$43,Цены!$K$43,IF(BE38=Цены!$H$44,Цены!$K$44,IF(BE38=Цены!$H$45,Цены!$K$45,IF(BE38=Цены!$H$46,Цены!$K$46,IF(BE38=Цены!$H$47,Цены!$K$47,IF(BE38=Цены!$H$48,Цены!$K$48,IF(BE38=Цены!$H$49,Цены!$K$49,IF(BE38=Цены!$H$50,Цены!$K$50,IF(BE38=Цены!$H$51,Цены!$K$51,IF(BE38=Цены!$H$52,Цены!$K$52,IF(BE38=Цены!$H$53,Цены!$K$53,IF(BE38=Цены!$H$54,Цены!$K$54,IF(BE38=Цены!$H$55,Цены!$K$55))))))))))))))))))))))))))))))))))))))))))))))))))))))</f>
        <v>0</v>
      </c>
      <c r="BJ38" s="265"/>
      <c r="BK38" s="265"/>
      <c r="BL38" s="266"/>
      <c r="BM38" s="267"/>
      <c r="BN38" s="267"/>
      <c r="BO38" s="268"/>
      <c r="BP38" s="269"/>
      <c r="BQ38" s="270"/>
      <c r="BR38" s="210"/>
      <c r="BS38" s="43"/>
      <c r="BT38" s="33" t="b">
        <f>IF(BR38=Цены!$H$3,Цены!$L$3,IF(BR38=Цены!$H$4,Цены!$L$4,IF(BR38=Цены!$H$5,Цены!$L$5,IF(BR38=Цены!$H$6,Цены!$L$6,IF(BR38=Цены!$H$7,Цены!$L$7,IF(BR38=Цены!$H$8,Цены!$L$8,IF(BR38=Цены!$H$9,Цены!$L$9,IF(BR38=Цены!$H$10,Цены!$L$10,IF(BR38=Цены!$H$11,Цены!$L$11,IF(BR38=Цены!$H$12,Цены!$L$12,IF(BR38=Цены!$H$13,Цены!$L$13,IF(BR38=Цены!$H$14,Цены!$L$14,IF(BR38=Цены!$H$14,Цены!$L$14,IF(BR38=Цены!$H$15,Цены!$L$15,IF(BR38=Цены!$H$16,Цены!$L$16,IF(BR38=Цены!$H$17,Цены!$L$17,IF(BR38=Цены!$H$18,Цены!$L$18,IF(BR38=Цены!$H$19,Цены!$L$19,IF(BR38=Цены!$H$20,Цены!$L$20,IF(BR38=Цены!$H$21,Цены!$L$21,IF(BR38=Цены!$H$22,Цены!$L$22,IF(BR38=Цены!$H$23,Цены!$L$23,IF(BR38=Цены!$H$24,Цены!$L$24,IF(BR38=Цены!$H$25,Цены!$L$25,IF(BR38=Цены!$H$26,Цены!$L$26,IF(BR38=Цены!$H$27,Цены!$L$27,IF(BR38=Цены!$H$28,Цены!$L$28,IF(BR38=Цены!$H$29,Цены!$L$29,IF(BR38=Цены!$H$30,Цены!$L$30,IF(BR38=Цены!$H$31,Цены!$L$31,IF(BR38=Цены!$H$32,Цены!$L$32,IF(BR38=Цены!$H$33,Цены!$L$33,IF(BR38=Цены!$H$34,Цены!$L$34,IF(BR38=Цены!$H$35,Цены!$L$35,IF(BR38=Цены!$H$36,Цены!$L$36,IF(BR38=Цены!$H$37,Цены!$L$37,IF(BR38=Цены!$H$38,Цены!$L$38,IF(BR38=Цены!$H$39,Цены!$L$39,IF(BR38=Цены!$H$40,Цены!$L$40,IF(BR38=Цены!$H$41,Цены!$L$41,IF(BR38=Цены!$H$42,Цены!$L$42,IF(BR38=Цены!$H$43,Цены!$L$43,IF(BR38=Цены!$H$44,Цены!$L$44,IF(BR38=Цены!$H$45,Цены!$L$45,IF(BR38=Цены!$H$46,Цены!$L$46,IF(BR38=Цены!$H$47,Цены!$L$47,IF(BR38=Цены!$H$48,Цены!$L$48,IF(BR38=Цены!$H$49,Цены!$L$49,IF(BR38=Цены!$H$50,Цены!$L$50,IF(BR38=Цены!$H$51,Цены!$L$51,IF(BR38=Цены!$H$52,Цены!$L$52,IF(BR38=Цены!$H$53,Цены!$L$53,IF(BR38=Цены!$H$54,Цены!$L$54,IF(BR38=Цены!$H$55,Цены!$L$55))))))))))))))))))))))))))))))))))))))))))))))))))))))</f>
        <v>0</v>
      </c>
      <c r="BU38" s="276"/>
      <c r="BV38" s="34" t="b">
        <f>IF(BR38=Цены!$H$3,Цены!$K$3,IF(BR38=Цены!$H$4,Цены!$K$4,IF(BR38=Цены!$H$5,Цены!$K$5,IF(BR38=Цены!$H$6,Цены!$K$6,IF(BR38=Цены!$H$7,Цены!$K$7,IF(BR38=Цены!$H$8,Цены!$K$8,IF(BR38=Цены!$H$9,Цены!$K$9,IF(BR38=Цены!$H$10,Цены!$K$10,IF(BR38=Цены!$H$11,Цены!$K$11,IF(BR38=Цены!$H$12,Цены!$K$12,IF(BR38=Цены!$H$13,Цены!$K$13,IF(BR38=Цены!$H$14,Цены!$K$14,IF(BR38=Цены!$H$14,Цены!$K$14,IF(BR38=Цены!$H$15,Цены!$K$15,IF(BR38=Цены!$H$16,Цены!$K$16,IF(BR38=Цены!$H$17,Цены!$K$17,IF(BR38=Цены!$H$18,Цены!$K$18,IF(BR38=Цены!$H$19,Цены!$K$19,IF(BR38=Цены!$H$20,Цены!$K$20,IF(BR38=Цены!$H$21,Цены!$K$21,IF(BR38=Цены!$H$22,Цены!$K$22,IF(BR38=Цены!$H$23,Цены!$K$23,IF(BR38=Цены!$H$24,Цены!$K$24,IF(BR38=Цены!$H$25,Цены!$K$25,IF(BR38=Цены!$H$26,Цены!$K$26,IF(BR38=Цены!$H$27,Цены!$K$27,IF(BR38=Цены!$H$28,Цены!$K$28,IF(BR38=Цены!$H$29,Цены!$K$29,IF(BR38=Цены!$H$30,Цены!$K$30,IF(BR38=Цены!$H$31,Цены!$K$31,IF(BR38=Цены!$H$32,Цены!$K$32,IF(BR38=Цены!$H$33,Цены!$K$33,IF(BR38=Цены!$H$34,Цены!$K$34,IF(BR38=Цены!$H$35,Цены!$K$35,IF(BR38=Цены!$H$36,Цены!$K$36,IF(BR38=Цены!$H$37,Цены!$K$37,IF(BR38=Цены!$H$38,Цены!$K$38,IF(BR38=Цены!$H$39,Цены!$K$39,IF(BR38=Цены!$H$40,Цены!$K$40,IF(BR38=Цены!$H$41,Цены!$K$41,IF(BR38=Цены!$H$42,Цены!$K$42,IF(BR38=Цены!$H$43,Цены!$K$43,IF(BR38=Цены!$H$44,Цены!$K$44,IF(BR38=Цены!$H$45,Цены!$K$45,IF(BR38=Цены!$H$46,Цены!$K$46,IF(BR38=Цены!$H$47,Цены!$K$47,IF(BR38=Цены!$H$48,Цены!$K$48,IF(BR38=Цены!$H$49,Цены!$K$49,IF(BR38=Цены!$H$50,Цены!$K$50,IF(BR38=Цены!$H$51,Цены!$K$51,IF(BR38=Цены!$H$52,Цены!$K$52,IF(BR38=Цены!$H$53,Цены!$K$53,IF(BR38=Цены!$H$54,Цены!$K$54,IF(BR38=Цены!$H$55,Цены!$K$55))))))))))))))))))))))))))))))))))))))))))))))))))))))</f>
        <v>0</v>
      </c>
      <c r="BW38" s="265"/>
      <c r="BX38" s="265"/>
      <c r="BY38" s="266"/>
      <c r="BZ38" s="267"/>
      <c r="CA38" s="267"/>
      <c r="CB38" s="268"/>
      <c r="CC38" s="269"/>
      <c r="CD38" s="270"/>
      <c r="CE38" s="171" t="s">
        <v>121</v>
      </c>
      <c r="CF38" s="43">
        <v>2</v>
      </c>
      <c r="CG38" s="33">
        <f>IF(CE38=Цены!$H$3,Цены!$L$3,IF(CE38=Цены!$H$4,Цены!$L$4,IF(CE38=Цены!$H$5,Цены!$L$5,IF(CE38=Цены!$H$6,Цены!$L$6,IF(CE38=Цены!$H$7,Цены!$L$7,IF(CE38=Цены!$H$8,Цены!$L$8,IF(CE38=Цены!$H$9,Цены!$L$9,IF(CE38=Цены!$H$10,Цены!$L$10,IF(CE38=Цены!$H$11,Цены!$L$11,IF(CE38=Цены!$H$12,Цены!$L$12,IF(CE38=Цены!$H$13,Цены!$L$13,IF(CE38=Цены!$H$14,Цены!$L$14,IF(CE38=Цены!$H$14,Цены!$L$14,IF(CE38=Цены!$H$15,Цены!$L$15,IF(CE38=Цены!$H$16,Цены!$L$16,IF(CE38=Цены!$H$17,Цены!$L$17,IF(CE38=Цены!$H$18,Цены!$L$18,IF(CE38=Цены!$H$19,Цены!$L$19,IF(CE38=Цены!$H$20,Цены!$L$20,IF(CE38=Цены!$H$21,Цены!$L$21,IF(CE38=Цены!$H$22,Цены!$L$22,IF(CE38=Цены!$H$23,Цены!$L$23,IF(CE38=Цены!$H$24,Цены!$L$24,IF(CE38=Цены!$H$25,Цены!$L$25,IF(CE38=Цены!$H$26,Цены!$L$26,IF(CE38=Цены!$H$27,Цены!$L$27,IF(CE38=Цены!$H$28,Цены!$L$28,IF(CE38=Цены!$H$29,Цены!$L$29,IF(CE38=Цены!$H$30,Цены!$L$30,IF(CE38=Цены!$H$31,Цены!$L$31,IF(CE38=Цены!$H$32,Цены!$L$32,IF(CE38=Цены!$H$33,Цены!$L$33,IF(CE38=Цены!$H$34,Цены!$L$34,IF(CE38=Цены!$H$35,Цены!$L$35,IF(CE38=Цены!$H$36,Цены!$L$36,IF(CE38=Цены!$H$37,Цены!$L$37,IF(CE38=Цены!$H$38,Цены!$L$38,IF(CE38=Цены!$H$39,Цены!$L$39,IF(CE38=Цены!$H$40,Цены!$L$40,IF(CE38=Цены!$H$41,Цены!$L$41,IF(CE38=Цены!$H$42,Цены!$L$42,IF(CE38=Цены!$H$43,Цены!$L$43,IF(CE38=Цены!$H$44,Цены!$L$44,IF(CE38=Цены!$H$45,Цены!$L$45,IF(CE38=Цены!$H$46,Цены!$L$46,IF(CE38=Цены!$H$47,Цены!$L$47,IF(CE38=Цены!$H$48,Цены!$L$48,IF(CE38=Цены!$H$49,Цены!$L$49,IF(CE38=Цены!$H$50,Цены!$L$50,IF(CE38=Цены!$H$51,Цены!$L$51,IF(CE38=Цены!$H$52,Цены!$L$52,IF(CE38=Цены!$H$53,Цены!$L$53,IF(CE38=Цены!$H$54,Цены!$L$54,IF(CE38=Цены!$H$55,Цены!$L$55))))))))))))))))))))))))))))))))))))))))))))))))))))))</f>
        <v>1.32E-2</v>
      </c>
      <c r="CH38" s="276"/>
      <c r="CI38" s="34">
        <f>IF(CE38=Цены!$H$3,Цены!$K$3,IF(CE38=Цены!$H$4,Цены!$K$4,IF(CE38=Цены!$H$5,Цены!$K$5,IF(CE38=Цены!$H$6,Цены!$K$6,IF(CE38=Цены!$H$7,Цены!$K$7,IF(CE38=Цены!$H$8,Цены!$K$8,IF(CE38=Цены!$H$9,Цены!$K$9,IF(CE38=Цены!$H$10,Цены!$K$10,IF(CE38=Цены!$H$11,Цены!$K$11,IF(CE38=Цены!$H$12,Цены!$K$12,IF(CE38=Цены!$H$13,Цены!$K$13,IF(CE38=Цены!$H$14,Цены!$K$14,IF(CE38=Цены!$H$14,Цены!$K$14,IF(CE38=Цены!$H$15,Цены!$K$15,IF(CE38=Цены!$H$16,Цены!$K$16,IF(CE38=Цены!$H$17,Цены!$K$17,IF(CE38=Цены!$H$18,Цены!$K$18,IF(CE38=Цены!$H$19,Цены!$K$19,IF(CE38=Цены!$H$20,Цены!$K$20,IF(CE38=Цены!$H$21,Цены!$K$21,IF(CE38=Цены!$H$22,Цены!$K$22,IF(CE38=Цены!$H$23,Цены!$K$23,IF(CE38=Цены!$H$24,Цены!$K$24,IF(CE38=Цены!$H$25,Цены!$K$25,IF(CE38=Цены!$H$26,Цены!$K$26,IF(CE38=Цены!$H$27,Цены!$K$27,IF(CE38=Цены!$H$28,Цены!$K$28,IF(CE38=Цены!$H$29,Цены!$K$29,IF(CE38=Цены!$H$30,Цены!$K$30,IF(CE38=Цены!$H$31,Цены!$K$31,IF(CE38=Цены!$H$32,Цены!$K$32,IF(CE38=Цены!$H$33,Цены!$K$33,IF(CE38=Цены!$H$34,Цены!$K$34,IF(CE38=Цены!$H$35,Цены!$K$35,IF(CE38=Цены!$H$36,Цены!$K$36,IF(CE38=Цены!$H$37,Цены!$K$37,IF(CE38=Цены!$H$38,Цены!$K$38,IF(CE38=Цены!$H$39,Цены!$K$39,IF(CE38=Цены!$H$40,Цены!$K$40,IF(CE38=Цены!$H$41,Цены!$K$41,IF(CE38=Цены!$H$42,Цены!$K$42,IF(CE38=Цены!$H$43,Цены!$K$43,IF(CE38=Цены!$H$44,Цены!$K$44,IF(CE38=Цены!$H$45,Цены!$K$45,IF(CE38=Цены!$H$46,Цены!$K$46,IF(CE38=Цены!$H$47,Цены!$K$47,IF(CE38=Цены!$H$48,Цены!$K$48,IF(CE38=Цены!$H$49,Цены!$K$49,IF(CE38=Цены!$H$50,Цены!$K$50,IF(CE38=Цены!$H$51,Цены!$K$51,IF(CE38=Цены!$H$52,Цены!$K$52,IF(CE38=Цены!$H$53,Цены!$K$53,IF(CE38=Цены!$H$54,Цены!$K$54,IF(CE38=Цены!$H$55,Цены!$K$55))))))))))))))))))))))))))))))))))))))))))))))))))))))</f>
        <v>54</v>
      </c>
      <c r="CJ38" s="265"/>
      <c r="CK38" s="265"/>
      <c r="CL38" s="266"/>
      <c r="CM38" s="267"/>
      <c r="CN38" s="267"/>
      <c r="CO38" s="268"/>
      <c r="CP38" s="269"/>
      <c r="CQ38" s="270"/>
    </row>
    <row r="39" spans="1:95" s="40" customFormat="1" ht="15" customHeight="1" x14ac:dyDescent="0.25">
      <c r="A39" s="353"/>
      <c r="B39" s="265"/>
      <c r="C39" s="336" t="s">
        <v>120</v>
      </c>
      <c r="D39" s="173" t="s">
        <v>67</v>
      </c>
      <c r="E39" s="168">
        <v>9</v>
      </c>
      <c r="F39" s="46">
        <f>IF(D39=Цены!$H$3,Цены!$L$3,IF(D39=Цены!$H$4,Цены!$L$4,IF(D39=Цены!$H$5,Цены!$L$5,IF(D39=Цены!$H$6,Цены!$L$6,IF(D39=Цены!$H$7,Цены!$L$7,IF(D39=Цены!$H$8,Цены!$L$8,IF(D39=Цены!$H$9,Цены!$L$9,IF(D39=Цены!$H$10,Цены!$L$10,IF(D39=Цены!$H$11,Цены!$L$11,IF(D39=Цены!$H$12,Цены!$L$12,IF(D39=Цены!$H$13,Цены!$L$13,IF(D39=Цены!$H$14,Цены!$L$14,IF(D39=Цены!$H$14,Цены!$L$14,IF(D39=Цены!$H$15,Цены!$L$15,IF(D39=Цены!$H$16,Цены!$L$16,IF(D39=Цены!$H$17,Цены!$L$17,IF(D39=Цены!$H$18,Цены!$L$18,IF(D39=Цены!$H$19,Цены!$L$19,IF(D39=Цены!$H$20,Цены!$L$20,IF(D39=Цены!$H$21,Цены!$L$21,IF(D39=Цены!$H$22,Цены!$L$22,IF(D39=Цены!$H$23,Цены!$L$23,IF(D39=Цены!$H$24,Цены!$L$24,IF(D39=Цены!$H$25,Цены!$L$25,IF(D39=Цены!$H$26,Цены!$L$26,IF(D39=Цены!$H$27,Цены!$L$27,IF(D39=Цены!$H$28,Цены!$L$28,IF(D39=Цены!$H$29,Цены!$L$29,IF(D39=Цены!$H$30,Цены!$L$30,IF(D39=Цены!$H$31,Цены!$L$31,IF(D39=Цены!$H$32,Цены!$L$32,IF(D39=Цены!$H$33,Цены!$L$33,IF(D39=Цены!$H$34,Цены!$L$34,IF(D39=Цены!$H$35,Цены!$L$35,IF(D39=Цены!$H$36,Цены!$L$36,IF(D39=Цены!$H$37,Цены!$L$37,IF(D39=Цены!$H$38,Цены!$L$38,IF(D39=Цены!$H$39,Цены!$L$39,IF(D39=Цены!$H$40,Цены!$L$40,IF(D39=Цены!$H$41,Цены!$L$41,IF(D39=Цены!$H$42,Цены!$L$42,IF(D39=Цены!$H$43,Цены!$L$43,IF(D39=Цены!$H$44,Цены!$L$44,IF(D39=Цены!$H$45,Цены!$L$45,IF(D39=Цены!$H$46,Цены!$L$46,IF(D39=Цены!$H$47,Цены!$L$47,IF(D39=Цены!$H$48,Цены!$L$48,IF(D39=Цены!$H$49,Цены!$L$49,IF(D39=Цены!$H$50,Цены!$L$50,IF(D39=Цены!$H$51,Цены!$L$51,IF(D39=Цены!$H$52,Цены!$L$52,IF(D39=Цены!$H$53,Цены!$L$53,IF(D39=Цены!$H$54,Цены!$L$54,IF(D39=Цены!$H$55,Цены!$L$55))))))))))))))))))))))))))))))))))))))))))))))))))))))</f>
        <v>0.9</v>
      </c>
      <c r="G39" s="339">
        <f>E39*F39+E40*F40+E41*F41+E42*F42</f>
        <v>15.6996</v>
      </c>
      <c r="H39" s="47">
        <f>IF(D39=Цены!$H$3,Цены!$K$3,IF(D39=Цены!$H$4,Цены!$K$4,IF(D39=Цены!$H$5,Цены!$K$5,IF(D39=Цены!$H$6,Цены!$K$6,IF(D39=Цены!$H$7,Цены!$K$7,IF(D39=Цены!$H$8,Цены!$K$8,IF(D39=Цены!$H$9,Цены!$K$9,IF(D39=Цены!$H$10,Цены!$K$10,IF(D39=Цены!$H$11,Цены!$K$11,IF(D39=Цены!$H$12,Цены!$K$12,IF(D39=Цены!$H$13,Цены!$K$13,IF(D39=Цены!$H$14,Цены!$K$14,IF(D39=Цены!$H$14,Цены!$K$14,IF(D39=Цены!$H$15,Цены!$K$15,IF(D39=Цены!$H$16,Цены!$K$16,IF(D39=Цены!$H$17,Цены!$K$17,IF(D39=Цены!$H$18,Цены!$K$18,IF(D39=Цены!$H$19,Цены!$K$19,IF(D39=Цены!$H$20,Цены!$K$20,IF(D39=Цены!$H$21,Цены!$K$21,IF(D39=Цены!$H$22,Цены!$K$22,IF(D39=Цены!$H$23,Цены!$K$23,IF(D39=Цены!$H$24,Цены!$K$24,IF(D39=Цены!$H$25,Цены!$K$25,IF(D39=Цены!$H$26,Цены!$K$26,IF(D39=Цены!$H$27,Цены!$K$27,IF(D39=Цены!$H$28,Цены!$K$28,IF(D39=Цены!$H$29,Цены!$K$29,IF(D39=Цены!$H$30,Цены!$K$30,IF(D39=Цены!$H$31,Цены!$K$31,IF(D39=Цены!$H$32,Цены!$K$32,IF(D39=Цены!$H$33,Цены!$K$33,IF(D39=Цены!$H$34,Цены!$K$34,IF(D39=Цены!$H$35,Цены!$K$35,IF(D39=Цены!$H$36,Цены!$K$36,IF(D39=Цены!$H$37,Цены!$K$37,IF(D39=Цены!$H$38,Цены!$K$38,IF(D39=Цены!$H$39,Цены!$K$39,IF(D39=Цены!$H$40,Цены!$K$40,IF(D39=Цены!$H$41,Цены!$K$41,IF(D39=Цены!$H$42,Цены!$K$42,IF(D39=Цены!$H$43,Цены!$K$43,IF(D39=Цены!$H$44,Цены!$K$44,IF(D39=Цены!$H$45,Цены!$K$45,IF(D39=Цены!$H$46,Цены!$K$46,IF(D39=Цены!$H$47,Цены!$K$47,IF(D39=Цены!$H$48,Цены!$K$48,IF(D39=Цены!$H$49,Цены!$K$49,IF(D39=Цены!$H$50,Цены!$K$50,IF(D39=Цены!$H$51,Цены!$K$51,IF(D39=Цены!$H$52,Цены!$K$52,IF(D39=Цены!$H$53,Цены!$K$53,IF(D39=Цены!$H$54,Цены!$K$54,IF(D39=Цены!$H$55,Цены!$K$55))))))))))))))))))))))))))))))))))))))))))))))))))))))</f>
        <v>338</v>
      </c>
      <c r="I39" s="265"/>
      <c r="J39" s="265"/>
      <c r="K39" s="272">
        <f t="shared" ref="K39" si="56">E39*H39+E40*H40+E41*H41+E42*H42</f>
        <v>8382</v>
      </c>
      <c r="L39" s="273">
        <v>6000</v>
      </c>
      <c r="M39" s="272">
        <f t="shared" ref="M39" si="57">K39+L39</f>
        <v>14382</v>
      </c>
      <c r="N39" s="268"/>
      <c r="O39" s="332">
        <f>N35/M39*100</f>
        <v>55.625086914198306</v>
      </c>
      <c r="P39" s="275">
        <f>MROUND(M39+N35,500)</f>
        <v>22500</v>
      </c>
      <c r="Q39" s="206" t="s">
        <v>143</v>
      </c>
      <c r="R39" s="37">
        <v>8</v>
      </c>
      <c r="S39" s="38">
        <f>IF(Q39=Цены!$H$3,Цены!$L$3,IF(Q39=Цены!$H$4,Цены!$L$4,IF(Q39=Цены!$H$5,Цены!$L$5,IF(Q39=Цены!$H$6,Цены!$L$6,IF(Q39=Цены!$H$7,Цены!$L$7,IF(Q39=Цены!$H$8,Цены!$L$8,IF(Q39=Цены!$H$9,Цены!$L$9,IF(Q39=Цены!$H$10,Цены!$L$10,IF(Q39=Цены!$H$11,Цены!$L$11,IF(Q39=Цены!$H$12,Цены!$L$12,IF(Q39=Цены!$H$13,Цены!$L$13,IF(Q39=Цены!$H$14,Цены!$L$14,IF(Q39=Цены!$H$14,Цены!$L$14,IF(Q39=Цены!$H$15,Цены!$L$15,IF(Q39=Цены!$H$16,Цены!$L$16,IF(Q39=Цены!$H$17,Цены!$L$17,IF(Q39=Цены!$H$18,Цены!$L$18,IF(Q39=Цены!$H$19,Цены!$L$19,IF(Q39=Цены!$H$20,Цены!$L$20,IF(Q39=Цены!$H$21,Цены!$L$21,IF(Q39=Цены!$H$22,Цены!$L$22,IF(Q39=Цены!$H$23,Цены!$L$23,IF(Q39=Цены!$H$24,Цены!$L$24,IF(Q39=Цены!$H$25,Цены!$L$25,IF(Q39=Цены!$H$26,Цены!$L$26,IF(Q39=Цены!$H$27,Цены!$L$27,IF(Q39=Цены!$H$28,Цены!$L$28,IF(Q39=Цены!$H$29,Цены!$L$29,IF(Q39=Цены!$H$30,Цены!$L$30,IF(Q39=Цены!$H$31,Цены!$L$31,IF(Q39=Цены!$H$32,Цены!$L$32,IF(Q39=Цены!$H$33,Цены!$L$33,IF(Q39=Цены!$H$34,Цены!$L$34,IF(Q39=Цены!$H$35,Цены!$L$35,IF(Q39=Цены!$H$36,Цены!$L$36,IF(Q39=Цены!$H$37,Цены!$L$37,IF(Q39=Цены!$H$38,Цены!$L$38,IF(Q39=Цены!$H$39,Цены!$L$39,IF(Q39=Цены!$H$40,Цены!$L$40,IF(Q39=Цены!$H$41,Цены!$L$41,IF(Q39=Цены!$H$42,Цены!$L$42,IF(Q39=Цены!$H$43,Цены!$L$43,IF(Q39=Цены!$H$44,Цены!$L$44,IF(Q39=Цены!$H$45,Цены!$L$45,IF(Q39=Цены!$H$46,Цены!$L$46,IF(Q39=Цены!$H$47,Цены!$L$47,IF(Q39=Цены!$H$48,Цены!$L$48,IF(Q39=Цены!$H$49,Цены!$L$49,IF(Q39=Цены!$H$50,Цены!$L$50,IF(Q39=Цены!$H$51,Цены!$L$51,IF(Q39=Цены!$H$52,Цены!$L$52,IF(Q39=Цены!$H$53,Цены!$L$53,IF(Q39=Цены!$H$54,Цены!$L$54,IF(Q39=Цены!$H$55,Цены!$L$55))))))))))))))))))))))))))))))))))))))))))))))))))))))</f>
        <v>2.4</v>
      </c>
      <c r="T39" s="322">
        <f>R39*S39+R40*S40+R41*S41+R42*S42</f>
        <v>23.799999999999997</v>
      </c>
      <c r="U39" s="161">
        <f>IF(Q39=Цены!$H$3,Цены!$K$3,IF(Q39=Цены!$H$4,Цены!$K$4,IF(Q39=Цены!$H$5,Цены!$K$5,IF(Q39=Цены!$H$6,Цены!$K$6,IF(Q39=Цены!$H$7,Цены!$K$7,IF(Q39=Цены!$H$8,Цены!$K$8,IF(Q39=Цены!$H$9,Цены!$K$9,IF(Q39=Цены!$H$10,Цены!$K$10,IF(Q39=Цены!$H$11,Цены!$K$11,IF(Q39=Цены!$H$12,Цены!$K$12,IF(Q39=Цены!$H$13,Цены!$K$13,IF(Q39=Цены!$H$14,Цены!$K$14,IF(Q39=Цены!$H$14,Цены!$K$14,IF(Q39=Цены!$H$15,Цены!$K$15,IF(Q39=Цены!$H$16,Цены!$K$16,IF(Q39=Цены!$H$17,Цены!$K$17,IF(Q39=Цены!$H$18,Цены!$K$18,IF(Q39=Цены!$H$19,Цены!$K$19,IF(Q39=Цены!$H$20,Цены!$K$20,IF(Q39=Цены!$H$21,Цены!$K$21,IF(Q39=Цены!$H$22,Цены!$K$22,IF(Q39=Цены!$H$23,Цены!$K$23,IF(Q39=Цены!$H$24,Цены!$K$24,IF(Q39=Цены!$H$25,Цены!$K$25,IF(Q39=Цены!$H$26,Цены!$K$26,IF(Q39=Цены!$H$27,Цены!$K$27,IF(Q39=Цены!$H$28,Цены!$K$28,IF(Q39=Цены!$H$29,Цены!$K$29,IF(Q39=Цены!$H$30,Цены!$K$30,IF(Q39=Цены!$H$31,Цены!$K$31,IF(Q39=Цены!$H$32,Цены!$K$32,IF(Q39=Цены!$H$33,Цены!$K$33,IF(Q39=Цены!$H$34,Цены!$K$34,IF(Q39=Цены!$H$35,Цены!$K$35,IF(Q39=Цены!$H$36,Цены!$K$36,IF(Q39=Цены!$H$37,Цены!$K$37,IF(Q39=Цены!$H$38,Цены!$K$38,IF(Q39=Цены!$H$39,Цены!$K$39,IF(Q39=Цены!$H$40,Цены!$K$40,IF(Q39=Цены!$H$41,Цены!$K$41,IF(Q39=Цены!$H$42,Цены!$K$42,IF(Q39=Цены!$H$43,Цены!$K$43,IF(Q39=Цены!$H$44,Цены!$K$44,IF(Q39=Цены!$H$45,Цены!$K$45,IF(Q39=Цены!$H$46,Цены!$K$46,IF(Q39=Цены!$H$47,Цены!$K$47,IF(Q39=Цены!$H$48,Цены!$K$48,IF(Q39=Цены!$H$49,Цены!$K$49,IF(Q39=Цены!$H$50,Цены!$K$50,IF(Q39=Цены!$H$51,Цены!$K$51,IF(Q39=Цены!$H$52,Цены!$K$52,IF(Q39=Цены!$H$53,Цены!$K$53,IF(Q39=Цены!$H$54,Цены!$K$54,IF(Q39=Цены!$H$55,Цены!$K$55))))))))))))))))))))))))))))))))))))))))))))))))))))))</f>
        <v>469</v>
      </c>
      <c r="V39" s="265"/>
      <c r="W39" s="265"/>
      <c r="X39" s="272">
        <f t="shared" ref="X39" si="58">R39*U39+R40*U40+R41*U41+R42*U42</f>
        <v>5352</v>
      </c>
      <c r="Y39" s="273">
        <v>4000</v>
      </c>
      <c r="Z39" s="272">
        <f t="shared" ref="Z39" si="59">X39+Y39</f>
        <v>9352</v>
      </c>
      <c r="AA39" s="320"/>
      <c r="AB39" s="323">
        <f>AA35/Z39*100</f>
        <v>53.464499572284005</v>
      </c>
      <c r="AC39" s="275">
        <f>MROUND(Z39+AA35,500)</f>
        <v>14500</v>
      </c>
      <c r="AD39" s="211" t="s">
        <v>69</v>
      </c>
      <c r="AE39" s="130">
        <v>9</v>
      </c>
      <c r="AF39" s="68">
        <f>IF(AD39=Цены!$H$3,Цены!$L$3,IF(AD39=Цены!$H$4,Цены!$L$4,IF(AD39=Цены!$H$5,Цены!$L$5,IF(AD39=Цены!$H$6,Цены!$L$6,IF(AD39=Цены!$H$7,Цены!$L$7,IF(AD39=Цены!$H$8,Цены!$L$8,IF(AD39=Цены!$H$9,Цены!$L$9,IF(AD39=Цены!$H$10,Цены!$L$10,IF(AD39=Цены!$H$11,Цены!$L$11,IF(AD39=Цены!$H$12,Цены!$L$12,IF(AD39=Цены!$H$13,Цены!$L$13,IF(AD39=Цены!$H$14,Цены!$L$14,IF(AD39=Цены!$H$14,Цены!$L$14,IF(AD39=Цены!$H$15,Цены!$L$15,IF(AD39=Цены!$H$16,Цены!$L$16,IF(AD39=Цены!$H$17,Цены!$L$17,IF(AD39=Цены!$H$18,Цены!$L$18,IF(AD39=Цены!$H$19,Цены!$L$19,IF(AD39=Цены!$H$20,Цены!$L$20,IF(AD39=Цены!$H$21,Цены!$L$21,IF(AD39=Цены!$H$22,Цены!$L$22,IF(AD39=Цены!$H$23,Цены!$L$23,IF(AD39=Цены!$H$24,Цены!$L$24,IF(AD39=Цены!$H$25,Цены!$L$25,IF(AD39=Цены!$H$26,Цены!$L$26,IF(AD39=Цены!$H$27,Цены!$L$27,IF(AD39=Цены!$H$28,Цены!$L$28,IF(AD39=Цены!$H$29,Цены!$L$29,IF(AD39=Цены!$H$30,Цены!$L$30,IF(AD39=Цены!$H$31,Цены!$L$31,IF(AD39=Цены!$H$32,Цены!$L$32,IF(AD39=Цены!$H$33,Цены!$L$33,IF(AD39=Цены!$H$34,Цены!$L$34,IF(AD39=Цены!$H$35,Цены!$L$35,IF(AD39=Цены!$H$36,Цены!$L$36,IF(AD39=Цены!$H$37,Цены!$L$37,IF(AD39=Цены!$H$38,Цены!$L$38,IF(AD39=Цены!$H$39,Цены!$L$39,IF(AD39=Цены!$H$40,Цены!$L$40,IF(AD39=Цены!$H$41,Цены!$L$41,IF(AD39=Цены!$H$42,Цены!$L$42,IF(AD39=Цены!$H$43,Цены!$L$43,IF(AD39=Цены!$H$44,Цены!$L$44,IF(AD39=Цены!$H$45,Цены!$L$45,IF(AD39=Цены!$H$46,Цены!$L$46,IF(AD39=Цены!$H$47,Цены!$L$47,IF(AD39=Цены!$H$48,Цены!$L$48,IF(AD39=Цены!$H$49,Цены!$L$49,IF(AD39=Цены!$H$50,Цены!$L$50,IF(AD39=Цены!$H$51,Цены!$L$51,IF(AD39=Цены!$H$52,Цены!$L$52,IF(AD39=Цены!$H$53,Цены!$L$53,IF(AD39=Цены!$H$54,Цены!$L$54,IF(AD39=Цены!$H$55,Цены!$L$55))))))))))))))))))))))))))))))))))))))))))))))))))))))</f>
        <v>1.19</v>
      </c>
      <c r="AG39" s="311">
        <f>AE39*AF39+AE40*AF40+AE41*AF41+AE42*AF42</f>
        <v>43.660000000000004</v>
      </c>
      <c r="AH39" s="69">
        <f>IF(AD39=Цены!$H$3,Цены!$K$3,IF(AD39=Цены!$H$4,Цены!$K$4,IF(AD39=Цены!$H$5,Цены!$K$5,IF(AD39=Цены!$H$6,Цены!$K$6,IF(AD39=Цены!$H$7,Цены!$K$7,IF(AD39=Цены!$H$8,Цены!$K$8,IF(AD39=Цены!$H$9,Цены!$K$9,IF(AD39=Цены!$H$10,Цены!$K$10,IF(AD39=Цены!$H$11,Цены!$K$11,IF(AD39=Цены!$H$12,Цены!$K$12,IF(AD39=Цены!$H$13,Цены!$K$13,IF(AD39=Цены!$H$14,Цены!$K$14,IF(AD39=Цены!$H$14,Цены!$K$14,IF(AD39=Цены!$H$15,Цены!$K$15,IF(AD39=Цены!$H$16,Цены!$K$16,IF(AD39=Цены!$H$17,Цены!$K$17,IF(AD39=Цены!$H$18,Цены!$K$18,IF(AD39=Цены!$H$19,Цены!$K$19,IF(AD39=Цены!$H$20,Цены!$K$20,IF(AD39=Цены!$H$21,Цены!$K$21,IF(AD39=Цены!$H$22,Цены!$K$22,IF(AD39=Цены!$H$23,Цены!$K$23,IF(AD39=Цены!$H$24,Цены!$K$24,IF(AD39=Цены!$H$25,Цены!$K$25,IF(AD39=Цены!$H$26,Цены!$K$26,IF(AD39=Цены!$H$27,Цены!$K$27,IF(AD39=Цены!$H$28,Цены!$K$28,IF(AD39=Цены!$H$29,Цены!$K$29,IF(AD39=Цены!$H$30,Цены!$K$30,IF(AD39=Цены!$H$31,Цены!$K$31,IF(AD39=Цены!$H$32,Цены!$K$32,IF(AD39=Цены!$H$33,Цены!$K$33,IF(AD39=Цены!$H$34,Цены!$K$34,IF(AD39=Цены!$H$35,Цены!$K$35,IF(AD39=Цены!$H$36,Цены!$K$36,IF(AD39=Цены!$H$37,Цены!$K$37,IF(AD39=Цены!$H$38,Цены!$K$38,IF(AD39=Цены!$H$39,Цены!$K$39,IF(AD39=Цены!$H$40,Цены!$K$40,IF(AD39=Цены!$H$41,Цены!$K$41,IF(AD39=Цены!$H$42,Цены!$K$42,IF(AD39=Цены!$H$43,Цены!$K$43,IF(AD39=Цены!$H$44,Цены!$K$44,IF(AD39=Цены!$H$45,Цены!$K$45,IF(AD39=Цены!$H$46,Цены!$K$46,IF(AD39=Цены!$H$47,Цены!$K$47,IF(AD39=Цены!$H$48,Цены!$K$48,IF(AD39=Цены!$H$49,Цены!$K$49,IF(AD39=Цены!$H$50,Цены!$K$50,IF(AD39=Цены!$H$51,Цены!$K$51,IF(AD39=Цены!$H$52,Цены!$K$52,IF(AD39=Цены!$H$53,Цены!$K$53,IF(AD39=Цены!$H$54,Цены!$K$54,IF(AD39=Цены!$H$55,Цены!$K$55))))))))))))))))))))))))))))))))))))))))))))))))))))))</f>
        <v>398</v>
      </c>
      <c r="AI39" s="265"/>
      <c r="AJ39" s="265"/>
      <c r="AK39" s="272">
        <f t="shared" ref="AK39" si="60">AE39*AH39+AE40*AH40+AE41*AH41+AE42*AH42</f>
        <v>11818</v>
      </c>
      <c r="AL39" s="273">
        <v>9000</v>
      </c>
      <c r="AM39" s="272">
        <f t="shared" ref="AM39" si="61">AK39+AL39</f>
        <v>20818</v>
      </c>
      <c r="AN39" s="268"/>
      <c r="AO39" s="312">
        <f>AN35/AM39*100</f>
        <v>48.035354020559126</v>
      </c>
      <c r="AP39" s="275">
        <f>MROUND(AM39+AN35,500)</f>
        <v>31000</v>
      </c>
      <c r="AQ39" s="206" t="s">
        <v>146</v>
      </c>
      <c r="AR39" s="131">
        <v>4</v>
      </c>
      <c r="AS39" s="80">
        <f>IF(AQ39=Цены!$H$3,Цены!$L$3,IF(AQ39=Цены!$H$4,Цены!$L$4,IF(AQ39=Цены!$H$5,Цены!$L$5,IF(AQ39=Цены!$H$6,Цены!$L$6,IF(AQ39=Цены!$H$7,Цены!$L$7,IF(AQ39=Цены!$H$8,Цены!$L$8,IF(AQ39=Цены!$H$9,Цены!$L$9,IF(AQ39=Цены!$H$10,Цены!$L$10,IF(AQ39=Цены!$H$11,Цены!$L$11,IF(AQ39=Цены!$H$12,Цены!$L$12,IF(AQ39=Цены!$H$13,Цены!$L$13,IF(AQ39=Цены!$H$14,Цены!$L$14,IF(AQ39=Цены!$H$14,Цены!$L$14,IF(AQ39=Цены!$H$15,Цены!$L$15,IF(AQ39=Цены!$H$16,Цены!$L$16,IF(AQ39=Цены!$H$17,Цены!$L$17,IF(AQ39=Цены!$H$18,Цены!$L$18,IF(AQ39=Цены!$H$19,Цены!$L$19,IF(AQ39=Цены!$H$20,Цены!$L$20,IF(AQ39=Цены!$H$21,Цены!$L$21,IF(AQ39=Цены!$H$22,Цены!$L$22,IF(AQ39=Цены!$H$23,Цены!$L$23,IF(AQ39=Цены!$H$24,Цены!$L$24,IF(AQ39=Цены!$H$25,Цены!$L$25,IF(AQ39=Цены!$H$26,Цены!$L$26,IF(AQ39=Цены!$H$27,Цены!$L$27,IF(AQ39=Цены!$H$28,Цены!$L$28,IF(AQ39=Цены!$H$29,Цены!$L$29,IF(AQ39=Цены!$H$30,Цены!$L$30,IF(AQ39=Цены!$H$31,Цены!$L$31,IF(AQ39=Цены!$H$32,Цены!$L$32,IF(AQ39=Цены!$H$33,Цены!$L$33,IF(AQ39=Цены!$H$34,Цены!$L$34,IF(AQ39=Цены!$H$35,Цены!$L$35,IF(AQ39=Цены!$H$36,Цены!$L$36,IF(AQ39=Цены!$H$37,Цены!$L$37,IF(AQ39=Цены!$H$38,Цены!$L$38,IF(AQ39=Цены!$H$39,Цены!$L$39,IF(AQ39=Цены!$H$40,Цены!$L$40,IF(AQ39=Цены!$H$41,Цены!$L$41,IF(AQ39=Цены!$H$42,Цены!$L$42,IF(AQ39=Цены!$H$43,Цены!$L$43,IF(AQ39=Цены!$H$44,Цены!$L$44,IF(AQ39=Цены!$H$45,Цены!$L$45,IF(AQ39=Цены!$H$46,Цены!$L$46,IF(AQ39=Цены!$H$47,Цены!$L$47,IF(AQ39=Цены!$H$48,Цены!$L$48,IF(AQ39=Цены!$H$49,Цены!$L$49,IF(AQ39=Цены!$H$50,Цены!$L$50,IF(AQ39=Цены!$H$51,Цены!$L$51,IF(AQ39=Цены!$H$52,Цены!$L$52,IF(AQ39=Цены!$H$53,Цены!$L$53,IF(AQ39=Цены!$H$54,Цены!$L$54,IF(AQ39=Цены!$H$55,Цены!$L$55))))))))))))))))))))))))))))))))))))))))))))))))))))))</f>
        <v>1.19</v>
      </c>
      <c r="AT39" s="271">
        <f>AR39*AS39+AR40*AS40+AR41*AS41+AR42*AS42</f>
        <v>16.009999999999998</v>
      </c>
      <c r="AU39" s="81">
        <f>IF(AQ39=Цены!$H$3,Цены!$K$3,IF(AQ39=Цены!$H$4,Цены!$K$4,IF(AQ39=Цены!$H$5,Цены!$K$5,IF(AQ39=Цены!$H$6,Цены!$K$6,IF(AQ39=Цены!$H$7,Цены!$K$7,IF(AQ39=Цены!$H$8,Цены!$K$8,IF(AQ39=Цены!$H$9,Цены!$K$9,IF(AQ39=Цены!$H$10,Цены!$K$10,IF(AQ39=Цены!$H$11,Цены!$K$11,IF(AQ39=Цены!$H$12,Цены!$K$12,IF(AQ39=Цены!$H$13,Цены!$K$13,IF(AQ39=Цены!$H$14,Цены!$K$14,IF(AQ39=Цены!$H$14,Цены!$K$14,IF(AQ39=Цены!$H$15,Цены!$K$15,IF(AQ39=Цены!$H$16,Цены!$K$16,IF(AQ39=Цены!$H$17,Цены!$K$17,IF(AQ39=Цены!$H$18,Цены!$K$18,IF(AQ39=Цены!$H$19,Цены!$K$19,IF(AQ39=Цены!$H$20,Цены!$K$20,IF(AQ39=Цены!$H$21,Цены!$K$21,IF(AQ39=Цены!$H$22,Цены!$K$22,IF(AQ39=Цены!$H$23,Цены!$K$23,IF(AQ39=Цены!$H$24,Цены!$K$24,IF(AQ39=Цены!$H$25,Цены!$K$25,IF(AQ39=Цены!$H$26,Цены!$K$26,IF(AQ39=Цены!$H$27,Цены!$K$27,IF(AQ39=Цены!$H$28,Цены!$K$28,IF(AQ39=Цены!$H$29,Цены!$K$29,IF(AQ39=Цены!$H$30,Цены!$K$30,IF(AQ39=Цены!$H$31,Цены!$K$31,IF(AQ39=Цены!$H$32,Цены!$K$32,IF(AQ39=Цены!$H$33,Цены!$K$33,IF(AQ39=Цены!$H$34,Цены!$K$34,IF(AQ39=Цены!$H$35,Цены!$K$35,IF(AQ39=Цены!$H$36,Цены!$K$36,IF(AQ39=Цены!$H$37,Цены!$K$37,IF(AQ39=Цены!$H$38,Цены!$K$38,IF(AQ39=Цены!$H$39,Цены!$K$39,IF(AQ39=Цены!$H$40,Цены!$K$40,IF(AQ39=Цены!$H$41,Цены!$K$41,IF(AQ39=Цены!$H$42,Цены!$K$42,IF(AQ39=Цены!$H$43,Цены!$K$43,IF(AQ39=Цены!$H$44,Цены!$K$44,IF(AQ39=Цены!$H$45,Цены!$K$45,IF(AQ39=Цены!$H$46,Цены!$K$46,IF(AQ39=Цены!$H$47,Цены!$K$47,IF(AQ39=Цены!$H$48,Цены!$K$48,IF(AQ39=Цены!$H$49,Цены!$K$49,IF(AQ39=Цены!$H$50,Цены!$K$50,IF(AQ39=Цены!$H$51,Цены!$K$51,IF(AQ39=Цены!$H$52,Цены!$K$52,IF(AQ39=Цены!$H$53,Цены!$K$53,IF(AQ39=Цены!$H$54,Цены!$K$54,IF(AQ39=Цены!$H$55,Цены!$K$55))))))))))))))))))))))))))))))))))))))))))))))))))))))</f>
        <v>398</v>
      </c>
      <c r="AV39" s="265"/>
      <c r="AW39" s="265"/>
      <c r="AX39" s="272">
        <f t="shared" ref="AX39" si="62">AR39*AU39+AR40*AU40+AR41*AU41+AR42*AU42</f>
        <v>4448</v>
      </c>
      <c r="AY39" s="273">
        <v>6000</v>
      </c>
      <c r="AZ39" s="272">
        <f t="shared" ref="AZ39" si="63">AX39+AY39</f>
        <v>10448</v>
      </c>
      <c r="BA39" s="268"/>
      <c r="BB39" s="274">
        <f>BA35/AZ39*100</f>
        <v>57.427258805513013</v>
      </c>
      <c r="BC39" s="275">
        <f>MROUND(AZ39+BA35,500)</f>
        <v>16500</v>
      </c>
      <c r="BD39" s="261">
        <f>BC39+CQ39</f>
        <v>23000</v>
      </c>
      <c r="BE39" s="206" t="s">
        <v>141</v>
      </c>
      <c r="BF39" s="106">
        <v>5</v>
      </c>
      <c r="BG39" s="103">
        <f>IF(BE39=Цены!$H$3,Цены!$L$3,IF(BE39=Цены!$H$4,Цены!$L$4,IF(BE39=Цены!$H$5,Цены!$L$5,IF(BE39=Цены!$H$6,Цены!$L$6,IF(BE39=Цены!$H$7,Цены!$L$7,IF(BE39=Цены!$H$8,Цены!$L$8,IF(BE39=Цены!$H$9,Цены!$L$9,IF(BE39=Цены!$H$10,Цены!$L$10,IF(BE39=Цены!$H$11,Цены!$L$11,IF(BE39=Цены!$H$12,Цены!$L$12,IF(BE39=Цены!$H$13,Цены!$L$13,IF(BE39=Цены!$H$14,Цены!$L$14,IF(BE39=Цены!$H$14,Цены!$L$14,IF(BE39=Цены!$H$15,Цены!$L$15,IF(BE39=Цены!$H$16,Цены!$L$16,IF(BE39=Цены!$H$17,Цены!$L$17,IF(BE39=Цены!$H$18,Цены!$L$18,IF(BE39=Цены!$H$19,Цены!$L$19,IF(BE39=Цены!$H$20,Цены!$L$20,IF(BE39=Цены!$H$21,Цены!$L$21,IF(BE39=Цены!$H$22,Цены!$L$22,IF(BE39=Цены!$H$23,Цены!$L$23,IF(BE39=Цены!$H$24,Цены!$L$24,IF(BE39=Цены!$H$25,Цены!$L$25,IF(BE39=Цены!$H$26,Цены!$L$26,IF(BE39=Цены!$H$27,Цены!$L$27,IF(BE39=Цены!$H$28,Цены!$L$28,IF(BE39=Цены!$H$29,Цены!$L$29,IF(BE39=Цены!$H$30,Цены!$L$30,IF(BE39=Цены!$H$31,Цены!$L$31,IF(BE39=Цены!$H$32,Цены!$L$32,IF(BE39=Цены!$H$33,Цены!$L$33,IF(BE39=Цены!$H$34,Цены!$L$34,IF(BE39=Цены!$H$35,Цены!$L$35,IF(BE39=Цены!$H$36,Цены!$L$36,IF(BE39=Цены!$H$37,Цены!$L$37,IF(BE39=Цены!$H$38,Цены!$L$38,IF(BE39=Цены!$H$39,Цены!$L$39,IF(BE39=Цены!$H$40,Цены!$L$40,IF(BE39=Цены!$H$41,Цены!$L$41,IF(BE39=Цены!$H$42,Цены!$L$42,IF(BE39=Цены!$H$43,Цены!$L$43,IF(BE39=Цены!$H$44,Цены!$L$44,IF(BE39=Цены!$H$45,Цены!$L$45,IF(BE39=Цены!$H$46,Цены!$L$46,IF(BE39=Цены!$H$47,Цены!$L$47,IF(BE39=Цены!$H$48,Цены!$L$48,IF(BE39=Цены!$H$49,Цены!$L$49,IF(BE39=Цены!$H$50,Цены!$L$50,IF(BE39=Цены!$H$51,Цены!$L$51,IF(BE39=Цены!$H$52,Цены!$L$52,IF(BE39=Цены!$H$53,Цены!$L$53,IF(BE39=Цены!$H$54,Цены!$L$54,IF(BE39=Цены!$H$55,Цены!$L$55))))))))))))))))))))))))))))))))))))))))))))))))))))))</f>
        <v>0.9</v>
      </c>
      <c r="BH39" s="280">
        <f>BF39*BG39+BF40*BG40+BF41*BG41+BF42*BG42</f>
        <v>6.84</v>
      </c>
      <c r="BI39" s="104">
        <f>IF(BE39=Цены!$H$3,Цены!$K$3,IF(BE39=Цены!$H$4,Цены!$K$4,IF(BE39=Цены!$H$5,Цены!$K$5,IF(BE39=Цены!$H$6,Цены!$K$6,IF(BE39=Цены!$H$7,Цены!$K$7,IF(BE39=Цены!$H$8,Цены!$K$8,IF(BE39=Цены!$H$9,Цены!$K$9,IF(BE39=Цены!$H$10,Цены!$K$10,IF(BE39=Цены!$H$11,Цены!$K$11,IF(BE39=Цены!$H$12,Цены!$K$12,IF(BE39=Цены!$H$13,Цены!$K$13,IF(BE39=Цены!$H$14,Цены!$K$14,IF(BE39=Цены!$H$14,Цены!$K$14,IF(BE39=Цены!$H$15,Цены!$K$15,IF(BE39=Цены!$H$16,Цены!$K$16,IF(BE39=Цены!$H$17,Цены!$K$17,IF(BE39=Цены!$H$18,Цены!$K$18,IF(BE39=Цены!$H$19,Цены!$K$19,IF(BE39=Цены!$H$20,Цены!$K$20,IF(BE39=Цены!$H$21,Цены!$K$21,IF(BE39=Цены!$H$22,Цены!$K$22,IF(BE39=Цены!$H$23,Цены!$K$23,IF(BE39=Цены!$H$24,Цены!$K$24,IF(BE39=Цены!$H$25,Цены!$K$25,IF(BE39=Цены!$H$26,Цены!$K$26,IF(BE39=Цены!$H$27,Цены!$K$27,IF(BE39=Цены!$H$28,Цены!$K$28,IF(BE39=Цены!$H$29,Цены!$K$29,IF(BE39=Цены!$H$30,Цены!$K$30,IF(BE39=Цены!$H$31,Цены!$K$31,IF(BE39=Цены!$H$32,Цены!$K$32,IF(BE39=Цены!$H$33,Цены!$K$33,IF(BE39=Цены!$H$34,Цены!$K$34,IF(BE39=Цены!$H$35,Цены!$K$35,IF(BE39=Цены!$H$36,Цены!$K$36,IF(BE39=Цены!$H$37,Цены!$K$37,IF(BE39=Цены!$H$38,Цены!$K$38,IF(BE39=Цены!$H$39,Цены!$K$39,IF(BE39=Цены!$H$40,Цены!$K$40,IF(BE39=Цены!$H$41,Цены!$K$41,IF(BE39=Цены!$H$42,Цены!$K$42,IF(BE39=Цены!$H$43,Цены!$K$43,IF(BE39=Цены!$H$44,Цены!$K$44,IF(BE39=Цены!$H$45,Цены!$K$45,IF(BE39=Цены!$H$46,Цены!$K$46,IF(BE39=Цены!$H$47,Цены!$K$47,IF(BE39=Цены!$H$48,Цены!$K$48,IF(BE39=Цены!$H$49,Цены!$K$49,IF(BE39=Цены!$H$50,Цены!$K$50,IF(BE39=Цены!$H$51,Цены!$K$51,IF(BE39=Цены!$H$52,Цены!$K$52,IF(BE39=Цены!$H$53,Цены!$K$53,IF(BE39=Цены!$H$54,Цены!$K$54,IF(BE39=Цены!$H$55,Цены!$K$55))))))))))))))))))))))))))))))))))))))))))))))))))))))</f>
        <v>338</v>
      </c>
      <c r="BJ39" s="265"/>
      <c r="BK39" s="265"/>
      <c r="BL39" s="272">
        <f t="shared" ref="BL39" si="64">BF39*BI39+BF40*BI40+BF41*BI41+BF42*BI42</f>
        <v>3031</v>
      </c>
      <c r="BM39" s="273">
        <v>5500</v>
      </c>
      <c r="BN39" s="272">
        <f t="shared" ref="BN39" si="65">BL39+BM39</f>
        <v>8531</v>
      </c>
      <c r="BO39" s="268"/>
      <c r="BP39" s="281">
        <f>BO35/BN39*100</f>
        <v>58.609776110655254</v>
      </c>
      <c r="BQ39" s="275">
        <f>MROUND(BN39+BO35,500)</f>
        <v>13500</v>
      </c>
      <c r="BR39" s="218" t="s">
        <v>67</v>
      </c>
      <c r="BS39" s="108">
        <v>3</v>
      </c>
      <c r="BT39" s="109">
        <f>IF(BR39=Цены!$H$3,Цены!$L$3,IF(BR39=Цены!$H$4,Цены!$L$4,IF(BR39=Цены!$H$5,Цены!$L$5,IF(BR39=Цены!$H$6,Цены!$L$6,IF(BR39=Цены!$H$7,Цены!$L$7,IF(BR39=Цены!$H$8,Цены!$L$8,IF(BR39=Цены!$H$9,Цены!$L$9,IF(BR39=Цены!$H$10,Цены!$L$10,IF(BR39=Цены!$H$11,Цены!$L$11,IF(BR39=Цены!$H$12,Цены!$L$12,IF(BR39=Цены!$H$13,Цены!$L$13,IF(BR39=Цены!$H$14,Цены!$L$14,IF(BR39=Цены!$H$14,Цены!$L$14,IF(BR39=Цены!$H$15,Цены!$L$15,IF(BR39=Цены!$H$16,Цены!$L$16,IF(BR39=Цены!$H$17,Цены!$L$17,IF(BR39=Цены!$H$18,Цены!$L$18,IF(BR39=Цены!$H$19,Цены!$L$19,IF(BR39=Цены!$H$20,Цены!$L$20,IF(BR39=Цены!$H$21,Цены!$L$21,IF(BR39=Цены!$H$22,Цены!$L$22,IF(BR39=Цены!$H$23,Цены!$L$23,IF(BR39=Цены!$H$24,Цены!$L$24,IF(BR39=Цены!$H$25,Цены!$L$25,IF(BR39=Цены!$H$26,Цены!$L$26,IF(BR39=Цены!$H$27,Цены!$L$27,IF(BR39=Цены!$H$28,Цены!$L$28,IF(BR39=Цены!$H$29,Цены!$L$29,IF(BR39=Цены!$H$30,Цены!$L$30,IF(BR39=Цены!$H$31,Цены!$L$31,IF(BR39=Цены!$H$32,Цены!$L$32,IF(BR39=Цены!$H$33,Цены!$L$33,IF(BR39=Цены!$H$34,Цены!$L$34,IF(BR39=Цены!$H$35,Цены!$L$35,IF(BR39=Цены!$H$36,Цены!$L$36,IF(BR39=Цены!$H$37,Цены!$L$37,IF(BR39=Цены!$H$38,Цены!$L$38,IF(BR39=Цены!$H$39,Цены!$L$39,IF(BR39=Цены!$H$40,Цены!$L$40,IF(BR39=Цены!$H$41,Цены!$L$41,IF(BR39=Цены!$H$42,Цены!$L$42,IF(BR39=Цены!$H$43,Цены!$L$43,IF(BR39=Цены!$H$44,Цены!$L$44,IF(BR39=Цены!$H$45,Цены!$L$45,IF(BR39=Цены!$H$46,Цены!$L$46,IF(BR39=Цены!$H$47,Цены!$L$47,IF(BR39=Цены!$H$48,Цены!$L$48,IF(BR39=Цены!$H$49,Цены!$L$49,IF(BR39=Цены!$H$50,Цены!$L$50,IF(BR39=Цены!$H$51,Цены!$L$51,IF(BR39=Цены!$H$52,Цены!$L$52,IF(BR39=Цены!$H$53,Цены!$L$53,IF(BR39=Цены!$H$54,Цены!$L$54,IF(BR39=Цены!$H$55,Цены!$L$55))))))))))))))))))))))))))))))))))))))))))))))))))))))</f>
        <v>0.9</v>
      </c>
      <c r="BU39" s="284">
        <f>BS39*BT39+BS40*BT40+BS41*BT41+BS42*BT42</f>
        <v>5.04</v>
      </c>
      <c r="BV39" s="110">
        <f>IF(BR39=Цены!$H$3,Цены!$K$3,IF(BR39=Цены!$H$4,Цены!$K$4,IF(BR39=Цены!$H$5,Цены!$K$5,IF(BR39=Цены!$H$6,Цены!$K$6,IF(BR39=Цены!$H$7,Цены!$K$7,IF(BR39=Цены!$H$8,Цены!$K$8,IF(BR39=Цены!$H$9,Цены!$K$9,IF(BR39=Цены!$H$10,Цены!$K$10,IF(BR39=Цены!$H$11,Цены!$K$11,IF(BR39=Цены!$H$12,Цены!$K$12,IF(BR39=Цены!$H$13,Цены!$K$13,IF(BR39=Цены!$H$14,Цены!$K$14,IF(BR39=Цены!$H$14,Цены!$K$14,IF(BR39=Цены!$H$15,Цены!$K$15,IF(BR39=Цены!$H$16,Цены!$K$16,IF(BR39=Цены!$H$17,Цены!$K$17,IF(BR39=Цены!$H$18,Цены!$K$18,IF(BR39=Цены!$H$19,Цены!$K$19,IF(BR39=Цены!$H$20,Цены!$K$20,IF(BR39=Цены!$H$21,Цены!$K$21,IF(BR39=Цены!$H$22,Цены!$K$22,IF(BR39=Цены!$H$23,Цены!$K$23,IF(BR39=Цены!$H$24,Цены!$K$24,IF(BR39=Цены!$H$25,Цены!$K$25,IF(BR39=Цены!$H$26,Цены!$K$26,IF(BR39=Цены!$H$27,Цены!$K$27,IF(BR39=Цены!$H$28,Цены!$K$28,IF(BR39=Цены!$H$29,Цены!$K$29,IF(BR39=Цены!$H$30,Цены!$K$30,IF(BR39=Цены!$H$31,Цены!$K$31,IF(BR39=Цены!$H$32,Цены!$K$32,IF(BR39=Цены!$H$33,Цены!$K$33,IF(BR39=Цены!$H$34,Цены!$K$34,IF(BR39=Цены!$H$35,Цены!$K$35,IF(BR39=Цены!$H$36,Цены!$K$36,IF(BR39=Цены!$H$37,Цены!$K$37,IF(BR39=Цены!$H$38,Цены!$K$38,IF(BR39=Цены!$H$39,Цены!$K$39,IF(BR39=Цены!$H$40,Цены!$K$40,IF(BR39=Цены!$H$41,Цены!$K$41,IF(BR39=Цены!$H$42,Цены!$K$42,IF(BR39=Цены!$H$43,Цены!$K$43,IF(BR39=Цены!$H$44,Цены!$K$44,IF(BR39=Цены!$H$45,Цены!$K$45,IF(BR39=Цены!$H$46,Цены!$K$46,IF(BR39=Цены!$H$47,Цены!$K$47,IF(BR39=Цены!$H$48,Цены!$K$48,IF(BR39=Цены!$H$49,Цены!$K$49,IF(BR39=Цены!$H$50,Цены!$K$50,IF(BR39=Цены!$H$51,Цены!$K$51,IF(BR39=Цены!$H$52,Цены!$K$52,IF(BR39=Цены!$H$53,Цены!$K$53,IF(BR39=Цены!$H$54,Цены!$K$54,IF(BR39=Цены!$H$55,Цены!$K$55))))))))))))))))))))))))))))))))))))))))))))))))))))))</f>
        <v>338</v>
      </c>
      <c r="BW39" s="265"/>
      <c r="BX39" s="265"/>
      <c r="BY39" s="272">
        <f t="shared" ref="BY39" si="66">BS39*BV39+BS40*BV40+BS41*BV41+BS42*BV42</f>
        <v>2355</v>
      </c>
      <c r="BZ39" s="273">
        <v>1000</v>
      </c>
      <c r="CA39" s="272">
        <f t="shared" ref="CA39" si="67">BY39+BZ39</f>
        <v>3355</v>
      </c>
      <c r="CB39" s="268"/>
      <c r="CC39" s="285">
        <f>CB35/CA39*100</f>
        <v>59.612518628912071</v>
      </c>
      <c r="CD39" s="275">
        <f>MROUND(CA39+CB35,500)</f>
        <v>5500</v>
      </c>
      <c r="CE39" s="173" t="s">
        <v>67</v>
      </c>
      <c r="CF39" s="112">
        <v>3</v>
      </c>
      <c r="CG39" s="113">
        <f>IF(CE39=Цены!$H$3,Цены!$L$3,IF(CE39=Цены!$H$4,Цены!$L$4,IF(CE39=Цены!$H$5,Цены!$L$5,IF(CE39=Цены!$H$6,Цены!$L$6,IF(CE39=Цены!$H$7,Цены!$L$7,IF(CE39=Цены!$H$8,Цены!$L$8,IF(CE39=Цены!$H$9,Цены!$L$9,IF(CE39=Цены!$H$10,Цены!$L$10,IF(CE39=Цены!$H$11,Цены!$L$11,IF(CE39=Цены!$H$12,Цены!$L$12,IF(CE39=Цены!$H$13,Цены!$L$13,IF(CE39=Цены!$H$14,Цены!$L$14,IF(CE39=Цены!$H$14,Цены!$L$14,IF(CE39=Цены!$H$15,Цены!$L$15,IF(CE39=Цены!$H$16,Цены!$L$16,IF(CE39=Цены!$H$17,Цены!$L$17,IF(CE39=Цены!$H$18,Цены!$L$18,IF(CE39=Цены!$H$19,Цены!$L$19,IF(CE39=Цены!$H$20,Цены!$L$20,IF(CE39=Цены!$H$21,Цены!$L$21,IF(CE39=Цены!$H$22,Цены!$L$22,IF(CE39=Цены!$H$23,Цены!$L$23,IF(CE39=Цены!$H$24,Цены!$L$24,IF(CE39=Цены!$H$25,Цены!$L$25,IF(CE39=Цены!$H$26,Цены!$L$26,IF(CE39=Цены!$H$27,Цены!$L$27,IF(CE39=Цены!$H$28,Цены!$L$28,IF(CE39=Цены!$H$29,Цены!$L$29,IF(CE39=Цены!$H$30,Цены!$L$30,IF(CE39=Цены!$H$31,Цены!$L$31,IF(CE39=Цены!$H$32,Цены!$L$32,IF(CE39=Цены!$H$33,Цены!$L$33,IF(CE39=Цены!$H$34,Цены!$L$34,IF(CE39=Цены!$H$35,Цены!$L$35,IF(CE39=Цены!$H$36,Цены!$L$36,IF(CE39=Цены!$H$37,Цены!$L$37,IF(CE39=Цены!$H$38,Цены!$L$38,IF(CE39=Цены!$H$39,Цены!$L$39,IF(CE39=Цены!$H$40,Цены!$L$40,IF(CE39=Цены!$H$41,Цены!$L$41,IF(CE39=Цены!$H$42,Цены!$L$42,IF(CE39=Цены!$H$43,Цены!$L$43,IF(CE39=Цены!$H$44,Цены!$L$44,IF(CE39=Цены!$H$45,Цены!$L$45,IF(CE39=Цены!$H$46,Цены!$L$46,IF(CE39=Цены!$H$47,Цены!$L$47,IF(CE39=Цены!$H$48,Цены!$L$48,IF(CE39=Цены!$H$49,Цены!$L$49,IF(CE39=Цены!$H$50,Цены!$L$50,IF(CE39=Цены!$H$51,Цены!$L$51,IF(CE39=Цены!$H$52,Цены!$L$52,IF(CE39=Цены!$H$53,Цены!$L$53,IF(CE39=Цены!$H$54,Цены!$L$54,IF(CE39=Цены!$H$55,Цены!$L$55))))))))))))))))))))))))))))))))))))))))))))))))))))))</f>
        <v>0.9</v>
      </c>
      <c r="CH39" s="282">
        <f>CF39*CG39+CF40*CG40+CF41*CG41+CF42*CG42</f>
        <v>6.7163999999999993</v>
      </c>
      <c r="CI39" s="114">
        <f>IF(CE39=Цены!$H$3,Цены!$K$3,IF(CE39=Цены!$H$4,Цены!$K$4,IF(CE39=Цены!$H$5,Цены!$K$5,IF(CE39=Цены!$H$6,Цены!$K$6,IF(CE39=Цены!$H$7,Цены!$K$7,IF(CE39=Цены!$H$8,Цены!$K$8,IF(CE39=Цены!$H$9,Цены!$K$9,IF(CE39=Цены!$H$10,Цены!$K$10,IF(CE39=Цены!$H$11,Цены!$K$11,IF(CE39=Цены!$H$12,Цены!$K$12,IF(CE39=Цены!$H$13,Цены!$K$13,IF(CE39=Цены!$H$14,Цены!$K$14,IF(CE39=Цены!$H$14,Цены!$K$14,IF(CE39=Цены!$H$15,Цены!$K$15,IF(CE39=Цены!$H$16,Цены!$K$16,IF(CE39=Цены!$H$17,Цены!$K$17,IF(CE39=Цены!$H$18,Цены!$K$18,IF(CE39=Цены!$H$19,Цены!$K$19,IF(CE39=Цены!$H$20,Цены!$K$20,IF(CE39=Цены!$H$21,Цены!$K$21,IF(CE39=Цены!$H$22,Цены!$K$22,IF(CE39=Цены!$H$23,Цены!$K$23,IF(CE39=Цены!$H$24,Цены!$K$24,IF(CE39=Цены!$H$25,Цены!$K$25,IF(CE39=Цены!$H$26,Цены!$K$26,IF(CE39=Цены!$H$27,Цены!$K$27,IF(CE39=Цены!$H$28,Цены!$K$28,IF(CE39=Цены!$H$29,Цены!$K$29,IF(CE39=Цены!$H$30,Цены!$K$30,IF(CE39=Цены!$H$31,Цены!$K$31,IF(CE39=Цены!$H$32,Цены!$K$32,IF(CE39=Цены!$H$33,Цены!$K$33,IF(CE39=Цены!$H$34,Цены!$K$34,IF(CE39=Цены!$H$35,Цены!$K$35,IF(CE39=Цены!$H$36,Цены!$K$36,IF(CE39=Цены!$H$37,Цены!$K$37,IF(CE39=Цены!$H$38,Цены!$K$38,IF(CE39=Цены!$H$39,Цены!$K$39,IF(CE39=Цены!$H$40,Цены!$K$40,IF(CE39=Цены!$H$41,Цены!$K$41,IF(CE39=Цены!$H$42,Цены!$K$42,IF(CE39=Цены!$H$43,Цены!$K$43,IF(CE39=Цены!$H$44,Цены!$K$44,IF(CE39=Цены!$H$45,Цены!$K$45,IF(CE39=Цены!$H$46,Цены!$K$46,IF(CE39=Цены!$H$47,Цены!$K$47,IF(CE39=Цены!$H$48,Цены!$K$48,IF(CE39=Цены!$H$49,Цены!$K$49,IF(CE39=Цены!$H$50,Цены!$K$50,IF(CE39=Цены!$H$51,Цены!$K$51,IF(CE39=Цены!$H$52,Цены!$K$52,IF(CE39=Цены!$H$53,Цены!$K$53,IF(CE39=Цены!$H$54,Цены!$K$54,IF(CE39=Цены!$H$55,Цены!$K$55))))))))))))))))))))))))))))))))))))))))))))))))))))))</f>
        <v>338</v>
      </c>
      <c r="CJ39" s="265"/>
      <c r="CK39" s="265"/>
      <c r="CL39" s="272">
        <f t="shared" ref="CL39" si="68">CF39*CI39+CF40*CI40+CF41*CI41+CF42*CI42</f>
        <v>3078</v>
      </c>
      <c r="CM39" s="273">
        <v>1500</v>
      </c>
      <c r="CN39" s="272">
        <f t="shared" ref="CN39" si="69">CL39+CM39</f>
        <v>4578</v>
      </c>
      <c r="CO39" s="268"/>
      <c r="CP39" s="283">
        <f>CO35/CN39*100</f>
        <v>43.6871996505024</v>
      </c>
      <c r="CQ39" s="275">
        <f>MROUND(CN39+CO35,500)</f>
        <v>6500</v>
      </c>
    </row>
    <row r="40" spans="1:95" s="40" customFormat="1" ht="15" customHeight="1" x14ac:dyDescent="0.25">
      <c r="A40" s="353"/>
      <c r="B40" s="265"/>
      <c r="C40" s="336"/>
      <c r="D40" s="173" t="s">
        <v>87</v>
      </c>
      <c r="E40" s="168">
        <v>5</v>
      </c>
      <c r="F40" s="46">
        <f>IF(D40=Цены!$H$3,Цены!$L$3,IF(D40=Цены!$H$4,Цены!$L$4,IF(D40=Цены!$H$5,Цены!$L$5,IF(D40=Цены!$H$6,Цены!$L$6,IF(D40=Цены!$H$7,Цены!$L$7,IF(D40=Цены!$H$8,Цены!$L$8,IF(D40=Цены!$H$9,Цены!$L$9,IF(D40=Цены!$H$10,Цены!$L$10,IF(D40=Цены!$H$11,Цены!$L$11,IF(D40=Цены!$H$12,Цены!$L$12,IF(D40=Цены!$H$13,Цены!$L$13,IF(D40=Цены!$H$14,Цены!$L$14,IF(D40=Цены!$H$14,Цены!$L$14,IF(D40=Цены!$H$15,Цены!$L$15,IF(D40=Цены!$H$16,Цены!$L$16,IF(D40=Цены!$H$17,Цены!$L$17,IF(D40=Цены!$H$18,Цены!$L$18,IF(D40=Цены!$H$19,Цены!$L$19,IF(D40=Цены!$H$20,Цены!$L$20,IF(D40=Цены!$H$21,Цены!$L$21,IF(D40=Цены!$H$22,Цены!$L$22,IF(D40=Цены!$H$23,Цены!$L$23,IF(D40=Цены!$H$24,Цены!$L$24,IF(D40=Цены!$H$25,Цены!$L$25,IF(D40=Цены!$H$26,Цены!$L$26,IF(D40=Цены!$H$27,Цены!$L$27,IF(D40=Цены!$H$28,Цены!$L$28,IF(D40=Цены!$H$29,Цены!$L$29,IF(D40=Цены!$H$30,Цены!$L$30,IF(D40=Цены!$H$31,Цены!$L$31,IF(D40=Цены!$H$32,Цены!$L$32,IF(D40=Цены!$H$33,Цены!$L$33,IF(D40=Цены!$H$34,Цены!$L$34,IF(D40=Цены!$H$35,Цены!$L$35,IF(D40=Цены!$H$36,Цены!$L$36,IF(D40=Цены!$H$37,Цены!$L$37,IF(D40=Цены!$H$38,Цены!$L$38,IF(D40=Цены!$H$39,Цены!$L$39,IF(D40=Цены!$H$40,Цены!$L$40,IF(D40=Цены!$H$41,Цены!$L$41,IF(D40=Цены!$H$42,Цены!$L$42,IF(D40=Цены!$H$43,Цены!$L$43,IF(D40=Цены!$H$44,Цены!$L$44,IF(D40=Цены!$H$45,Цены!$L$45,IF(D40=Цены!$H$46,Цены!$L$46,IF(D40=Цены!$H$47,Цены!$L$47,IF(D40=Цены!$H$48,Цены!$L$48,IF(D40=Цены!$H$49,Цены!$L$49,IF(D40=Цены!$H$50,Цены!$L$50,IF(D40=Цены!$H$51,Цены!$L$51,IF(D40=Цены!$H$52,Цены!$L$52,IF(D40=Цены!$H$53,Цены!$L$53,IF(D40=Цены!$H$54,Цены!$L$54,IF(D40=Цены!$H$55,Цены!$L$55))))))))))))))))))))))))))))))))))))))))))))))))))))))</f>
        <v>1.2</v>
      </c>
      <c r="G40" s="339"/>
      <c r="H40" s="47">
        <f>IF(D40=Цены!$H$3,Цены!$K$3,IF(D40=Цены!$H$4,Цены!$K$4,IF(D40=Цены!$H$5,Цены!$K$5,IF(D40=Цены!$H$6,Цены!$K$6,IF(D40=Цены!$H$7,Цены!$K$7,IF(D40=Цены!$H$8,Цены!$K$8,IF(D40=Цены!$H$9,Цены!$K$9,IF(D40=Цены!$H$10,Цены!$K$10,IF(D40=Цены!$H$11,Цены!$K$11,IF(D40=Цены!$H$12,Цены!$K$12,IF(D40=Цены!$H$13,Цены!$K$13,IF(D40=Цены!$H$14,Цены!$K$14,IF(D40=Цены!$H$14,Цены!$K$14,IF(D40=Цены!$H$15,Цены!$K$15,IF(D40=Цены!$H$16,Цены!$K$16,IF(D40=Цены!$H$17,Цены!$K$17,IF(D40=Цены!$H$18,Цены!$K$18,IF(D40=Цены!$H$19,Цены!$K$19,IF(D40=Цены!$H$20,Цены!$K$20,IF(D40=Цены!$H$21,Цены!$K$21,IF(D40=Цены!$H$22,Цены!$K$22,IF(D40=Цены!$H$23,Цены!$K$23,IF(D40=Цены!$H$24,Цены!$K$24,IF(D40=Цены!$H$25,Цены!$K$25,IF(D40=Цены!$H$26,Цены!$K$26,IF(D40=Цены!$H$27,Цены!$K$27,IF(D40=Цены!$H$28,Цены!$K$28,IF(D40=Цены!$H$29,Цены!$K$29,IF(D40=Цены!$H$30,Цены!$K$30,IF(D40=Цены!$H$31,Цены!$K$31,IF(D40=Цены!$H$32,Цены!$K$32,IF(D40=Цены!$H$33,Цены!$K$33,IF(D40=Цены!$H$34,Цены!$K$34,IF(D40=Цены!$H$35,Цены!$K$35,IF(D40=Цены!$H$36,Цены!$K$36,IF(D40=Цены!$H$37,Цены!$K$37,IF(D40=Цены!$H$38,Цены!$K$38,IF(D40=Цены!$H$39,Цены!$K$39,IF(D40=Цены!$H$40,Цены!$K$40,IF(D40=Цены!$H$41,Цены!$K$41,IF(D40=Цены!$H$42,Цены!$K$42,IF(D40=Цены!$H$43,Цены!$K$43,IF(D40=Цены!$H$44,Цены!$K$44,IF(D40=Цены!$H$45,Цены!$K$45,IF(D40=Цены!$H$46,Цены!$K$46,IF(D40=Цены!$H$47,Цены!$K$47,IF(D40=Цены!$H$48,Цены!$K$48,IF(D40=Цены!$H$49,Цены!$K$49,IF(D40=Цены!$H$50,Цены!$K$50,IF(D40=Цены!$H$51,Цены!$K$51,IF(D40=Цены!$H$52,Цены!$K$52,IF(D40=Цены!$H$53,Цены!$K$53,IF(D40=Цены!$H$54,Цены!$K$54,IF(D40=Цены!$H$55,Цены!$K$55))))))))))))))))))))))))))))))))))))))))))))))))))))))</f>
        <v>378</v>
      </c>
      <c r="I40" s="265"/>
      <c r="J40" s="265"/>
      <c r="K40" s="272"/>
      <c r="L40" s="273"/>
      <c r="M40" s="273"/>
      <c r="N40" s="268"/>
      <c r="O40" s="332"/>
      <c r="P40" s="275"/>
      <c r="Q40" s="207" t="s">
        <v>148</v>
      </c>
      <c r="R40" s="37">
        <v>4</v>
      </c>
      <c r="S40" s="38">
        <f>IF(Q40=Цены!$H$3,Цены!$L$3,IF(Q40=Цены!$H$4,Цены!$L$4,IF(Q40=Цены!$H$5,Цены!$L$5,IF(Q40=Цены!$H$6,Цены!$L$6,IF(Q40=Цены!$H$7,Цены!$L$7,IF(Q40=Цены!$H$8,Цены!$L$8,IF(Q40=Цены!$H$9,Цены!$L$9,IF(Q40=Цены!$H$10,Цены!$L$10,IF(Q40=Цены!$H$11,Цены!$L$11,IF(Q40=Цены!$H$12,Цены!$L$12,IF(Q40=Цены!$H$13,Цены!$L$13,IF(Q40=Цены!$H$14,Цены!$L$14,IF(Q40=Цены!$H$14,Цены!$L$14,IF(Q40=Цены!$H$15,Цены!$L$15,IF(Q40=Цены!$H$16,Цены!$L$16,IF(Q40=Цены!$H$17,Цены!$L$17,IF(Q40=Цены!$H$18,Цены!$L$18,IF(Q40=Цены!$H$19,Цены!$L$19,IF(Q40=Цены!$H$20,Цены!$L$20,IF(Q40=Цены!$H$21,Цены!$L$21,IF(Q40=Цены!$H$22,Цены!$L$22,IF(Q40=Цены!$H$23,Цены!$L$23,IF(Q40=Цены!$H$24,Цены!$L$24,IF(Q40=Цены!$H$25,Цены!$L$25,IF(Q40=Цены!$H$26,Цены!$L$26,IF(Q40=Цены!$H$27,Цены!$L$27,IF(Q40=Цены!$H$28,Цены!$L$28,IF(Q40=Цены!$H$29,Цены!$L$29,IF(Q40=Цены!$H$30,Цены!$L$30,IF(Q40=Цены!$H$31,Цены!$L$31,IF(Q40=Цены!$H$32,Цены!$L$32,IF(Q40=Цены!$H$33,Цены!$L$33,IF(Q40=Цены!$H$34,Цены!$L$34,IF(Q40=Цены!$H$35,Цены!$L$35,IF(Q40=Цены!$H$36,Цены!$L$36,IF(Q40=Цены!$H$37,Цены!$L$37,IF(Q40=Цены!$H$38,Цены!$L$38,IF(Q40=Цены!$H$39,Цены!$L$39,IF(Q40=Цены!$H$40,Цены!$L$40,IF(Q40=Цены!$H$41,Цены!$L$41,IF(Q40=Цены!$H$42,Цены!$L$42,IF(Q40=Цены!$H$43,Цены!$L$43,IF(Q40=Цены!$H$44,Цены!$L$44,IF(Q40=Цены!$H$45,Цены!$L$45,IF(Q40=Цены!$H$46,Цены!$L$46,IF(Q40=Цены!$H$47,Цены!$L$47,IF(Q40=Цены!$H$48,Цены!$L$48,IF(Q40=Цены!$H$49,Цены!$L$49,IF(Q40=Цены!$H$50,Цены!$L$50,IF(Q40=Цены!$H$51,Цены!$L$51,IF(Q40=Цены!$H$52,Цены!$L$52,IF(Q40=Цены!$H$53,Цены!$L$53,IF(Q40=Цены!$H$54,Цены!$L$54,IF(Q40=Цены!$H$55,Цены!$L$55))))))))))))))))))))))))))))))))))))))))))))))))))))))</f>
        <v>1.1499999999999999</v>
      </c>
      <c r="T40" s="322"/>
      <c r="U40" s="161">
        <f>IF(Q40=Цены!$H$3,Цены!$K$3,IF(Q40=Цены!$H$4,Цены!$K$4,IF(Q40=Цены!$H$5,Цены!$K$5,IF(Q40=Цены!$H$6,Цены!$K$6,IF(Q40=Цены!$H$7,Цены!$K$7,IF(Q40=Цены!$H$8,Цены!$K$8,IF(Q40=Цены!$H$9,Цены!$K$9,IF(Q40=Цены!$H$10,Цены!$K$10,IF(Q40=Цены!$H$11,Цены!$K$11,IF(Q40=Цены!$H$12,Цены!$K$12,IF(Q40=Цены!$H$13,Цены!$K$13,IF(Q40=Цены!$H$14,Цены!$K$14,IF(Q40=Цены!$H$14,Цены!$K$14,IF(Q40=Цены!$H$15,Цены!$K$15,IF(Q40=Цены!$H$16,Цены!$K$16,IF(Q40=Цены!$H$17,Цены!$K$17,IF(Q40=Цены!$H$18,Цены!$K$18,IF(Q40=Цены!$H$19,Цены!$K$19,IF(Q40=Цены!$H$20,Цены!$K$20,IF(Q40=Цены!$H$21,Цены!$K$21,IF(Q40=Цены!$H$22,Цены!$K$22,IF(Q40=Цены!$H$23,Цены!$K$23,IF(Q40=Цены!$H$24,Цены!$K$24,IF(Q40=Цены!$H$25,Цены!$K$25,IF(Q40=Цены!$H$26,Цены!$K$26,IF(Q40=Цены!$H$27,Цены!$K$27,IF(Q40=Цены!$H$28,Цены!$K$28,IF(Q40=Цены!$H$29,Цены!$K$29,IF(Q40=Цены!$H$30,Цены!$K$30,IF(Q40=Цены!$H$31,Цены!$K$31,IF(Q40=Цены!$H$32,Цены!$K$32,IF(Q40=Цены!$H$33,Цены!$K$33,IF(Q40=Цены!$H$34,Цены!$K$34,IF(Q40=Цены!$H$35,Цены!$K$35,IF(Q40=Цены!$H$36,Цены!$K$36,IF(Q40=Цены!$H$37,Цены!$K$37,IF(Q40=Цены!$H$38,Цены!$K$38,IF(Q40=Цены!$H$39,Цены!$K$39,IF(Q40=Цены!$H$40,Цены!$K$40,IF(Q40=Цены!$H$41,Цены!$K$41,IF(Q40=Цены!$H$42,Цены!$K$42,IF(Q40=Цены!$H$43,Цены!$K$43,IF(Q40=Цены!$H$44,Цены!$K$44,IF(Q40=Цены!$H$45,Цены!$K$45,IF(Q40=Цены!$H$46,Цены!$K$46,IF(Q40=Цены!$H$47,Цены!$K$47,IF(Q40=Цены!$H$48,Цены!$K$48,IF(Q40=Цены!$H$49,Цены!$K$49,IF(Q40=Цены!$H$50,Цены!$K$50,IF(Q40=Цены!$H$51,Цены!$K$51,IF(Q40=Цены!$H$52,Цены!$K$52,IF(Q40=Цены!$H$53,Цены!$K$53,IF(Q40=Цены!$H$54,Цены!$K$54,IF(Q40=Цены!$H$55,Цены!$K$55))))))))))))))))))))))))))))))))))))))))))))))))))))))</f>
        <v>400</v>
      </c>
      <c r="V40" s="265"/>
      <c r="W40" s="265"/>
      <c r="X40" s="272"/>
      <c r="Y40" s="273"/>
      <c r="Z40" s="273"/>
      <c r="AA40" s="320"/>
      <c r="AB40" s="323"/>
      <c r="AC40" s="275"/>
      <c r="AD40" s="211" t="s">
        <v>70</v>
      </c>
      <c r="AE40" s="130">
        <v>4</v>
      </c>
      <c r="AF40" s="68">
        <f>IF(AD40=Цены!$H$3,Цены!$L$3,IF(AD40=Цены!$H$4,Цены!$L$4,IF(AD40=Цены!$H$5,Цены!$L$5,IF(AD40=Цены!$H$6,Цены!$L$6,IF(AD40=Цены!$H$7,Цены!$L$7,IF(AD40=Цены!$H$8,Цены!$L$8,IF(AD40=Цены!$H$9,Цены!$L$9,IF(AD40=Цены!$H$10,Цены!$L$10,IF(AD40=Цены!$H$11,Цены!$L$11,IF(AD40=Цены!$H$12,Цены!$L$12,IF(AD40=Цены!$H$13,Цены!$L$13,IF(AD40=Цены!$H$14,Цены!$L$14,IF(AD40=Цены!$H$14,Цены!$L$14,IF(AD40=Цены!$H$15,Цены!$L$15,IF(AD40=Цены!$H$16,Цены!$L$16,IF(AD40=Цены!$H$17,Цены!$L$17,IF(AD40=Цены!$H$18,Цены!$L$18,IF(AD40=Цены!$H$19,Цены!$L$19,IF(AD40=Цены!$H$20,Цены!$L$20,IF(AD40=Цены!$H$21,Цены!$L$21,IF(AD40=Цены!$H$22,Цены!$L$22,IF(AD40=Цены!$H$23,Цены!$L$23,IF(AD40=Цены!$H$24,Цены!$L$24,IF(AD40=Цены!$H$25,Цены!$L$25,IF(AD40=Цены!$H$26,Цены!$L$26,IF(AD40=Цены!$H$27,Цены!$L$27,IF(AD40=Цены!$H$28,Цены!$L$28,IF(AD40=Цены!$H$29,Цены!$L$29,IF(AD40=Цены!$H$30,Цены!$L$30,IF(AD40=Цены!$H$31,Цены!$L$31,IF(AD40=Цены!$H$32,Цены!$L$32,IF(AD40=Цены!$H$33,Цены!$L$33,IF(AD40=Цены!$H$34,Цены!$L$34,IF(AD40=Цены!$H$35,Цены!$L$35,IF(AD40=Цены!$H$36,Цены!$L$36,IF(AD40=Цены!$H$37,Цены!$L$37,IF(AD40=Цены!$H$38,Цены!$L$38,IF(AD40=Цены!$H$39,Цены!$L$39,IF(AD40=Цены!$H$40,Цены!$L$40,IF(AD40=Цены!$H$41,Цены!$L$41,IF(AD40=Цены!$H$42,Цены!$L$42,IF(AD40=Цены!$H$43,Цены!$L$43,IF(AD40=Цены!$H$44,Цены!$L$44,IF(AD40=Цены!$H$45,Цены!$L$45,IF(AD40=Цены!$H$46,Цены!$L$46,IF(AD40=Цены!$H$47,Цены!$L$47,IF(AD40=Цены!$H$48,Цены!$L$48,IF(AD40=Цены!$H$49,Цены!$L$49,IF(AD40=Цены!$H$50,Цены!$L$50,IF(AD40=Цены!$H$51,Цены!$L$51,IF(AD40=Цены!$H$52,Цены!$L$52,IF(AD40=Цены!$H$53,Цены!$L$53,IF(AD40=Цены!$H$54,Цены!$L$54,IF(AD40=Цены!$H$55,Цены!$L$55))))))))))))))))))))))))))))))))))))))))))))))))))))))</f>
        <v>2.4</v>
      </c>
      <c r="AG40" s="311"/>
      <c r="AH40" s="69">
        <f>IF(AD40=Цены!$H$3,Цены!$K$3,IF(AD40=Цены!$H$4,Цены!$K$4,IF(AD40=Цены!$H$5,Цены!$K$5,IF(AD40=Цены!$H$6,Цены!$K$6,IF(AD40=Цены!$H$7,Цены!$K$7,IF(AD40=Цены!$H$8,Цены!$K$8,IF(AD40=Цены!$H$9,Цены!$K$9,IF(AD40=Цены!$H$10,Цены!$K$10,IF(AD40=Цены!$H$11,Цены!$K$11,IF(AD40=Цены!$H$12,Цены!$K$12,IF(AD40=Цены!$H$13,Цены!$K$13,IF(AD40=Цены!$H$14,Цены!$K$14,IF(AD40=Цены!$H$14,Цены!$K$14,IF(AD40=Цены!$H$15,Цены!$K$15,IF(AD40=Цены!$H$16,Цены!$K$16,IF(AD40=Цены!$H$17,Цены!$K$17,IF(AD40=Цены!$H$18,Цены!$K$18,IF(AD40=Цены!$H$19,Цены!$K$19,IF(AD40=Цены!$H$20,Цены!$K$20,IF(AD40=Цены!$H$21,Цены!$K$21,IF(AD40=Цены!$H$22,Цены!$K$22,IF(AD40=Цены!$H$23,Цены!$K$23,IF(AD40=Цены!$H$24,Цены!$K$24,IF(AD40=Цены!$H$25,Цены!$K$25,IF(AD40=Цены!$H$26,Цены!$K$26,IF(AD40=Цены!$H$27,Цены!$K$27,IF(AD40=Цены!$H$28,Цены!$K$28,IF(AD40=Цены!$H$29,Цены!$K$29,IF(AD40=Цены!$H$30,Цены!$K$30,IF(AD40=Цены!$H$31,Цены!$K$31,IF(AD40=Цены!$H$32,Цены!$K$32,IF(AD40=Цены!$H$33,Цены!$K$33,IF(AD40=Цены!$H$34,Цены!$K$34,IF(AD40=Цены!$H$35,Цены!$K$35,IF(AD40=Цены!$H$36,Цены!$K$36,IF(AD40=Цены!$H$37,Цены!$K$37,IF(AD40=Цены!$H$38,Цены!$K$38,IF(AD40=Цены!$H$39,Цены!$K$39,IF(AD40=Цены!$H$40,Цены!$K$40,IF(AD40=Цены!$H$41,Цены!$K$41,IF(AD40=Цены!$H$42,Цены!$K$42,IF(AD40=Цены!$H$43,Цены!$K$43,IF(AD40=Цены!$H$44,Цены!$K$44,IF(AD40=Цены!$H$45,Цены!$K$45,IF(AD40=Цены!$H$46,Цены!$K$46,IF(AD40=Цены!$H$47,Цены!$K$47,IF(AD40=Цены!$H$48,Цены!$K$48,IF(AD40=Цены!$H$49,Цены!$K$49,IF(AD40=Цены!$H$50,Цены!$K$50,IF(AD40=Цены!$H$51,Цены!$K$51,IF(AD40=Цены!$H$52,Цены!$K$52,IF(AD40=Цены!$H$53,Цены!$K$53,IF(AD40=Цены!$H$54,Цены!$K$54,IF(AD40=Цены!$H$55,Цены!$K$55))))))))))))))))))))))))))))))))))))))))))))))))))))))</f>
        <v>469</v>
      </c>
      <c r="AI40" s="265"/>
      <c r="AJ40" s="265"/>
      <c r="AK40" s="272"/>
      <c r="AL40" s="273"/>
      <c r="AM40" s="273"/>
      <c r="AN40" s="268"/>
      <c r="AO40" s="312"/>
      <c r="AP40" s="275"/>
      <c r="AQ40" s="206" t="s">
        <v>89</v>
      </c>
      <c r="AR40" s="131">
        <v>3</v>
      </c>
      <c r="AS40" s="80">
        <f>IF(AQ40=Цены!$H$3,Цены!$L$3,IF(AQ40=Цены!$H$4,Цены!$L$4,IF(AQ40=Цены!$H$5,Цены!$L$5,IF(AQ40=Цены!$H$6,Цены!$L$6,IF(AQ40=Цены!$H$7,Цены!$L$7,IF(AQ40=Цены!$H$8,Цены!$L$8,IF(AQ40=Цены!$H$9,Цены!$L$9,IF(AQ40=Цены!$H$10,Цены!$L$10,IF(AQ40=Цены!$H$11,Цены!$L$11,IF(AQ40=Цены!$H$12,Цены!$L$12,IF(AQ40=Цены!$H$13,Цены!$L$13,IF(AQ40=Цены!$H$14,Цены!$L$14,IF(AQ40=Цены!$H$14,Цены!$L$14,IF(AQ40=Цены!$H$15,Цены!$L$15,IF(AQ40=Цены!$H$16,Цены!$L$16,IF(AQ40=Цены!$H$17,Цены!$L$17,IF(AQ40=Цены!$H$18,Цены!$L$18,IF(AQ40=Цены!$H$19,Цены!$L$19,IF(AQ40=Цены!$H$20,Цены!$L$20,IF(AQ40=Цены!$H$21,Цены!$L$21,IF(AQ40=Цены!$H$22,Цены!$L$22,IF(AQ40=Цены!$H$23,Цены!$L$23,IF(AQ40=Цены!$H$24,Цены!$L$24,IF(AQ40=Цены!$H$25,Цены!$L$25,IF(AQ40=Цены!$H$26,Цены!$L$26,IF(AQ40=Цены!$H$27,Цены!$L$27,IF(AQ40=Цены!$H$28,Цены!$L$28,IF(AQ40=Цены!$H$29,Цены!$L$29,IF(AQ40=Цены!$H$30,Цены!$L$30,IF(AQ40=Цены!$H$31,Цены!$L$31,IF(AQ40=Цены!$H$32,Цены!$L$32,IF(AQ40=Цены!$H$33,Цены!$L$33,IF(AQ40=Цены!$H$34,Цены!$L$34,IF(AQ40=Цены!$H$35,Цены!$L$35,IF(AQ40=Цены!$H$36,Цены!$L$36,IF(AQ40=Цены!$H$37,Цены!$L$37,IF(AQ40=Цены!$H$38,Цены!$L$38,IF(AQ40=Цены!$H$39,Цены!$L$39,IF(AQ40=Цены!$H$40,Цены!$L$40,IF(AQ40=Цены!$H$41,Цены!$L$41,IF(AQ40=Цены!$H$42,Цены!$L$42,IF(AQ40=Цены!$H$43,Цены!$L$43,IF(AQ40=Цены!$H$44,Цены!$L$44,IF(AQ40=Цены!$H$45,Цены!$L$45,IF(AQ40=Цены!$H$46,Цены!$L$46,IF(AQ40=Цены!$H$47,Цены!$L$47,IF(AQ40=Цены!$H$48,Цены!$L$48,IF(AQ40=Цены!$H$49,Цены!$L$49,IF(AQ40=Цены!$H$50,Цены!$L$50,IF(AQ40=Цены!$H$51,Цены!$L$51,IF(AQ40=Цены!$H$52,Цены!$L$52,IF(AQ40=Цены!$H$53,Цены!$L$53,IF(AQ40=Цены!$H$54,Цены!$L$54,IF(AQ40=Цены!$H$55,Цены!$L$55))))))))))))))))))))))))))))))))))))))))))))))))))))))</f>
        <v>1.1499999999999999</v>
      </c>
      <c r="AT40" s="271"/>
      <c r="AU40" s="81">
        <f>IF(AQ40=Цены!$H$3,Цены!$K$3,IF(AQ40=Цены!$H$4,Цены!$K$4,IF(AQ40=Цены!$H$5,Цены!$K$5,IF(AQ40=Цены!$H$6,Цены!$K$6,IF(AQ40=Цены!$H$7,Цены!$K$7,IF(AQ40=Цены!$H$8,Цены!$K$8,IF(AQ40=Цены!$H$9,Цены!$K$9,IF(AQ40=Цены!$H$10,Цены!$K$10,IF(AQ40=Цены!$H$11,Цены!$K$11,IF(AQ40=Цены!$H$12,Цены!$K$12,IF(AQ40=Цены!$H$13,Цены!$K$13,IF(AQ40=Цены!$H$14,Цены!$K$14,IF(AQ40=Цены!$H$14,Цены!$K$14,IF(AQ40=Цены!$H$15,Цены!$K$15,IF(AQ40=Цены!$H$16,Цены!$K$16,IF(AQ40=Цены!$H$17,Цены!$K$17,IF(AQ40=Цены!$H$18,Цены!$K$18,IF(AQ40=Цены!$H$19,Цены!$K$19,IF(AQ40=Цены!$H$20,Цены!$K$20,IF(AQ40=Цены!$H$21,Цены!$K$21,IF(AQ40=Цены!$H$22,Цены!$K$22,IF(AQ40=Цены!$H$23,Цены!$K$23,IF(AQ40=Цены!$H$24,Цены!$K$24,IF(AQ40=Цены!$H$25,Цены!$K$25,IF(AQ40=Цены!$H$26,Цены!$K$26,IF(AQ40=Цены!$H$27,Цены!$K$27,IF(AQ40=Цены!$H$28,Цены!$K$28,IF(AQ40=Цены!$H$29,Цены!$K$29,IF(AQ40=Цены!$H$30,Цены!$K$30,IF(AQ40=Цены!$H$31,Цены!$K$31,IF(AQ40=Цены!$H$32,Цены!$K$32,IF(AQ40=Цены!$H$33,Цены!$K$33,IF(AQ40=Цены!$H$34,Цены!$K$34,IF(AQ40=Цены!$H$35,Цены!$K$35,IF(AQ40=Цены!$H$36,Цены!$K$36,IF(AQ40=Цены!$H$37,Цены!$K$37,IF(AQ40=Цены!$H$38,Цены!$K$38,IF(AQ40=Цены!$H$39,Цены!$K$39,IF(AQ40=Цены!$H$40,Цены!$K$40,IF(AQ40=Цены!$H$41,Цены!$K$41,IF(AQ40=Цены!$H$42,Цены!$K$42,IF(AQ40=Цены!$H$43,Цены!$K$43,IF(AQ40=Цены!$H$44,Цены!$K$44,IF(AQ40=Цены!$H$45,Цены!$K$45,IF(AQ40=Цены!$H$46,Цены!$K$46,IF(AQ40=Цены!$H$47,Цены!$K$47,IF(AQ40=Цены!$H$48,Цены!$K$48,IF(AQ40=Цены!$H$49,Цены!$K$49,IF(AQ40=Цены!$H$50,Цены!$K$50,IF(AQ40=Цены!$H$51,Цены!$K$51,IF(AQ40=Цены!$H$52,Цены!$K$52,IF(AQ40=Цены!$H$53,Цены!$K$53,IF(AQ40=Цены!$H$54,Цены!$K$54,IF(AQ40=Цены!$H$55,Цены!$K$55))))))))))))))))))))))))))))))))))))))))))))))))))))))</f>
        <v>400</v>
      </c>
      <c r="AV40" s="265"/>
      <c r="AW40" s="265"/>
      <c r="AX40" s="272"/>
      <c r="AY40" s="273"/>
      <c r="AZ40" s="273"/>
      <c r="BA40" s="268"/>
      <c r="BB40" s="274"/>
      <c r="BC40" s="275"/>
      <c r="BD40" s="262"/>
      <c r="BE40" s="215" t="s">
        <v>96</v>
      </c>
      <c r="BF40" s="106">
        <v>3</v>
      </c>
      <c r="BG40" s="103">
        <f>IF(BE40=Цены!$H$3,Цены!$L$3,IF(BE40=Цены!$H$4,Цены!$L$4,IF(BE40=Цены!$H$5,Цены!$L$5,IF(BE40=Цены!$H$6,Цены!$L$6,IF(BE40=Цены!$H$7,Цены!$L$7,IF(BE40=Цены!$H$8,Цены!$L$8,IF(BE40=Цены!$H$9,Цены!$L$9,IF(BE40=Цены!$H$10,Цены!$L$10,IF(BE40=Цены!$H$11,Цены!$L$11,IF(BE40=Цены!$H$12,Цены!$L$12,IF(BE40=Цены!$H$13,Цены!$L$13,IF(BE40=Цены!$H$14,Цены!$L$14,IF(BE40=Цены!$H$14,Цены!$L$14,IF(BE40=Цены!$H$15,Цены!$L$15,IF(BE40=Цены!$H$16,Цены!$L$16,IF(BE40=Цены!$H$17,Цены!$L$17,IF(BE40=Цены!$H$18,Цены!$L$18,IF(BE40=Цены!$H$19,Цены!$L$19,IF(BE40=Цены!$H$20,Цены!$L$20,IF(BE40=Цены!$H$21,Цены!$L$21,IF(BE40=Цены!$H$22,Цены!$L$22,IF(BE40=Цены!$H$23,Цены!$L$23,IF(BE40=Цены!$H$24,Цены!$L$24,IF(BE40=Цены!$H$25,Цены!$L$25,IF(BE40=Цены!$H$26,Цены!$L$26,IF(BE40=Цены!$H$27,Цены!$L$27,IF(BE40=Цены!$H$28,Цены!$L$28,IF(BE40=Цены!$H$29,Цены!$L$29,IF(BE40=Цены!$H$30,Цены!$L$30,IF(BE40=Цены!$H$31,Цены!$L$31,IF(BE40=Цены!$H$32,Цены!$L$32,IF(BE40=Цены!$H$33,Цены!$L$33,IF(BE40=Цены!$H$34,Цены!$L$34,IF(BE40=Цены!$H$35,Цены!$L$35,IF(BE40=Цены!$H$36,Цены!$L$36,IF(BE40=Цены!$H$37,Цены!$L$37,IF(BE40=Цены!$H$38,Цены!$L$38,IF(BE40=Цены!$H$39,Цены!$L$39,IF(BE40=Цены!$H$40,Цены!$L$40,IF(BE40=Цены!$H$41,Цены!$L$41,IF(BE40=Цены!$H$42,Цены!$L$42,IF(BE40=Цены!$H$43,Цены!$L$43,IF(BE40=Цены!$H$44,Цены!$L$44,IF(BE40=Цены!$H$45,Цены!$L$45,IF(BE40=Цены!$H$46,Цены!$L$46,IF(BE40=Цены!$H$47,Цены!$L$47,IF(BE40=Цены!$H$48,Цены!$L$48,IF(BE40=Цены!$H$49,Цены!$L$49,IF(BE40=Цены!$H$50,Цены!$L$50,IF(BE40=Цены!$H$51,Цены!$L$51,IF(BE40=Цены!$H$52,Цены!$L$52,IF(BE40=Цены!$H$53,Цены!$L$53,IF(BE40=Цены!$H$54,Цены!$L$54,IF(BE40=Цены!$H$55,Цены!$L$55))))))))))))))))))))))))))))))))))))))))))))))))))))))</f>
        <v>0.78</v>
      </c>
      <c r="BH40" s="280"/>
      <c r="BI40" s="104">
        <f>IF(BE40=Цены!$H$3,Цены!$K$3,IF(BE40=Цены!$H$4,Цены!$K$4,IF(BE40=Цены!$H$5,Цены!$K$5,IF(BE40=Цены!$H$6,Цены!$K$6,IF(BE40=Цены!$H$7,Цены!$K$7,IF(BE40=Цены!$H$8,Цены!$K$8,IF(BE40=Цены!$H$9,Цены!$K$9,IF(BE40=Цены!$H$10,Цены!$K$10,IF(BE40=Цены!$H$11,Цены!$K$11,IF(BE40=Цены!$H$12,Цены!$K$12,IF(BE40=Цены!$H$13,Цены!$K$13,IF(BE40=Цены!$H$14,Цены!$K$14,IF(BE40=Цены!$H$14,Цены!$K$14,IF(BE40=Цены!$H$15,Цены!$K$15,IF(BE40=Цены!$H$16,Цены!$K$16,IF(BE40=Цены!$H$17,Цены!$K$17,IF(BE40=Цены!$H$18,Цены!$K$18,IF(BE40=Цены!$H$19,Цены!$K$19,IF(BE40=Цены!$H$20,Цены!$K$20,IF(BE40=Цены!$H$21,Цены!$K$21,IF(BE40=Цены!$H$22,Цены!$K$22,IF(BE40=Цены!$H$23,Цены!$K$23,IF(BE40=Цены!$H$24,Цены!$K$24,IF(BE40=Цены!$H$25,Цены!$K$25,IF(BE40=Цены!$H$26,Цены!$K$26,IF(BE40=Цены!$H$27,Цены!$K$27,IF(BE40=Цены!$H$28,Цены!$K$28,IF(BE40=Цены!$H$29,Цены!$K$29,IF(BE40=Цены!$H$30,Цены!$K$30,IF(BE40=Цены!$H$31,Цены!$K$31,IF(BE40=Цены!$H$32,Цены!$K$32,IF(BE40=Цены!$H$33,Цены!$K$33,IF(BE40=Цены!$H$34,Цены!$K$34,IF(BE40=Цены!$H$35,Цены!$K$35,IF(BE40=Цены!$H$36,Цены!$K$36,IF(BE40=Цены!$H$37,Цены!$K$37,IF(BE40=Цены!$H$38,Цены!$K$38,IF(BE40=Цены!$H$39,Цены!$K$39,IF(BE40=Цены!$H$40,Цены!$K$40,IF(BE40=Цены!$H$41,Цены!$K$41,IF(BE40=Цены!$H$42,Цены!$K$42,IF(BE40=Цены!$H$43,Цены!$K$43,IF(BE40=Цены!$H$44,Цены!$K$44,IF(BE40=Цены!$H$45,Цены!$K$45,IF(BE40=Цены!$H$46,Цены!$K$46,IF(BE40=Цены!$H$47,Цены!$K$47,IF(BE40=Цены!$H$48,Цены!$K$48,IF(BE40=Цены!$H$49,Цены!$K$49,IF(BE40=Цены!$H$50,Цены!$K$50,IF(BE40=Цены!$H$51,Цены!$K$51,IF(BE40=Цены!$H$52,Цены!$K$52,IF(BE40=Цены!$H$53,Цены!$K$53,IF(BE40=Цены!$H$54,Цены!$K$54,IF(BE40=Цены!$H$55,Цены!$K$55))))))))))))))))))))))))))))))))))))))))))))))))))))))</f>
        <v>447</v>
      </c>
      <c r="BJ40" s="265"/>
      <c r="BK40" s="265"/>
      <c r="BL40" s="272"/>
      <c r="BM40" s="273"/>
      <c r="BN40" s="273"/>
      <c r="BO40" s="268"/>
      <c r="BP40" s="281"/>
      <c r="BQ40" s="275"/>
      <c r="BR40" s="215" t="s">
        <v>96</v>
      </c>
      <c r="BS40" s="108">
        <v>3</v>
      </c>
      <c r="BT40" s="109">
        <f>IF(BR40=Цены!$H$3,Цены!$L$3,IF(BR40=Цены!$H$4,Цены!$L$4,IF(BR40=Цены!$H$5,Цены!$L$5,IF(BR40=Цены!$H$6,Цены!$L$6,IF(BR40=Цены!$H$7,Цены!$L$7,IF(BR40=Цены!$H$8,Цены!$L$8,IF(BR40=Цены!$H$9,Цены!$L$9,IF(BR40=Цены!$H$10,Цены!$L$10,IF(BR40=Цены!$H$11,Цены!$L$11,IF(BR40=Цены!$H$12,Цены!$L$12,IF(BR40=Цены!$H$13,Цены!$L$13,IF(BR40=Цены!$H$14,Цены!$L$14,IF(BR40=Цены!$H$14,Цены!$L$14,IF(BR40=Цены!$H$15,Цены!$L$15,IF(BR40=Цены!$H$16,Цены!$L$16,IF(BR40=Цены!$H$17,Цены!$L$17,IF(BR40=Цены!$H$18,Цены!$L$18,IF(BR40=Цены!$H$19,Цены!$L$19,IF(BR40=Цены!$H$20,Цены!$L$20,IF(BR40=Цены!$H$21,Цены!$L$21,IF(BR40=Цены!$H$22,Цены!$L$22,IF(BR40=Цены!$H$23,Цены!$L$23,IF(BR40=Цены!$H$24,Цены!$L$24,IF(BR40=Цены!$H$25,Цены!$L$25,IF(BR40=Цены!$H$26,Цены!$L$26,IF(BR40=Цены!$H$27,Цены!$L$27,IF(BR40=Цены!$H$28,Цены!$L$28,IF(BR40=Цены!$H$29,Цены!$L$29,IF(BR40=Цены!$H$30,Цены!$L$30,IF(BR40=Цены!$H$31,Цены!$L$31,IF(BR40=Цены!$H$32,Цены!$L$32,IF(BR40=Цены!$H$33,Цены!$L$33,IF(BR40=Цены!$H$34,Цены!$L$34,IF(BR40=Цены!$H$35,Цены!$L$35,IF(BR40=Цены!$H$36,Цены!$L$36,IF(BR40=Цены!$H$37,Цены!$L$37,IF(BR40=Цены!$H$38,Цены!$L$38,IF(BR40=Цены!$H$39,Цены!$L$39,IF(BR40=Цены!$H$40,Цены!$L$40,IF(BR40=Цены!$H$41,Цены!$L$41,IF(BR40=Цены!$H$42,Цены!$L$42,IF(BR40=Цены!$H$43,Цены!$L$43,IF(BR40=Цены!$H$44,Цены!$L$44,IF(BR40=Цены!$H$45,Цены!$L$45,IF(BR40=Цены!$H$46,Цены!$L$46,IF(BR40=Цены!$H$47,Цены!$L$47,IF(BR40=Цены!$H$48,Цены!$L$48,IF(BR40=Цены!$H$49,Цены!$L$49,IF(BR40=Цены!$H$50,Цены!$L$50,IF(BR40=Цены!$H$51,Цены!$L$51,IF(BR40=Цены!$H$52,Цены!$L$52,IF(BR40=Цены!$H$53,Цены!$L$53,IF(BR40=Цены!$H$54,Цены!$L$54,IF(BR40=Цены!$H$55,Цены!$L$55))))))))))))))))))))))))))))))))))))))))))))))))))))))</f>
        <v>0.78</v>
      </c>
      <c r="BU40" s="284"/>
      <c r="BV40" s="110">
        <f>IF(BR40=Цены!$H$3,Цены!$K$3,IF(BR40=Цены!$H$4,Цены!$K$4,IF(BR40=Цены!$H$5,Цены!$K$5,IF(BR40=Цены!$H$6,Цены!$K$6,IF(BR40=Цены!$H$7,Цены!$K$7,IF(BR40=Цены!$H$8,Цены!$K$8,IF(BR40=Цены!$H$9,Цены!$K$9,IF(BR40=Цены!$H$10,Цены!$K$10,IF(BR40=Цены!$H$11,Цены!$K$11,IF(BR40=Цены!$H$12,Цены!$K$12,IF(BR40=Цены!$H$13,Цены!$K$13,IF(BR40=Цены!$H$14,Цены!$K$14,IF(BR40=Цены!$H$14,Цены!$K$14,IF(BR40=Цены!$H$15,Цены!$K$15,IF(BR40=Цены!$H$16,Цены!$K$16,IF(BR40=Цены!$H$17,Цены!$K$17,IF(BR40=Цены!$H$18,Цены!$K$18,IF(BR40=Цены!$H$19,Цены!$K$19,IF(BR40=Цены!$H$20,Цены!$K$20,IF(BR40=Цены!$H$21,Цены!$K$21,IF(BR40=Цены!$H$22,Цены!$K$22,IF(BR40=Цены!$H$23,Цены!$K$23,IF(BR40=Цены!$H$24,Цены!$K$24,IF(BR40=Цены!$H$25,Цены!$K$25,IF(BR40=Цены!$H$26,Цены!$K$26,IF(BR40=Цены!$H$27,Цены!$K$27,IF(BR40=Цены!$H$28,Цены!$K$28,IF(BR40=Цены!$H$29,Цены!$K$29,IF(BR40=Цены!$H$30,Цены!$K$30,IF(BR40=Цены!$H$31,Цены!$K$31,IF(BR40=Цены!$H$32,Цены!$K$32,IF(BR40=Цены!$H$33,Цены!$K$33,IF(BR40=Цены!$H$34,Цены!$K$34,IF(BR40=Цены!$H$35,Цены!$K$35,IF(BR40=Цены!$H$36,Цены!$K$36,IF(BR40=Цены!$H$37,Цены!$K$37,IF(BR40=Цены!$H$38,Цены!$K$38,IF(BR40=Цены!$H$39,Цены!$K$39,IF(BR40=Цены!$H$40,Цены!$K$40,IF(BR40=Цены!$H$41,Цены!$K$41,IF(BR40=Цены!$H$42,Цены!$K$42,IF(BR40=Цены!$H$43,Цены!$K$43,IF(BR40=Цены!$H$44,Цены!$K$44,IF(BR40=Цены!$H$45,Цены!$K$45,IF(BR40=Цены!$H$46,Цены!$K$46,IF(BR40=Цены!$H$47,Цены!$K$47,IF(BR40=Цены!$H$48,Цены!$K$48,IF(BR40=Цены!$H$49,Цены!$K$49,IF(BR40=Цены!$H$50,Цены!$K$50,IF(BR40=Цены!$H$51,Цены!$K$51,IF(BR40=Цены!$H$52,Цены!$K$52,IF(BR40=Цены!$H$53,Цены!$K$53,IF(BR40=Цены!$H$54,Цены!$K$54,IF(BR40=Цены!$H$55,Цены!$K$55))))))))))))))))))))))))))))))))))))))))))))))))))))))</f>
        <v>447</v>
      </c>
      <c r="BW40" s="265"/>
      <c r="BX40" s="265"/>
      <c r="BY40" s="272"/>
      <c r="BZ40" s="273"/>
      <c r="CA40" s="273"/>
      <c r="CB40" s="268"/>
      <c r="CC40" s="285"/>
      <c r="CD40" s="275"/>
      <c r="CE40" s="173" t="s">
        <v>87</v>
      </c>
      <c r="CF40" s="112">
        <v>3</v>
      </c>
      <c r="CG40" s="113">
        <f>IF(CE40=Цены!$H$3,Цены!$L$3,IF(CE40=Цены!$H$4,Цены!$L$4,IF(CE40=Цены!$H$5,Цены!$L$5,IF(CE40=Цены!$H$6,Цены!$L$6,IF(CE40=Цены!$H$7,Цены!$L$7,IF(CE40=Цены!$H$8,Цены!$L$8,IF(CE40=Цены!$H$9,Цены!$L$9,IF(CE40=Цены!$H$10,Цены!$L$10,IF(CE40=Цены!$H$11,Цены!$L$11,IF(CE40=Цены!$H$12,Цены!$L$12,IF(CE40=Цены!$H$13,Цены!$L$13,IF(CE40=Цены!$H$14,Цены!$L$14,IF(CE40=Цены!$H$14,Цены!$L$14,IF(CE40=Цены!$H$15,Цены!$L$15,IF(CE40=Цены!$H$16,Цены!$L$16,IF(CE40=Цены!$H$17,Цены!$L$17,IF(CE40=Цены!$H$18,Цены!$L$18,IF(CE40=Цены!$H$19,Цены!$L$19,IF(CE40=Цены!$H$20,Цены!$L$20,IF(CE40=Цены!$H$21,Цены!$L$21,IF(CE40=Цены!$H$22,Цены!$L$22,IF(CE40=Цены!$H$23,Цены!$L$23,IF(CE40=Цены!$H$24,Цены!$L$24,IF(CE40=Цены!$H$25,Цены!$L$25,IF(CE40=Цены!$H$26,Цены!$L$26,IF(CE40=Цены!$H$27,Цены!$L$27,IF(CE40=Цены!$H$28,Цены!$L$28,IF(CE40=Цены!$H$29,Цены!$L$29,IF(CE40=Цены!$H$30,Цены!$L$30,IF(CE40=Цены!$H$31,Цены!$L$31,IF(CE40=Цены!$H$32,Цены!$L$32,IF(CE40=Цены!$H$33,Цены!$L$33,IF(CE40=Цены!$H$34,Цены!$L$34,IF(CE40=Цены!$H$35,Цены!$L$35,IF(CE40=Цены!$H$36,Цены!$L$36,IF(CE40=Цены!$H$37,Цены!$L$37,IF(CE40=Цены!$H$38,Цены!$L$38,IF(CE40=Цены!$H$39,Цены!$L$39,IF(CE40=Цены!$H$40,Цены!$L$40,IF(CE40=Цены!$H$41,Цены!$L$41,IF(CE40=Цены!$H$42,Цены!$L$42,IF(CE40=Цены!$H$43,Цены!$L$43,IF(CE40=Цены!$H$44,Цены!$L$44,IF(CE40=Цены!$H$45,Цены!$L$45,IF(CE40=Цены!$H$46,Цены!$L$46,IF(CE40=Цены!$H$47,Цены!$L$47,IF(CE40=Цены!$H$48,Цены!$L$48,IF(CE40=Цены!$H$49,Цены!$L$49,IF(CE40=Цены!$H$50,Цены!$L$50,IF(CE40=Цены!$H$51,Цены!$L$51,IF(CE40=Цены!$H$52,Цены!$L$52,IF(CE40=Цены!$H$53,Цены!$L$53,IF(CE40=Цены!$H$54,Цены!$L$54,IF(CE40=Цены!$H$55,Цены!$L$55))))))))))))))))))))))))))))))))))))))))))))))))))))))</f>
        <v>1.2</v>
      </c>
      <c r="CH40" s="282"/>
      <c r="CI40" s="114">
        <f>IF(CE40=Цены!$H$3,Цены!$K$3,IF(CE40=Цены!$H$4,Цены!$K$4,IF(CE40=Цены!$H$5,Цены!$K$5,IF(CE40=Цены!$H$6,Цены!$K$6,IF(CE40=Цены!$H$7,Цены!$K$7,IF(CE40=Цены!$H$8,Цены!$K$8,IF(CE40=Цены!$H$9,Цены!$K$9,IF(CE40=Цены!$H$10,Цены!$K$10,IF(CE40=Цены!$H$11,Цены!$K$11,IF(CE40=Цены!$H$12,Цены!$K$12,IF(CE40=Цены!$H$13,Цены!$K$13,IF(CE40=Цены!$H$14,Цены!$K$14,IF(CE40=Цены!$H$14,Цены!$K$14,IF(CE40=Цены!$H$15,Цены!$K$15,IF(CE40=Цены!$H$16,Цены!$K$16,IF(CE40=Цены!$H$17,Цены!$K$17,IF(CE40=Цены!$H$18,Цены!$K$18,IF(CE40=Цены!$H$19,Цены!$K$19,IF(CE40=Цены!$H$20,Цены!$K$20,IF(CE40=Цены!$H$21,Цены!$K$21,IF(CE40=Цены!$H$22,Цены!$K$22,IF(CE40=Цены!$H$23,Цены!$K$23,IF(CE40=Цены!$H$24,Цены!$K$24,IF(CE40=Цены!$H$25,Цены!$K$25,IF(CE40=Цены!$H$26,Цены!$K$26,IF(CE40=Цены!$H$27,Цены!$K$27,IF(CE40=Цены!$H$28,Цены!$K$28,IF(CE40=Цены!$H$29,Цены!$K$29,IF(CE40=Цены!$H$30,Цены!$K$30,IF(CE40=Цены!$H$31,Цены!$K$31,IF(CE40=Цены!$H$32,Цены!$K$32,IF(CE40=Цены!$H$33,Цены!$K$33,IF(CE40=Цены!$H$34,Цены!$K$34,IF(CE40=Цены!$H$35,Цены!$K$35,IF(CE40=Цены!$H$36,Цены!$K$36,IF(CE40=Цены!$H$37,Цены!$K$37,IF(CE40=Цены!$H$38,Цены!$K$38,IF(CE40=Цены!$H$39,Цены!$K$39,IF(CE40=Цены!$H$40,Цены!$K$40,IF(CE40=Цены!$H$41,Цены!$K$41,IF(CE40=Цены!$H$42,Цены!$K$42,IF(CE40=Цены!$H$43,Цены!$K$43,IF(CE40=Цены!$H$44,Цены!$K$44,IF(CE40=Цены!$H$45,Цены!$K$45,IF(CE40=Цены!$H$46,Цены!$K$46,IF(CE40=Цены!$H$47,Цены!$K$47,IF(CE40=Цены!$H$48,Цены!$K$48,IF(CE40=Цены!$H$49,Цены!$K$49,IF(CE40=Цены!$H$50,Цены!$K$50,IF(CE40=Цены!$H$51,Цены!$K$51,IF(CE40=Цены!$H$52,Цены!$K$52,IF(CE40=Цены!$H$53,Цены!$K$53,IF(CE40=Цены!$H$54,Цены!$K$54,IF(CE40=Цены!$H$55,Цены!$K$55))))))))))))))))))))))))))))))))))))))))))))))))))))))</f>
        <v>378</v>
      </c>
      <c r="CJ40" s="265"/>
      <c r="CK40" s="265"/>
      <c r="CL40" s="272"/>
      <c r="CM40" s="273"/>
      <c r="CN40" s="273"/>
      <c r="CO40" s="268"/>
      <c r="CP40" s="283"/>
      <c r="CQ40" s="275"/>
    </row>
    <row r="41" spans="1:95" s="40" customFormat="1" ht="15" customHeight="1" x14ac:dyDescent="0.25">
      <c r="A41" s="353"/>
      <c r="B41" s="265"/>
      <c r="C41" s="336"/>
      <c r="D41" s="174" t="s">
        <v>125</v>
      </c>
      <c r="E41" s="168">
        <v>4</v>
      </c>
      <c r="F41" s="46">
        <f>IF(D41=Цены!$H$3,Цены!$L$3,IF(D41=Цены!$H$4,Цены!$L$4,IF(D41=Цены!$H$5,Цены!$L$5,IF(D41=Цены!$H$6,Цены!$L$6,IF(D41=Цены!$H$7,Цены!$L$7,IF(D41=Цены!$H$8,Цены!$L$8,IF(D41=Цены!$H$9,Цены!$L$9,IF(D41=Цены!$H$10,Цены!$L$10,IF(D41=Цены!$H$11,Цены!$L$11,IF(D41=Цены!$H$12,Цены!$L$12,IF(D41=Цены!$H$13,Цены!$L$13,IF(D41=Цены!$H$14,Цены!$L$14,IF(D41=Цены!$H$14,Цены!$L$14,IF(D41=Цены!$H$15,Цены!$L$15,IF(D41=Цены!$H$16,Цены!$L$16,IF(D41=Цены!$H$17,Цены!$L$17,IF(D41=Цены!$H$18,Цены!$L$18,IF(D41=Цены!$H$19,Цены!$L$19,IF(D41=Цены!$H$20,Цены!$L$20,IF(D41=Цены!$H$21,Цены!$L$21,IF(D41=Цены!$H$22,Цены!$L$22,IF(D41=Цены!$H$23,Цены!$L$23,IF(D41=Цены!$H$24,Цены!$L$24,IF(D41=Цены!$H$25,Цены!$L$25,IF(D41=Цены!$H$26,Цены!$L$26,IF(D41=Цены!$H$27,Цены!$L$27,IF(D41=Цены!$H$28,Цены!$L$28,IF(D41=Цены!$H$29,Цены!$L$29,IF(D41=Цены!$H$30,Цены!$L$30,IF(D41=Цены!$H$31,Цены!$L$31,IF(D41=Цены!$H$32,Цены!$L$32,IF(D41=Цены!$H$33,Цены!$L$33,IF(D41=Цены!$H$34,Цены!$L$34,IF(D41=Цены!$H$35,Цены!$L$35,IF(D41=Цены!$H$36,Цены!$L$36,IF(D41=Цены!$H$37,Цены!$L$37,IF(D41=Цены!$H$38,Цены!$L$38,IF(D41=Цены!$H$39,Цены!$L$39,IF(D41=Цены!$H$40,Цены!$L$40,IF(D41=Цены!$H$41,Цены!$L$41,IF(D41=Цены!$H$42,Цены!$L$42,IF(D41=Цены!$H$43,Цены!$L$43,IF(D41=Цены!$H$44,Цены!$L$44,IF(D41=Цены!$H$45,Цены!$L$45,IF(D41=Цены!$H$46,Цены!$L$46,IF(D41=Цены!$H$47,Цены!$L$47,IF(D41=Цены!$H$48,Цены!$L$48,IF(D41=Цены!$H$49,Цены!$L$49,IF(D41=Цены!$H$50,Цены!$L$50,IF(D41=Цены!$H$51,Цены!$L$51,IF(D41=Цены!$H$52,Цены!$L$52,IF(D41=Цены!$H$53,Цены!$L$53,IF(D41=Цены!$H$54,Цены!$L$54,IF(D41=Цены!$H$55,Цены!$L$55))))))))))))))))))))))))))))))))))))))))))))))))))))))</f>
        <v>0.39</v>
      </c>
      <c r="G41" s="339"/>
      <c r="H41" s="47">
        <f>IF(D41=Цены!$H$3,Цены!$K$3,IF(D41=Цены!$H$4,Цены!$K$4,IF(D41=Цены!$H$5,Цены!$K$5,IF(D41=Цены!$H$6,Цены!$K$6,IF(D41=Цены!$H$7,Цены!$K$7,IF(D41=Цены!$H$8,Цены!$K$8,IF(D41=Цены!$H$9,Цены!$K$9,IF(D41=Цены!$H$10,Цены!$K$10,IF(D41=Цены!$H$11,Цены!$K$11,IF(D41=Цены!$H$12,Цены!$K$12,IF(D41=Цены!$H$13,Цены!$K$13,IF(D41=Цены!$H$14,Цены!$K$14,IF(D41=Цены!$H$14,Цены!$K$14,IF(D41=Цены!$H$15,Цены!$K$15,IF(D41=Цены!$H$16,Цены!$K$16,IF(D41=Цены!$H$17,Цены!$K$17,IF(D41=Цены!$H$18,Цены!$K$18,IF(D41=Цены!$H$19,Цены!$K$19,IF(D41=Цены!$H$20,Цены!$K$20,IF(D41=Цены!$H$21,Цены!$K$21,IF(D41=Цены!$H$22,Цены!$K$22,IF(D41=Цены!$H$23,Цены!$K$23,IF(D41=Цены!$H$24,Цены!$K$24,IF(D41=Цены!$H$25,Цены!$K$25,IF(D41=Цены!$H$26,Цены!$K$26,IF(D41=Цены!$H$27,Цены!$K$27,IF(D41=Цены!$H$28,Цены!$K$28,IF(D41=Цены!$H$29,Цены!$K$29,IF(D41=Цены!$H$30,Цены!$K$30,IF(D41=Цены!$H$31,Цены!$K$31,IF(D41=Цены!$H$32,Цены!$K$32,IF(D41=Цены!$H$33,Цены!$K$33,IF(D41=Цены!$H$34,Цены!$K$34,IF(D41=Цены!$H$35,Цены!$K$35,IF(D41=Цены!$H$36,Цены!$K$36,IF(D41=Цены!$H$37,Цены!$K$37,IF(D41=Цены!$H$38,Цены!$K$38,IF(D41=Цены!$H$39,Цены!$K$39,IF(D41=Цены!$H$40,Цены!$K$40,IF(D41=Цены!$H$41,Цены!$K$41,IF(D41=Цены!$H$42,Цены!$K$42,IF(D41=Цены!$H$43,Цены!$K$43,IF(D41=Цены!$H$44,Цены!$K$44,IF(D41=Цены!$H$45,Цены!$K$45,IF(D41=Цены!$H$46,Цены!$K$46,IF(D41=Цены!$H$47,Цены!$K$47,IF(D41=Цены!$H$48,Цены!$K$48,IF(D41=Цены!$H$49,Цены!$K$49,IF(D41=Цены!$H$50,Цены!$K$50,IF(D41=Цены!$H$51,Цены!$K$51,IF(D41=Цены!$H$52,Цены!$K$52,IF(D41=Цены!$H$53,Цены!$K$53,IF(D41=Цены!$H$54,Цены!$K$54,IF(D41=Цены!$H$55,Цены!$K$55))))))))))))))))))))))))))))))))))))))))))))))))))))))</f>
        <v>822</v>
      </c>
      <c r="I41" s="265"/>
      <c r="J41" s="265"/>
      <c r="K41" s="272"/>
      <c r="L41" s="273"/>
      <c r="M41" s="273"/>
      <c r="N41" s="268"/>
      <c r="O41" s="332"/>
      <c r="P41" s="275"/>
      <c r="Q41" s="174"/>
      <c r="R41" s="37"/>
      <c r="S41" s="38" t="b">
        <f>IF(Q41=Цены!$H$3,Цены!$L$3,IF(Q41=Цены!$H$4,Цены!$L$4,IF(Q41=Цены!$H$5,Цены!$L$5,IF(Q41=Цены!$H$6,Цены!$L$6,IF(Q41=Цены!$H$7,Цены!$L$7,IF(Q41=Цены!$H$8,Цены!$L$8,IF(Q41=Цены!$H$9,Цены!$L$9,IF(Q41=Цены!$H$10,Цены!$L$10,IF(Q41=Цены!$H$11,Цены!$L$11,IF(Q41=Цены!$H$12,Цены!$L$12,IF(Q41=Цены!$H$13,Цены!$L$13,IF(Q41=Цены!$H$14,Цены!$L$14,IF(Q41=Цены!$H$14,Цены!$L$14,IF(Q41=Цены!$H$15,Цены!$L$15,IF(Q41=Цены!$H$16,Цены!$L$16,IF(Q41=Цены!$H$17,Цены!$L$17,IF(Q41=Цены!$H$18,Цены!$L$18,IF(Q41=Цены!$H$19,Цены!$L$19,IF(Q41=Цены!$H$20,Цены!$L$20,IF(Q41=Цены!$H$21,Цены!$L$21,IF(Q41=Цены!$H$22,Цены!$L$22,IF(Q41=Цены!$H$23,Цены!$L$23,IF(Q41=Цены!$H$24,Цены!$L$24,IF(Q41=Цены!$H$25,Цены!$L$25,IF(Q41=Цены!$H$26,Цены!$L$26,IF(Q41=Цены!$H$27,Цены!$L$27,IF(Q41=Цены!$H$28,Цены!$L$28,IF(Q41=Цены!$H$29,Цены!$L$29,IF(Q41=Цены!$H$30,Цены!$L$30,IF(Q41=Цены!$H$31,Цены!$L$31,IF(Q41=Цены!$H$32,Цены!$L$32,IF(Q41=Цены!$H$33,Цены!$L$33,IF(Q41=Цены!$H$34,Цены!$L$34,IF(Q41=Цены!$H$35,Цены!$L$35,IF(Q41=Цены!$H$36,Цены!$L$36,IF(Q41=Цены!$H$37,Цены!$L$37,IF(Q41=Цены!$H$38,Цены!$L$38,IF(Q41=Цены!$H$39,Цены!$L$39,IF(Q41=Цены!$H$40,Цены!$L$40,IF(Q41=Цены!$H$41,Цены!$L$41,IF(Q41=Цены!$H$42,Цены!$L$42,IF(Q41=Цены!$H$43,Цены!$L$43,IF(Q41=Цены!$H$44,Цены!$L$44,IF(Q41=Цены!$H$45,Цены!$L$45,IF(Q41=Цены!$H$46,Цены!$L$46,IF(Q41=Цены!$H$47,Цены!$L$47,IF(Q41=Цены!$H$48,Цены!$L$48,IF(Q41=Цены!$H$49,Цены!$L$49,IF(Q41=Цены!$H$50,Цены!$L$50,IF(Q41=Цены!$H$51,Цены!$L$51,IF(Q41=Цены!$H$52,Цены!$L$52,IF(Q41=Цены!$H$53,Цены!$L$53,IF(Q41=Цены!$H$54,Цены!$L$54,IF(Q41=Цены!$H$55,Цены!$L$55))))))))))))))))))))))))))))))))))))))))))))))))))))))</f>
        <v>0</v>
      </c>
      <c r="T41" s="322"/>
      <c r="U41" s="161" t="b">
        <f>IF(Q41=Цены!$H$3,Цены!$K$3,IF(Q41=Цены!$H$4,Цены!$K$4,IF(Q41=Цены!$H$5,Цены!$K$5,IF(Q41=Цены!$H$6,Цены!$K$6,IF(Q41=Цены!$H$7,Цены!$K$7,IF(Q41=Цены!$H$8,Цены!$K$8,IF(Q41=Цены!$H$9,Цены!$K$9,IF(Q41=Цены!$H$10,Цены!$K$10,IF(Q41=Цены!$H$11,Цены!$K$11,IF(Q41=Цены!$H$12,Цены!$K$12,IF(Q41=Цены!$H$13,Цены!$K$13,IF(Q41=Цены!$H$14,Цены!$K$14,IF(Q41=Цены!$H$14,Цены!$K$14,IF(Q41=Цены!$H$15,Цены!$K$15,IF(Q41=Цены!$H$16,Цены!$K$16,IF(Q41=Цены!$H$17,Цены!$K$17,IF(Q41=Цены!$H$18,Цены!$K$18,IF(Q41=Цены!$H$19,Цены!$K$19,IF(Q41=Цены!$H$20,Цены!$K$20,IF(Q41=Цены!$H$21,Цены!$K$21,IF(Q41=Цены!$H$22,Цены!$K$22,IF(Q41=Цены!$H$23,Цены!$K$23,IF(Q41=Цены!$H$24,Цены!$K$24,IF(Q41=Цены!$H$25,Цены!$K$25,IF(Q41=Цены!$H$26,Цены!$K$26,IF(Q41=Цены!$H$27,Цены!$K$27,IF(Q41=Цены!$H$28,Цены!$K$28,IF(Q41=Цены!$H$29,Цены!$K$29,IF(Q41=Цены!$H$30,Цены!$K$30,IF(Q41=Цены!$H$31,Цены!$K$31,IF(Q41=Цены!$H$32,Цены!$K$32,IF(Q41=Цены!$H$33,Цены!$K$33,IF(Q41=Цены!$H$34,Цены!$K$34,IF(Q41=Цены!$H$35,Цены!$K$35,IF(Q41=Цены!$H$36,Цены!$K$36,IF(Q41=Цены!$H$37,Цены!$K$37,IF(Q41=Цены!$H$38,Цены!$K$38,IF(Q41=Цены!$H$39,Цены!$K$39,IF(Q41=Цены!$H$40,Цены!$K$40,IF(Q41=Цены!$H$41,Цены!$K$41,IF(Q41=Цены!$H$42,Цены!$K$42,IF(Q41=Цены!$H$43,Цены!$K$43,IF(Q41=Цены!$H$44,Цены!$K$44,IF(Q41=Цены!$H$45,Цены!$K$45,IF(Q41=Цены!$H$46,Цены!$K$46,IF(Q41=Цены!$H$47,Цены!$K$47,IF(Q41=Цены!$H$48,Цены!$K$48,IF(Q41=Цены!$H$49,Цены!$K$49,IF(Q41=Цены!$H$50,Цены!$K$50,IF(Q41=Цены!$H$51,Цены!$K$51,IF(Q41=Цены!$H$52,Цены!$K$52,IF(Q41=Цены!$H$53,Цены!$K$53,IF(Q41=Цены!$H$54,Цены!$K$54,IF(Q41=Цены!$H$55,Цены!$K$55))))))))))))))))))))))))))))))))))))))))))))))))))))))</f>
        <v>0</v>
      </c>
      <c r="V41" s="265"/>
      <c r="W41" s="265"/>
      <c r="X41" s="272"/>
      <c r="Y41" s="273"/>
      <c r="Z41" s="273"/>
      <c r="AA41" s="320"/>
      <c r="AB41" s="323"/>
      <c r="AC41" s="275"/>
      <c r="AD41" s="174" t="s">
        <v>95</v>
      </c>
      <c r="AE41" s="130">
        <v>5</v>
      </c>
      <c r="AF41" s="68">
        <f>IF(AD41=Цены!$H$3,Цены!$L$3,IF(AD41=Цены!$H$4,Цены!$L$4,IF(AD41=Цены!$H$5,Цены!$L$5,IF(AD41=Цены!$H$6,Цены!$L$6,IF(AD41=Цены!$H$7,Цены!$L$7,IF(AD41=Цены!$H$8,Цены!$L$8,IF(AD41=Цены!$H$9,Цены!$L$9,IF(AD41=Цены!$H$10,Цены!$L$10,IF(AD41=Цены!$H$11,Цены!$L$11,IF(AD41=Цены!$H$12,Цены!$L$12,IF(AD41=Цены!$H$13,Цены!$L$13,IF(AD41=Цены!$H$14,Цены!$L$14,IF(AD41=Цены!$H$14,Цены!$L$14,IF(AD41=Цены!$H$15,Цены!$L$15,IF(AD41=Цены!$H$16,Цены!$L$16,IF(AD41=Цены!$H$17,Цены!$L$17,IF(AD41=Цены!$H$18,Цены!$L$18,IF(AD41=Цены!$H$19,Цены!$L$19,IF(AD41=Цены!$H$20,Цены!$L$20,IF(AD41=Цены!$H$21,Цены!$L$21,IF(AD41=Цены!$H$22,Цены!$L$22,IF(AD41=Цены!$H$23,Цены!$L$23,IF(AD41=Цены!$H$24,Цены!$L$24,IF(AD41=Цены!$H$25,Цены!$L$25,IF(AD41=Цены!$H$26,Цены!$L$26,IF(AD41=Цены!$H$27,Цены!$L$27,IF(AD41=Цены!$H$28,Цены!$L$28,IF(AD41=Цены!$H$29,Цены!$L$29,IF(AD41=Цены!$H$30,Цены!$L$30,IF(AD41=Цены!$H$31,Цены!$L$31,IF(AD41=Цены!$H$32,Цены!$L$32,IF(AD41=Цены!$H$33,Цены!$L$33,IF(AD41=Цены!$H$34,Цены!$L$34,IF(AD41=Цены!$H$35,Цены!$L$35,IF(AD41=Цены!$H$36,Цены!$L$36,IF(AD41=Цены!$H$37,Цены!$L$37,IF(AD41=Цены!$H$38,Цены!$L$38,IF(AD41=Цены!$H$39,Цены!$L$39,IF(AD41=Цены!$H$40,Цены!$L$40,IF(AD41=Цены!$H$41,Цены!$L$41,IF(AD41=Цены!$H$42,Цены!$L$42,IF(AD41=Цены!$H$43,Цены!$L$43,IF(AD41=Цены!$H$44,Цены!$L$44,IF(AD41=Цены!$H$45,Цены!$L$45,IF(AD41=Цены!$H$46,Цены!$L$46,IF(AD41=Цены!$H$47,Цены!$L$47,IF(AD41=Цены!$H$48,Цены!$L$48,IF(AD41=Цены!$H$49,Цены!$L$49,IF(AD41=Цены!$H$50,Цены!$L$50,IF(AD41=Цены!$H$51,Цены!$L$51,IF(AD41=Цены!$H$52,Цены!$L$52,IF(AD41=Цены!$H$53,Цены!$L$53,IF(AD41=Цены!$H$54,Цены!$L$54,IF(AD41=Цены!$H$55,Цены!$L$55))))))))))))))))))))))))))))))))))))))))))))))))))))))</f>
        <v>2.6</v>
      </c>
      <c r="AG41" s="311"/>
      <c r="AH41" s="69">
        <f>IF(AD41=Цены!$H$3,Цены!$K$3,IF(AD41=Цены!$H$4,Цены!$K$4,IF(AD41=Цены!$H$5,Цены!$K$5,IF(AD41=Цены!$H$6,Цены!$K$6,IF(AD41=Цены!$H$7,Цены!$K$7,IF(AD41=Цены!$H$8,Цены!$K$8,IF(AD41=Цены!$H$9,Цены!$K$9,IF(AD41=Цены!$H$10,Цены!$K$10,IF(AD41=Цены!$H$11,Цены!$K$11,IF(AD41=Цены!$H$12,Цены!$K$12,IF(AD41=Цены!$H$13,Цены!$K$13,IF(AD41=Цены!$H$14,Цены!$K$14,IF(AD41=Цены!$H$14,Цены!$K$14,IF(AD41=Цены!$H$15,Цены!$K$15,IF(AD41=Цены!$H$16,Цены!$K$16,IF(AD41=Цены!$H$17,Цены!$K$17,IF(AD41=Цены!$H$18,Цены!$K$18,IF(AD41=Цены!$H$19,Цены!$K$19,IF(AD41=Цены!$H$20,Цены!$K$20,IF(AD41=Цены!$H$21,Цены!$K$21,IF(AD41=Цены!$H$22,Цены!$K$22,IF(AD41=Цены!$H$23,Цены!$K$23,IF(AD41=Цены!$H$24,Цены!$K$24,IF(AD41=Цены!$H$25,Цены!$K$25,IF(AD41=Цены!$H$26,Цены!$K$26,IF(AD41=Цены!$H$27,Цены!$K$27,IF(AD41=Цены!$H$28,Цены!$K$28,IF(AD41=Цены!$H$29,Цены!$K$29,IF(AD41=Цены!$H$30,Цены!$K$30,IF(AD41=Цены!$H$31,Цены!$K$31,IF(AD41=Цены!$H$32,Цены!$K$32,IF(AD41=Цены!$H$33,Цены!$K$33,IF(AD41=Цены!$H$34,Цены!$K$34,IF(AD41=Цены!$H$35,Цены!$K$35,IF(AD41=Цены!$H$36,Цены!$K$36,IF(AD41=Цены!$H$37,Цены!$K$37,IF(AD41=Цены!$H$38,Цены!$K$38,IF(AD41=Цены!$H$39,Цены!$K$39,IF(AD41=Цены!$H$40,Цены!$K$40,IF(AD41=Цены!$H$41,Цены!$K$41,IF(AD41=Цены!$H$42,Цены!$K$42,IF(AD41=Цены!$H$43,Цены!$K$43,IF(AD41=Цены!$H$44,Цены!$K$44,IF(AD41=Цены!$H$45,Цены!$K$45,IF(AD41=Цены!$H$46,Цены!$K$46,IF(AD41=Цены!$H$47,Цены!$K$47,IF(AD41=Цены!$H$48,Цены!$K$48,IF(AD41=Цены!$H$49,Цены!$K$49,IF(AD41=Цены!$H$50,Цены!$K$50,IF(AD41=Цены!$H$51,Цены!$K$51,IF(AD41=Цены!$H$52,Цены!$K$52,IF(AD41=Цены!$H$53,Цены!$K$53,IF(AD41=Цены!$H$54,Цены!$K$54,IF(AD41=Цены!$H$55,Цены!$K$55))))))))))))))))))))))))))))))))))))))))))))))))))))))</f>
        <v>552</v>
      </c>
      <c r="AI41" s="265"/>
      <c r="AJ41" s="265"/>
      <c r="AK41" s="272"/>
      <c r="AL41" s="273"/>
      <c r="AM41" s="273"/>
      <c r="AN41" s="268"/>
      <c r="AO41" s="312"/>
      <c r="AP41" s="275"/>
      <c r="AQ41" s="174" t="s">
        <v>147</v>
      </c>
      <c r="AR41" s="131">
        <v>3</v>
      </c>
      <c r="AS41" s="80">
        <f>IF(AQ41=Цены!$H$3,Цены!$L$3,IF(AQ41=Цены!$H$4,Цены!$L$4,IF(AQ41=Цены!$H$5,Цены!$L$5,IF(AQ41=Цены!$H$6,Цены!$L$6,IF(AQ41=Цены!$H$7,Цены!$L$7,IF(AQ41=Цены!$H$8,Цены!$L$8,IF(AQ41=Цены!$H$9,Цены!$L$9,IF(AQ41=Цены!$H$10,Цены!$L$10,IF(AQ41=Цены!$H$11,Цены!$L$11,IF(AQ41=Цены!$H$12,Цены!$L$12,IF(AQ41=Цены!$H$13,Цены!$L$13,IF(AQ41=Цены!$H$14,Цены!$L$14,IF(AQ41=Цены!$H$14,Цены!$L$14,IF(AQ41=Цены!$H$15,Цены!$L$15,IF(AQ41=Цены!$H$16,Цены!$L$16,IF(AQ41=Цены!$H$17,Цены!$L$17,IF(AQ41=Цены!$H$18,Цены!$L$18,IF(AQ41=Цены!$H$19,Цены!$L$19,IF(AQ41=Цены!$H$20,Цены!$L$20,IF(AQ41=Цены!$H$21,Цены!$L$21,IF(AQ41=Цены!$H$22,Цены!$L$22,IF(AQ41=Цены!$H$23,Цены!$L$23,IF(AQ41=Цены!$H$24,Цены!$L$24,IF(AQ41=Цены!$H$25,Цены!$L$25,IF(AQ41=Цены!$H$26,Цены!$L$26,IF(AQ41=Цены!$H$27,Цены!$L$27,IF(AQ41=Цены!$H$28,Цены!$L$28,IF(AQ41=Цены!$H$29,Цены!$L$29,IF(AQ41=Цены!$H$30,Цены!$L$30,IF(AQ41=Цены!$H$31,Цены!$L$31,IF(AQ41=Цены!$H$32,Цены!$L$32,IF(AQ41=Цены!$H$33,Цены!$L$33,IF(AQ41=Цены!$H$34,Цены!$L$34,IF(AQ41=Цены!$H$35,Цены!$L$35,IF(AQ41=Цены!$H$36,Цены!$L$36,IF(AQ41=Цены!$H$37,Цены!$L$37,IF(AQ41=Цены!$H$38,Цены!$L$38,IF(AQ41=Цены!$H$39,Цены!$L$39,IF(AQ41=Цены!$H$40,Цены!$L$40,IF(AQ41=Цены!$H$41,Цены!$L$41,IF(AQ41=Цены!$H$42,Цены!$L$42,IF(AQ41=Цены!$H$43,Цены!$L$43,IF(AQ41=Цены!$H$44,Цены!$L$44,IF(AQ41=Цены!$H$45,Цены!$L$45,IF(AQ41=Цены!$H$46,Цены!$L$46,IF(AQ41=Цены!$H$47,Цены!$L$47,IF(AQ41=Цены!$H$48,Цены!$L$48,IF(AQ41=Цены!$H$49,Цены!$L$49,IF(AQ41=Цены!$H$50,Цены!$L$50,IF(AQ41=Цены!$H$51,Цены!$L$51,IF(AQ41=Цены!$H$52,Цены!$L$52,IF(AQ41=Цены!$H$53,Цены!$L$53,IF(AQ41=Цены!$H$54,Цены!$L$54,IF(AQ41=Цены!$H$55,Цены!$L$55))))))))))))))))))))))))))))))))))))))))))))))))))))))</f>
        <v>2.6</v>
      </c>
      <c r="AT41" s="271"/>
      <c r="AU41" s="81">
        <f>IF(AQ41=Цены!$H$3,Цены!$K$3,IF(AQ41=Цены!$H$4,Цены!$K$4,IF(AQ41=Цены!$H$5,Цены!$K$5,IF(AQ41=Цены!$H$6,Цены!$K$6,IF(AQ41=Цены!$H$7,Цены!$K$7,IF(AQ41=Цены!$H$8,Цены!$K$8,IF(AQ41=Цены!$H$9,Цены!$K$9,IF(AQ41=Цены!$H$10,Цены!$K$10,IF(AQ41=Цены!$H$11,Цены!$K$11,IF(AQ41=Цены!$H$12,Цены!$K$12,IF(AQ41=Цены!$H$13,Цены!$K$13,IF(AQ41=Цены!$H$14,Цены!$K$14,IF(AQ41=Цены!$H$14,Цены!$K$14,IF(AQ41=Цены!$H$15,Цены!$K$15,IF(AQ41=Цены!$H$16,Цены!$K$16,IF(AQ41=Цены!$H$17,Цены!$K$17,IF(AQ41=Цены!$H$18,Цены!$K$18,IF(AQ41=Цены!$H$19,Цены!$K$19,IF(AQ41=Цены!$H$20,Цены!$K$20,IF(AQ41=Цены!$H$21,Цены!$K$21,IF(AQ41=Цены!$H$22,Цены!$K$22,IF(AQ41=Цены!$H$23,Цены!$K$23,IF(AQ41=Цены!$H$24,Цены!$K$24,IF(AQ41=Цены!$H$25,Цены!$K$25,IF(AQ41=Цены!$H$26,Цены!$K$26,IF(AQ41=Цены!$H$27,Цены!$K$27,IF(AQ41=Цены!$H$28,Цены!$K$28,IF(AQ41=Цены!$H$29,Цены!$K$29,IF(AQ41=Цены!$H$30,Цены!$K$30,IF(AQ41=Цены!$H$31,Цены!$K$31,IF(AQ41=Цены!$H$32,Цены!$K$32,IF(AQ41=Цены!$H$33,Цены!$K$33,IF(AQ41=Цены!$H$34,Цены!$K$34,IF(AQ41=Цены!$H$35,Цены!$K$35,IF(AQ41=Цены!$H$36,Цены!$K$36,IF(AQ41=Цены!$H$37,Цены!$K$37,IF(AQ41=Цены!$H$38,Цены!$K$38,IF(AQ41=Цены!$H$39,Цены!$K$39,IF(AQ41=Цены!$H$40,Цены!$K$40,IF(AQ41=Цены!$H$41,Цены!$K$41,IF(AQ41=Цены!$H$42,Цены!$K$42,IF(AQ41=Цены!$H$43,Цены!$K$43,IF(AQ41=Цены!$H$44,Цены!$K$44,IF(AQ41=Цены!$H$45,Цены!$K$45,IF(AQ41=Цены!$H$46,Цены!$K$46,IF(AQ41=Цены!$H$47,Цены!$K$47,IF(AQ41=Цены!$H$48,Цены!$K$48,IF(AQ41=Цены!$H$49,Цены!$K$49,IF(AQ41=Цены!$H$50,Цены!$K$50,IF(AQ41=Цены!$H$51,Цены!$K$51,IF(AQ41=Цены!$H$52,Цены!$K$52,IF(AQ41=Цены!$H$53,Цены!$K$53,IF(AQ41=Цены!$H$54,Цены!$K$54,IF(AQ41=Цены!$H$55,Цены!$K$55))))))))))))))))))))))))))))))))))))))))))))))))))))))</f>
        <v>552</v>
      </c>
      <c r="AV41" s="265"/>
      <c r="AW41" s="265"/>
      <c r="AX41" s="272"/>
      <c r="AY41" s="273"/>
      <c r="AZ41" s="273"/>
      <c r="BA41" s="268"/>
      <c r="BB41" s="274"/>
      <c r="BC41" s="275"/>
      <c r="BD41" s="262"/>
      <c r="BE41" s="174"/>
      <c r="BF41" s="106"/>
      <c r="BG41" s="103" t="b">
        <f>IF(BE41=Цены!$H$3,Цены!$L$3,IF(BE41=Цены!$H$4,Цены!$L$4,IF(BE41=Цены!$H$5,Цены!$L$5,IF(BE41=Цены!$H$6,Цены!$L$6,IF(BE41=Цены!$H$7,Цены!$L$7,IF(BE41=Цены!$H$8,Цены!$L$8,IF(BE41=Цены!$H$9,Цены!$L$9,IF(BE41=Цены!$H$10,Цены!$L$10,IF(BE41=Цены!$H$11,Цены!$L$11,IF(BE41=Цены!$H$12,Цены!$L$12,IF(BE41=Цены!$H$13,Цены!$L$13,IF(BE41=Цены!$H$14,Цены!$L$14,IF(BE41=Цены!$H$14,Цены!$L$14,IF(BE41=Цены!$H$15,Цены!$L$15,IF(BE41=Цены!$H$16,Цены!$L$16,IF(BE41=Цены!$H$17,Цены!$L$17,IF(BE41=Цены!$H$18,Цены!$L$18,IF(BE41=Цены!$H$19,Цены!$L$19,IF(BE41=Цены!$H$20,Цены!$L$20,IF(BE41=Цены!$H$21,Цены!$L$21,IF(BE41=Цены!$H$22,Цены!$L$22,IF(BE41=Цены!$H$23,Цены!$L$23,IF(BE41=Цены!$H$24,Цены!$L$24,IF(BE41=Цены!$H$25,Цены!$L$25,IF(BE41=Цены!$H$26,Цены!$L$26,IF(BE41=Цены!$H$27,Цены!$L$27,IF(BE41=Цены!$H$28,Цены!$L$28,IF(BE41=Цены!$H$29,Цены!$L$29,IF(BE41=Цены!$H$30,Цены!$L$30,IF(BE41=Цены!$H$31,Цены!$L$31,IF(BE41=Цены!$H$32,Цены!$L$32,IF(BE41=Цены!$H$33,Цены!$L$33,IF(BE41=Цены!$H$34,Цены!$L$34,IF(BE41=Цены!$H$35,Цены!$L$35,IF(BE41=Цены!$H$36,Цены!$L$36,IF(BE41=Цены!$H$37,Цены!$L$37,IF(BE41=Цены!$H$38,Цены!$L$38,IF(BE41=Цены!$H$39,Цены!$L$39,IF(BE41=Цены!$H$40,Цены!$L$40,IF(BE41=Цены!$H$41,Цены!$L$41,IF(BE41=Цены!$H$42,Цены!$L$42,IF(BE41=Цены!$H$43,Цены!$L$43,IF(BE41=Цены!$H$44,Цены!$L$44,IF(BE41=Цены!$H$45,Цены!$L$45,IF(BE41=Цены!$H$46,Цены!$L$46,IF(BE41=Цены!$H$47,Цены!$L$47,IF(BE41=Цены!$H$48,Цены!$L$48,IF(BE41=Цены!$H$49,Цены!$L$49,IF(BE41=Цены!$H$50,Цены!$L$50,IF(BE41=Цены!$H$51,Цены!$L$51,IF(BE41=Цены!$H$52,Цены!$L$52,IF(BE41=Цены!$H$53,Цены!$L$53,IF(BE41=Цены!$H$54,Цены!$L$54,IF(BE41=Цены!$H$55,Цены!$L$55))))))))))))))))))))))))))))))))))))))))))))))))))))))</f>
        <v>0</v>
      </c>
      <c r="BH41" s="280"/>
      <c r="BI41" s="104" t="b">
        <f>IF(BE41=Цены!$H$3,Цены!$K$3,IF(BE41=Цены!$H$4,Цены!$K$4,IF(BE41=Цены!$H$5,Цены!$K$5,IF(BE41=Цены!$H$6,Цены!$K$6,IF(BE41=Цены!$H$7,Цены!$K$7,IF(BE41=Цены!$H$8,Цены!$K$8,IF(BE41=Цены!$H$9,Цены!$K$9,IF(BE41=Цены!$H$10,Цены!$K$10,IF(BE41=Цены!$H$11,Цены!$K$11,IF(BE41=Цены!$H$12,Цены!$K$12,IF(BE41=Цены!$H$13,Цены!$K$13,IF(BE41=Цены!$H$14,Цены!$K$14,IF(BE41=Цены!$H$14,Цены!$K$14,IF(BE41=Цены!$H$15,Цены!$K$15,IF(BE41=Цены!$H$16,Цены!$K$16,IF(BE41=Цены!$H$17,Цены!$K$17,IF(BE41=Цены!$H$18,Цены!$K$18,IF(BE41=Цены!$H$19,Цены!$K$19,IF(BE41=Цены!$H$20,Цены!$K$20,IF(BE41=Цены!$H$21,Цены!$K$21,IF(BE41=Цены!$H$22,Цены!$K$22,IF(BE41=Цены!$H$23,Цены!$K$23,IF(BE41=Цены!$H$24,Цены!$K$24,IF(BE41=Цены!$H$25,Цены!$K$25,IF(BE41=Цены!$H$26,Цены!$K$26,IF(BE41=Цены!$H$27,Цены!$K$27,IF(BE41=Цены!$H$28,Цены!$K$28,IF(BE41=Цены!$H$29,Цены!$K$29,IF(BE41=Цены!$H$30,Цены!$K$30,IF(BE41=Цены!$H$31,Цены!$K$31,IF(BE41=Цены!$H$32,Цены!$K$32,IF(BE41=Цены!$H$33,Цены!$K$33,IF(BE41=Цены!$H$34,Цены!$K$34,IF(BE41=Цены!$H$35,Цены!$K$35,IF(BE41=Цены!$H$36,Цены!$K$36,IF(BE41=Цены!$H$37,Цены!$K$37,IF(BE41=Цены!$H$38,Цены!$K$38,IF(BE41=Цены!$H$39,Цены!$K$39,IF(BE41=Цены!$H$40,Цены!$K$40,IF(BE41=Цены!$H$41,Цены!$K$41,IF(BE41=Цены!$H$42,Цены!$K$42,IF(BE41=Цены!$H$43,Цены!$K$43,IF(BE41=Цены!$H$44,Цены!$K$44,IF(BE41=Цены!$H$45,Цены!$K$45,IF(BE41=Цены!$H$46,Цены!$K$46,IF(BE41=Цены!$H$47,Цены!$K$47,IF(BE41=Цены!$H$48,Цены!$K$48,IF(BE41=Цены!$H$49,Цены!$K$49,IF(BE41=Цены!$H$50,Цены!$K$50,IF(BE41=Цены!$H$51,Цены!$K$51,IF(BE41=Цены!$H$52,Цены!$K$52,IF(BE41=Цены!$H$53,Цены!$K$53,IF(BE41=Цены!$H$54,Цены!$K$54,IF(BE41=Цены!$H$55,Цены!$K$55))))))))))))))))))))))))))))))))))))))))))))))))))))))</f>
        <v>0</v>
      </c>
      <c r="BJ41" s="265"/>
      <c r="BK41" s="265"/>
      <c r="BL41" s="272"/>
      <c r="BM41" s="273"/>
      <c r="BN41" s="273"/>
      <c r="BO41" s="268"/>
      <c r="BP41" s="281"/>
      <c r="BQ41" s="275"/>
      <c r="BR41" s="174"/>
      <c r="BS41" s="108"/>
      <c r="BT41" s="109" t="b">
        <f>IF(BR41=Цены!$H$3,Цены!$L$3,IF(BR41=Цены!$H$4,Цены!$L$4,IF(BR41=Цены!$H$5,Цены!$L$5,IF(BR41=Цены!$H$6,Цены!$L$6,IF(BR41=Цены!$H$7,Цены!$L$7,IF(BR41=Цены!$H$8,Цены!$L$8,IF(BR41=Цены!$H$9,Цены!$L$9,IF(BR41=Цены!$H$10,Цены!$L$10,IF(BR41=Цены!$H$11,Цены!$L$11,IF(BR41=Цены!$H$12,Цены!$L$12,IF(BR41=Цены!$H$13,Цены!$L$13,IF(BR41=Цены!$H$14,Цены!$L$14,IF(BR41=Цены!$H$14,Цены!$L$14,IF(BR41=Цены!$H$15,Цены!$L$15,IF(BR41=Цены!$H$16,Цены!$L$16,IF(BR41=Цены!$H$17,Цены!$L$17,IF(BR41=Цены!$H$18,Цены!$L$18,IF(BR41=Цены!$H$19,Цены!$L$19,IF(BR41=Цены!$H$20,Цены!$L$20,IF(BR41=Цены!$H$21,Цены!$L$21,IF(BR41=Цены!$H$22,Цены!$L$22,IF(BR41=Цены!$H$23,Цены!$L$23,IF(BR41=Цены!$H$24,Цены!$L$24,IF(BR41=Цены!$H$25,Цены!$L$25,IF(BR41=Цены!$H$26,Цены!$L$26,IF(BR41=Цены!$H$27,Цены!$L$27,IF(BR41=Цены!$H$28,Цены!$L$28,IF(BR41=Цены!$H$29,Цены!$L$29,IF(BR41=Цены!$H$30,Цены!$L$30,IF(BR41=Цены!$H$31,Цены!$L$31,IF(BR41=Цены!$H$32,Цены!$L$32,IF(BR41=Цены!$H$33,Цены!$L$33,IF(BR41=Цены!$H$34,Цены!$L$34,IF(BR41=Цены!$H$35,Цены!$L$35,IF(BR41=Цены!$H$36,Цены!$L$36,IF(BR41=Цены!$H$37,Цены!$L$37,IF(BR41=Цены!$H$38,Цены!$L$38,IF(BR41=Цены!$H$39,Цены!$L$39,IF(BR41=Цены!$H$40,Цены!$L$40,IF(BR41=Цены!$H$41,Цены!$L$41,IF(BR41=Цены!$H$42,Цены!$L$42,IF(BR41=Цены!$H$43,Цены!$L$43,IF(BR41=Цены!$H$44,Цены!$L$44,IF(BR41=Цены!$H$45,Цены!$L$45,IF(BR41=Цены!$H$46,Цены!$L$46,IF(BR41=Цены!$H$47,Цены!$L$47,IF(BR41=Цены!$H$48,Цены!$L$48,IF(BR41=Цены!$H$49,Цены!$L$49,IF(BR41=Цены!$H$50,Цены!$L$50,IF(BR41=Цены!$H$51,Цены!$L$51,IF(BR41=Цены!$H$52,Цены!$L$52,IF(BR41=Цены!$H$53,Цены!$L$53,IF(BR41=Цены!$H$54,Цены!$L$54,IF(BR41=Цены!$H$55,Цены!$L$55))))))))))))))))))))))))))))))))))))))))))))))))))))))</f>
        <v>0</v>
      </c>
      <c r="BU41" s="284"/>
      <c r="BV41" s="110" t="b">
        <f>IF(BR41=Цены!$H$3,Цены!$K$3,IF(BR41=Цены!$H$4,Цены!$K$4,IF(BR41=Цены!$H$5,Цены!$K$5,IF(BR41=Цены!$H$6,Цены!$K$6,IF(BR41=Цены!$H$7,Цены!$K$7,IF(BR41=Цены!$H$8,Цены!$K$8,IF(BR41=Цены!$H$9,Цены!$K$9,IF(BR41=Цены!$H$10,Цены!$K$10,IF(BR41=Цены!$H$11,Цены!$K$11,IF(BR41=Цены!$H$12,Цены!$K$12,IF(BR41=Цены!$H$13,Цены!$K$13,IF(BR41=Цены!$H$14,Цены!$K$14,IF(BR41=Цены!$H$14,Цены!$K$14,IF(BR41=Цены!$H$15,Цены!$K$15,IF(BR41=Цены!$H$16,Цены!$K$16,IF(BR41=Цены!$H$17,Цены!$K$17,IF(BR41=Цены!$H$18,Цены!$K$18,IF(BR41=Цены!$H$19,Цены!$K$19,IF(BR41=Цены!$H$20,Цены!$K$20,IF(BR41=Цены!$H$21,Цены!$K$21,IF(BR41=Цены!$H$22,Цены!$K$22,IF(BR41=Цены!$H$23,Цены!$K$23,IF(BR41=Цены!$H$24,Цены!$K$24,IF(BR41=Цены!$H$25,Цены!$K$25,IF(BR41=Цены!$H$26,Цены!$K$26,IF(BR41=Цены!$H$27,Цены!$K$27,IF(BR41=Цены!$H$28,Цены!$K$28,IF(BR41=Цены!$H$29,Цены!$K$29,IF(BR41=Цены!$H$30,Цены!$K$30,IF(BR41=Цены!$H$31,Цены!$K$31,IF(BR41=Цены!$H$32,Цены!$K$32,IF(BR41=Цены!$H$33,Цены!$K$33,IF(BR41=Цены!$H$34,Цены!$K$34,IF(BR41=Цены!$H$35,Цены!$K$35,IF(BR41=Цены!$H$36,Цены!$K$36,IF(BR41=Цены!$H$37,Цены!$K$37,IF(BR41=Цены!$H$38,Цены!$K$38,IF(BR41=Цены!$H$39,Цены!$K$39,IF(BR41=Цены!$H$40,Цены!$K$40,IF(BR41=Цены!$H$41,Цены!$K$41,IF(BR41=Цены!$H$42,Цены!$K$42,IF(BR41=Цены!$H$43,Цены!$K$43,IF(BR41=Цены!$H$44,Цены!$K$44,IF(BR41=Цены!$H$45,Цены!$K$45,IF(BR41=Цены!$H$46,Цены!$K$46,IF(BR41=Цены!$H$47,Цены!$K$47,IF(BR41=Цены!$H$48,Цены!$K$48,IF(BR41=Цены!$H$49,Цены!$K$49,IF(BR41=Цены!$H$50,Цены!$K$50,IF(BR41=Цены!$H$51,Цены!$K$51,IF(BR41=Цены!$H$52,Цены!$K$52,IF(BR41=Цены!$H$53,Цены!$K$53,IF(BR41=Цены!$H$54,Цены!$K$54,IF(BR41=Цены!$H$55,Цены!$K$55))))))))))))))))))))))))))))))))))))))))))))))))))))))</f>
        <v>0</v>
      </c>
      <c r="BW41" s="265"/>
      <c r="BX41" s="265"/>
      <c r="BY41" s="272"/>
      <c r="BZ41" s="273"/>
      <c r="CA41" s="273"/>
      <c r="CB41" s="268"/>
      <c r="CC41" s="285"/>
      <c r="CD41" s="275"/>
      <c r="CE41" s="174" t="s">
        <v>125</v>
      </c>
      <c r="CF41" s="112">
        <v>1</v>
      </c>
      <c r="CG41" s="113">
        <f>IF(CE41=Цены!$H$3,Цены!$L$3,IF(CE41=Цены!$H$4,Цены!$L$4,IF(CE41=Цены!$H$5,Цены!$L$5,IF(CE41=Цены!$H$6,Цены!$L$6,IF(CE41=Цены!$H$7,Цены!$L$7,IF(CE41=Цены!$H$8,Цены!$L$8,IF(CE41=Цены!$H$9,Цены!$L$9,IF(CE41=Цены!$H$10,Цены!$L$10,IF(CE41=Цены!$H$11,Цены!$L$11,IF(CE41=Цены!$H$12,Цены!$L$12,IF(CE41=Цены!$H$13,Цены!$L$13,IF(CE41=Цены!$H$14,Цены!$L$14,IF(CE41=Цены!$H$14,Цены!$L$14,IF(CE41=Цены!$H$15,Цены!$L$15,IF(CE41=Цены!$H$16,Цены!$L$16,IF(CE41=Цены!$H$17,Цены!$L$17,IF(CE41=Цены!$H$18,Цены!$L$18,IF(CE41=Цены!$H$19,Цены!$L$19,IF(CE41=Цены!$H$20,Цены!$L$20,IF(CE41=Цены!$H$21,Цены!$L$21,IF(CE41=Цены!$H$22,Цены!$L$22,IF(CE41=Цены!$H$23,Цены!$L$23,IF(CE41=Цены!$H$24,Цены!$L$24,IF(CE41=Цены!$H$25,Цены!$L$25,IF(CE41=Цены!$H$26,Цены!$L$26,IF(CE41=Цены!$H$27,Цены!$L$27,IF(CE41=Цены!$H$28,Цены!$L$28,IF(CE41=Цены!$H$29,Цены!$L$29,IF(CE41=Цены!$H$30,Цены!$L$30,IF(CE41=Цены!$H$31,Цены!$L$31,IF(CE41=Цены!$H$32,Цены!$L$32,IF(CE41=Цены!$H$33,Цены!$L$33,IF(CE41=Цены!$H$34,Цены!$L$34,IF(CE41=Цены!$H$35,Цены!$L$35,IF(CE41=Цены!$H$36,Цены!$L$36,IF(CE41=Цены!$H$37,Цены!$L$37,IF(CE41=Цены!$H$38,Цены!$L$38,IF(CE41=Цены!$H$39,Цены!$L$39,IF(CE41=Цены!$H$40,Цены!$L$40,IF(CE41=Цены!$H$41,Цены!$L$41,IF(CE41=Цены!$H$42,Цены!$L$42,IF(CE41=Цены!$H$43,Цены!$L$43,IF(CE41=Цены!$H$44,Цены!$L$44,IF(CE41=Цены!$H$45,Цены!$L$45,IF(CE41=Цены!$H$46,Цены!$L$46,IF(CE41=Цены!$H$47,Цены!$L$47,IF(CE41=Цены!$H$48,Цены!$L$48,IF(CE41=Цены!$H$49,Цены!$L$49,IF(CE41=Цены!$H$50,Цены!$L$50,IF(CE41=Цены!$H$51,Цены!$L$51,IF(CE41=Цены!$H$52,Цены!$L$52,IF(CE41=Цены!$H$53,Цены!$L$53,IF(CE41=Цены!$H$54,Цены!$L$54,IF(CE41=Цены!$H$55,Цены!$L$55))))))))))))))))))))))))))))))))))))))))))))))))))))))</f>
        <v>0.39</v>
      </c>
      <c r="CH41" s="282"/>
      <c r="CI41" s="114">
        <f>IF(CE41=Цены!$H$3,Цены!$K$3,IF(CE41=Цены!$H$4,Цены!$K$4,IF(CE41=Цены!$H$5,Цены!$K$5,IF(CE41=Цены!$H$6,Цены!$K$6,IF(CE41=Цены!$H$7,Цены!$K$7,IF(CE41=Цены!$H$8,Цены!$K$8,IF(CE41=Цены!$H$9,Цены!$K$9,IF(CE41=Цены!$H$10,Цены!$K$10,IF(CE41=Цены!$H$11,Цены!$K$11,IF(CE41=Цены!$H$12,Цены!$K$12,IF(CE41=Цены!$H$13,Цены!$K$13,IF(CE41=Цены!$H$14,Цены!$K$14,IF(CE41=Цены!$H$14,Цены!$K$14,IF(CE41=Цены!$H$15,Цены!$K$15,IF(CE41=Цены!$H$16,Цены!$K$16,IF(CE41=Цены!$H$17,Цены!$K$17,IF(CE41=Цены!$H$18,Цены!$K$18,IF(CE41=Цены!$H$19,Цены!$K$19,IF(CE41=Цены!$H$20,Цены!$K$20,IF(CE41=Цены!$H$21,Цены!$K$21,IF(CE41=Цены!$H$22,Цены!$K$22,IF(CE41=Цены!$H$23,Цены!$K$23,IF(CE41=Цены!$H$24,Цены!$K$24,IF(CE41=Цены!$H$25,Цены!$K$25,IF(CE41=Цены!$H$26,Цены!$K$26,IF(CE41=Цены!$H$27,Цены!$K$27,IF(CE41=Цены!$H$28,Цены!$K$28,IF(CE41=Цены!$H$29,Цены!$K$29,IF(CE41=Цены!$H$30,Цены!$K$30,IF(CE41=Цены!$H$31,Цены!$K$31,IF(CE41=Цены!$H$32,Цены!$K$32,IF(CE41=Цены!$H$33,Цены!$K$33,IF(CE41=Цены!$H$34,Цены!$K$34,IF(CE41=Цены!$H$35,Цены!$K$35,IF(CE41=Цены!$H$36,Цены!$K$36,IF(CE41=Цены!$H$37,Цены!$K$37,IF(CE41=Цены!$H$38,Цены!$K$38,IF(CE41=Цены!$H$39,Цены!$K$39,IF(CE41=Цены!$H$40,Цены!$K$40,IF(CE41=Цены!$H$41,Цены!$K$41,IF(CE41=Цены!$H$42,Цены!$K$42,IF(CE41=Цены!$H$43,Цены!$K$43,IF(CE41=Цены!$H$44,Цены!$K$44,IF(CE41=Цены!$H$45,Цены!$K$45,IF(CE41=Цены!$H$46,Цены!$K$46,IF(CE41=Цены!$H$47,Цены!$K$47,IF(CE41=Цены!$H$48,Цены!$K$48,IF(CE41=Цены!$H$49,Цены!$K$49,IF(CE41=Цены!$H$50,Цены!$K$50,IF(CE41=Цены!$H$51,Цены!$K$51,IF(CE41=Цены!$H$52,Цены!$K$52,IF(CE41=Цены!$H$53,Цены!$K$53,IF(CE41=Цены!$H$54,Цены!$K$54,IF(CE41=Цены!$H$55,Цены!$K$55))))))))))))))))))))))))))))))))))))))))))))))))))))))</f>
        <v>822</v>
      </c>
      <c r="CJ41" s="265"/>
      <c r="CK41" s="265"/>
      <c r="CL41" s="272"/>
      <c r="CM41" s="273"/>
      <c r="CN41" s="273"/>
      <c r="CO41" s="268"/>
      <c r="CP41" s="283"/>
      <c r="CQ41" s="275"/>
    </row>
    <row r="42" spans="1:95" s="40" customFormat="1" ht="15.75" customHeight="1" thickBot="1" x14ac:dyDescent="0.3">
      <c r="A42" s="353"/>
      <c r="B42" s="265"/>
      <c r="C42" s="336"/>
      <c r="D42" s="183" t="s">
        <v>121</v>
      </c>
      <c r="E42" s="184">
        <v>3</v>
      </c>
      <c r="F42" s="46">
        <f>IF(D42=Цены!$H$3,Цены!$L$3,IF(D42=Цены!$H$4,Цены!$L$4,IF(D42=Цены!$H$5,Цены!$L$5,IF(D42=Цены!$H$6,Цены!$L$6,IF(D42=Цены!$H$7,Цены!$L$7,IF(D42=Цены!$H$8,Цены!$L$8,IF(D42=Цены!$H$9,Цены!$L$9,IF(D42=Цены!$H$10,Цены!$L$10,IF(D42=Цены!$H$11,Цены!$L$11,IF(D42=Цены!$H$12,Цены!$L$12,IF(D42=Цены!$H$13,Цены!$L$13,IF(D42=Цены!$H$14,Цены!$L$14,IF(D42=Цены!$H$14,Цены!$L$14,IF(D42=Цены!$H$15,Цены!$L$15,IF(D42=Цены!$H$16,Цены!$L$16,IF(D42=Цены!$H$17,Цены!$L$17,IF(D42=Цены!$H$18,Цены!$L$18,IF(D42=Цены!$H$19,Цены!$L$19,IF(D42=Цены!$H$20,Цены!$L$20,IF(D42=Цены!$H$21,Цены!$L$21,IF(D42=Цены!$H$22,Цены!$L$22,IF(D42=Цены!$H$23,Цены!$L$23,IF(D42=Цены!$H$24,Цены!$L$24,IF(D42=Цены!$H$25,Цены!$L$25,IF(D42=Цены!$H$26,Цены!$L$26,IF(D42=Цены!$H$27,Цены!$L$27,IF(D42=Цены!$H$28,Цены!$L$28,IF(D42=Цены!$H$29,Цены!$L$29,IF(D42=Цены!$H$30,Цены!$L$30,IF(D42=Цены!$H$31,Цены!$L$31,IF(D42=Цены!$H$32,Цены!$L$32,IF(D42=Цены!$H$33,Цены!$L$33,IF(D42=Цены!$H$34,Цены!$L$34,IF(D42=Цены!$H$35,Цены!$L$35,IF(D42=Цены!$H$36,Цены!$L$36,IF(D42=Цены!$H$37,Цены!$L$37,IF(D42=Цены!$H$38,Цены!$L$38,IF(D42=Цены!$H$39,Цены!$L$39,IF(D42=Цены!$H$40,Цены!$L$40,IF(D42=Цены!$H$41,Цены!$L$41,IF(D42=Цены!$H$42,Цены!$L$42,IF(D42=Цены!$H$43,Цены!$L$43,IF(D42=Цены!$H$44,Цены!$L$44,IF(D42=Цены!$H$45,Цены!$L$45,IF(D42=Цены!$H$46,Цены!$L$46,IF(D42=Цены!$H$47,Цены!$L$47,IF(D42=Цены!$H$48,Цены!$L$48,IF(D42=Цены!$H$49,Цены!$L$49,IF(D42=Цены!$H$50,Цены!$L$50,IF(D42=Цены!$H$51,Цены!$L$51,IF(D42=Цены!$H$52,Цены!$L$52,IF(D42=Цены!$H$53,Цены!$L$53,IF(D42=Цены!$H$54,Цены!$L$54,IF(D42=Цены!$H$55,Цены!$L$55))))))))))))))))))))))))))))))))))))))))))))))))))))))</f>
        <v>1.32E-2</v>
      </c>
      <c r="G42" s="339"/>
      <c r="H42" s="47">
        <f>IF(D42=Цены!$H$3,Цены!$K$3,IF(D42=Цены!$H$4,Цены!$K$4,IF(D42=Цены!$H$5,Цены!$K$5,IF(D42=Цены!$H$6,Цены!$K$6,IF(D42=Цены!$H$7,Цены!$K$7,IF(D42=Цены!$H$8,Цены!$K$8,IF(D42=Цены!$H$9,Цены!$K$9,IF(D42=Цены!$H$10,Цены!$K$10,IF(D42=Цены!$H$11,Цены!$K$11,IF(D42=Цены!$H$12,Цены!$K$12,IF(D42=Цены!$H$13,Цены!$K$13,IF(D42=Цены!$H$14,Цены!$K$14,IF(D42=Цены!$H$14,Цены!$K$14,IF(D42=Цены!$H$15,Цены!$K$15,IF(D42=Цены!$H$16,Цены!$K$16,IF(D42=Цены!$H$17,Цены!$K$17,IF(D42=Цены!$H$18,Цены!$K$18,IF(D42=Цены!$H$19,Цены!$K$19,IF(D42=Цены!$H$20,Цены!$K$20,IF(D42=Цены!$H$21,Цены!$K$21,IF(D42=Цены!$H$22,Цены!$K$22,IF(D42=Цены!$H$23,Цены!$K$23,IF(D42=Цены!$H$24,Цены!$K$24,IF(D42=Цены!$H$25,Цены!$K$25,IF(D42=Цены!$H$26,Цены!$K$26,IF(D42=Цены!$H$27,Цены!$K$27,IF(D42=Цены!$H$28,Цены!$K$28,IF(D42=Цены!$H$29,Цены!$K$29,IF(D42=Цены!$H$30,Цены!$K$30,IF(D42=Цены!$H$31,Цены!$K$31,IF(D42=Цены!$H$32,Цены!$K$32,IF(D42=Цены!$H$33,Цены!$K$33,IF(D42=Цены!$H$34,Цены!$K$34,IF(D42=Цены!$H$35,Цены!$K$35,IF(D42=Цены!$H$36,Цены!$K$36,IF(D42=Цены!$H$37,Цены!$K$37,IF(D42=Цены!$H$38,Цены!$K$38,IF(D42=Цены!$H$39,Цены!$K$39,IF(D42=Цены!$H$40,Цены!$K$40,IF(D42=Цены!$H$41,Цены!$K$41,IF(D42=Цены!$H$42,Цены!$K$42,IF(D42=Цены!$H$43,Цены!$K$43,IF(D42=Цены!$H$44,Цены!$K$44,IF(D42=Цены!$H$45,Цены!$K$45,IF(D42=Цены!$H$46,Цены!$K$46,IF(D42=Цены!$H$47,Цены!$K$47,IF(D42=Цены!$H$48,Цены!$K$48,IF(D42=Цены!$H$49,Цены!$K$49,IF(D42=Цены!$H$50,Цены!$K$50,IF(D42=Цены!$H$51,Цены!$K$51,IF(D42=Цены!$H$52,Цены!$K$52,IF(D42=Цены!$H$53,Цены!$K$53,IF(D42=Цены!$H$54,Цены!$K$54,IF(D42=Цены!$H$55,Цены!$K$55))))))))))))))))))))))))))))))))))))))))))))))))))))))</f>
        <v>54</v>
      </c>
      <c r="I42" s="265"/>
      <c r="J42" s="265"/>
      <c r="K42" s="272"/>
      <c r="L42" s="273"/>
      <c r="M42" s="273"/>
      <c r="N42" s="268"/>
      <c r="O42" s="332"/>
      <c r="P42" s="275"/>
      <c r="Q42" s="208"/>
      <c r="R42" s="37"/>
      <c r="S42" s="38" t="b">
        <f>IF(Q42=Цены!$H$3,Цены!$L$3,IF(Q42=Цены!$H$4,Цены!$L$4,IF(Q42=Цены!$H$5,Цены!$L$5,IF(Q42=Цены!$H$6,Цены!$L$6,IF(Q42=Цены!$H$7,Цены!$L$7,IF(Q42=Цены!$H$8,Цены!$L$8,IF(Q42=Цены!$H$9,Цены!$L$9,IF(Q42=Цены!$H$10,Цены!$L$10,IF(Q42=Цены!$H$11,Цены!$L$11,IF(Q42=Цены!$H$12,Цены!$L$12,IF(Q42=Цены!$H$13,Цены!$L$13,IF(Q42=Цены!$H$14,Цены!$L$14,IF(Q42=Цены!$H$14,Цены!$L$14,IF(Q42=Цены!$H$15,Цены!$L$15,IF(Q42=Цены!$H$16,Цены!$L$16,IF(Q42=Цены!$H$17,Цены!$L$17,IF(Q42=Цены!$H$18,Цены!$L$18,IF(Q42=Цены!$H$19,Цены!$L$19,IF(Q42=Цены!$H$20,Цены!$L$20,IF(Q42=Цены!$H$21,Цены!$L$21,IF(Q42=Цены!$H$22,Цены!$L$22,IF(Q42=Цены!$H$23,Цены!$L$23,IF(Q42=Цены!$H$24,Цены!$L$24,IF(Q42=Цены!$H$25,Цены!$L$25,IF(Q42=Цены!$H$26,Цены!$L$26,IF(Q42=Цены!$H$27,Цены!$L$27,IF(Q42=Цены!$H$28,Цены!$L$28,IF(Q42=Цены!$H$29,Цены!$L$29,IF(Q42=Цены!$H$30,Цены!$L$30,IF(Q42=Цены!$H$31,Цены!$L$31,IF(Q42=Цены!$H$32,Цены!$L$32,IF(Q42=Цены!$H$33,Цены!$L$33,IF(Q42=Цены!$H$34,Цены!$L$34,IF(Q42=Цены!$H$35,Цены!$L$35,IF(Q42=Цены!$H$36,Цены!$L$36,IF(Q42=Цены!$H$37,Цены!$L$37,IF(Q42=Цены!$H$38,Цены!$L$38,IF(Q42=Цены!$H$39,Цены!$L$39,IF(Q42=Цены!$H$40,Цены!$L$40,IF(Q42=Цены!$H$41,Цены!$L$41,IF(Q42=Цены!$H$42,Цены!$L$42,IF(Q42=Цены!$H$43,Цены!$L$43,IF(Q42=Цены!$H$44,Цены!$L$44,IF(Q42=Цены!$H$45,Цены!$L$45,IF(Q42=Цены!$H$46,Цены!$L$46,IF(Q42=Цены!$H$47,Цены!$L$47,IF(Q42=Цены!$H$48,Цены!$L$48,IF(Q42=Цены!$H$49,Цены!$L$49,IF(Q42=Цены!$H$50,Цены!$L$50,IF(Q42=Цены!$H$51,Цены!$L$51,IF(Q42=Цены!$H$52,Цены!$L$52,IF(Q42=Цены!$H$53,Цены!$L$53,IF(Q42=Цены!$H$54,Цены!$L$54,IF(Q42=Цены!$H$55,Цены!$L$55))))))))))))))))))))))))))))))))))))))))))))))))))))))</f>
        <v>0</v>
      </c>
      <c r="T42" s="322"/>
      <c r="U42" s="161" t="b">
        <f>IF(Q42=Цены!$H$3,Цены!$K$3,IF(Q42=Цены!$H$4,Цены!$K$4,IF(Q42=Цены!$H$5,Цены!$K$5,IF(Q42=Цены!$H$6,Цены!$K$6,IF(Q42=Цены!$H$7,Цены!$K$7,IF(Q42=Цены!$H$8,Цены!$K$8,IF(Q42=Цены!$H$9,Цены!$K$9,IF(Q42=Цены!$H$10,Цены!$K$10,IF(Q42=Цены!$H$11,Цены!$K$11,IF(Q42=Цены!$H$12,Цены!$K$12,IF(Q42=Цены!$H$13,Цены!$K$13,IF(Q42=Цены!$H$14,Цены!$K$14,IF(Q42=Цены!$H$14,Цены!$K$14,IF(Q42=Цены!$H$15,Цены!$K$15,IF(Q42=Цены!$H$16,Цены!$K$16,IF(Q42=Цены!$H$17,Цены!$K$17,IF(Q42=Цены!$H$18,Цены!$K$18,IF(Q42=Цены!$H$19,Цены!$K$19,IF(Q42=Цены!$H$20,Цены!$K$20,IF(Q42=Цены!$H$21,Цены!$K$21,IF(Q42=Цены!$H$22,Цены!$K$22,IF(Q42=Цены!$H$23,Цены!$K$23,IF(Q42=Цены!$H$24,Цены!$K$24,IF(Q42=Цены!$H$25,Цены!$K$25,IF(Q42=Цены!$H$26,Цены!$K$26,IF(Q42=Цены!$H$27,Цены!$K$27,IF(Q42=Цены!$H$28,Цены!$K$28,IF(Q42=Цены!$H$29,Цены!$K$29,IF(Q42=Цены!$H$30,Цены!$K$30,IF(Q42=Цены!$H$31,Цены!$K$31,IF(Q42=Цены!$H$32,Цены!$K$32,IF(Q42=Цены!$H$33,Цены!$K$33,IF(Q42=Цены!$H$34,Цены!$K$34,IF(Q42=Цены!$H$35,Цены!$K$35,IF(Q42=Цены!$H$36,Цены!$K$36,IF(Q42=Цены!$H$37,Цены!$K$37,IF(Q42=Цены!$H$38,Цены!$K$38,IF(Q42=Цены!$H$39,Цены!$K$39,IF(Q42=Цены!$H$40,Цены!$K$40,IF(Q42=Цены!$H$41,Цены!$K$41,IF(Q42=Цены!$H$42,Цены!$K$42,IF(Q42=Цены!$H$43,Цены!$K$43,IF(Q42=Цены!$H$44,Цены!$K$44,IF(Q42=Цены!$H$45,Цены!$K$45,IF(Q42=Цены!$H$46,Цены!$K$46,IF(Q42=Цены!$H$47,Цены!$K$47,IF(Q42=Цены!$H$48,Цены!$K$48,IF(Q42=Цены!$H$49,Цены!$K$49,IF(Q42=Цены!$H$50,Цены!$K$50,IF(Q42=Цены!$H$51,Цены!$K$51,IF(Q42=Цены!$H$52,Цены!$K$52,IF(Q42=Цены!$H$53,Цены!$K$53,IF(Q42=Цены!$H$54,Цены!$K$54,IF(Q42=Цены!$H$55,Цены!$K$55))))))))))))))))))))))))))))))))))))))))))))))))))))))</f>
        <v>0</v>
      </c>
      <c r="V42" s="265"/>
      <c r="W42" s="265"/>
      <c r="X42" s="272"/>
      <c r="Y42" s="273"/>
      <c r="Z42" s="273"/>
      <c r="AA42" s="321"/>
      <c r="AB42" s="323"/>
      <c r="AC42" s="275"/>
      <c r="AD42" s="212" t="s">
        <v>89</v>
      </c>
      <c r="AE42" s="130">
        <v>9</v>
      </c>
      <c r="AF42" s="68">
        <f>IF(AD42=Цены!$H$3,Цены!$L$3,IF(AD42=Цены!$H$4,Цены!$L$4,IF(AD42=Цены!$H$5,Цены!$L$5,IF(AD42=Цены!$H$6,Цены!$L$6,IF(AD42=Цены!$H$7,Цены!$L$7,IF(AD42=Цены!$H$8,Цены!$L$8,IF(AD42=Цены!$H$9,Цены!$L$9,IF(AD42=Цены!$H$10,Цены!$L$10,IF(AD42=Цены!$H$11,Цены!$L$11,IF(AD42=Цены!$H$12,Цены!$L$12,IF(AD42=Цены!$H$13,Цены!$L$13,IF(AD42=Цены!$H$14,Цены!$L$14,IF(AD42=Цены!$H$14,Цены!$L$14,IF(AD42=Цены!$H$15,Цены!$L$15,IF(AD42=Цены!$H$16,Цены!$L$16,IF(AD42=Цены!$H$17,Цены!$L$17,IF(AD42=Цены!$H$18,Цены!$L$18,IF(AD42=Цены!$H$19,Цены!$L$19,IF(AD42=Цены!$H$20,Цены!$L$20,IF(AD42=Цены!$H$21,Цены!$L$21,IF(AD42=Цены!$H$22,Цены!$L$22,IF(AD42=Цены!$H$23,Цены!$L$23,IF(AD42=Цены!$H$24,Цены!$L$24,IF(AD42=Цены!$H$25,Цены!$L$25,IF(AD42=Цены!$H$26,Цены!$L$26,IF(AD42=Цены!$H$27,Цены!$L$27,IF(AD42=Цены!$H$28,Цены!$L$28,IF(AD42=Цены!$H$29,Цены!$L$29,IF(AD42=Цены!$H$30,Цены!$L$30,IF(AD42=Цены!$H$31,Цены!$L$31,IF(AD42=Цены!$H$32,Цены!$L$32,IF(AD42=Цены!$H$33,Цены!$L$33,IF(AD42=Цены!$H$34,Цены!$L$34,IF(AD42=Цены!$H$35,Цены!$L$35,IF(AD42=Цены!$H$36,Цены!$L$36,IF(AD42=Цены!$H$37,Цены!$L$37,IF(AD42=Цены!$H$38,Цены!$L$38,IF(AD42=Цены!$H$39,Цены!$L$39,IF(AD42=Цены!$H$40,Цены!$L$40,IF(AD42=Цены!$H$41,Цены!$L$41,IF(AD42=Цены!$H$42,Цены!$L$42,IF(AD42=Цены!$H$43,Цены!$L$43,IF(AD42=Цены!$H$44,Цены!$L$44,IF(AD42=Цены!$H$45,Цены!$L$45,IF(AD42=Цены!$H$46,Цены!$L$46,IF(AD42=Цены!$H$47,Цены!$L$47,IF(AD42=Цены!$H$48,Цены!$L$48,IF(AD42=Цены!$H$49,Цены!$L$49,IF(AD42=Цены!$H$50,Цены!$L$50,IF(AD42=Цены!$H$51,Цены!$L$51,IF(AD42=Цены!$H$52,Цены!$L$52,IF(AD42=Цены!$H$53,Цены!$L$53,IF(AD42=Цены!$H$54,Цены!$L$54,IF(AD42=Цены!$H$55,Цены!$L$55))))))))))))))))))))))))))))))))))))))))))))))))))))))</f>
        <v>1.1499999999999999</v>
      </c>
      <c r="AG42" s="311"/>
      <c r="AH42" s="69">
        <f>IF(AD42=Цены!$H$3,Цены!$K$3,IF(AD42=Цены!$H$4,Цены!$K$4,IF(AD42=Цены!$H$5,Цены!$K$5,IF(AD42=Цены!$H$6,Цены!$K$6,IF(AD42=Цены!$H$7,Цены!$K$7,IF(AD42=Цены!$H$8,Цены!$K$8,IF(AD42=Цены!$H$9,Цены!$K$9,IF(AD42=Цены!$H$10,Цены!$K$10,IF(AD42=Цены!$H$11,Цены!$K$11,IF(AD42=Цены!$H$12,Цены!$K$12,IF(AD42=Цены!$H$13,Цены!$K$13,IF(AD42=Цены!$H$14,Цены!$K$14,IF(AD42=Цены!$H$14,Цены!$K$14,IF(AD42=Цены!$H$15,Цены!$K$15,IF(AD42=Цены!$H$16,Цены!$K$16,IF(AD42=Цены!$H$17,Цены!$K$17,IF(AD42=Цены!$H$18,Цены!$K$18,IF(AD42=Цены!$H$19,Цены!$K$19,IF(AD42=Цены!$H$20,Цены!$K$20,IF(AD42=Цены!$H$21,Цены!$K$21,IF(AD42=Цены!$H$22,Цены!$K$22,IF(AD42=Цены!$H$23,Цены!$K$23,IF(AD42=Цены!$H$24,Цены!$K$24,IF(AD42=Цены!$H$25,Цены!$K$25,IF(AD42=Цены!$H$26,Цены!$K$26,IF(AD42=Цены!$H$27,Цены!$K$27,IF(AD42=Цены!$H$28,Цены!$K$28,IF(AD42=Цены!$H$29,Цены!$K$29,IF(AD42=Цены!$H$30,Цены!$K$30,IF(AD42=Цены!$H$31,Цены!$K$31,IF(AD42=Цены!$H$32,Цены!$K$32,IF(AD42=Цены!$H$33,Цены!$K$33,IF(AD42=Цены!$H$34,Цены!$K$34,IF(AD42=Цены!$H$35,Цены!$K$35,IF(AD42=Цены!$H$36,Цены!$K$36,IF(AD42=Цены!$H$37,Цены!$K$37,IF(AD42=Цены!$H$38,Цены!$K$38,IF(AD42=Цены!$H$39,Цены!$K$39,IF(AD42=Цены!$H$40,Цены!$K$40,IF(AD42=Цены!$H$41,Цены!$K$41,IF(AD42=Цены!$H$42,Цены!$K$42,IF(AD42=Цены!$H$43,Цены!$K$43,IF(AD42=Цены!$H$44,Цены!$K$44,IF(AD42=Цены!$H$45,Цены!$K$45,IF(AD42=Цены!$H$46,Цены!$K$46,IF(AD42=Цены!$H$47,Цены!$K$47,IF(AD42=Цены!$H$48,Цены!$K$48,IF(AD42=Цены!$H$49,Цены!$K$49,IF(AD42=Цены!$H$50,Цены!$K$50,IF(AD42=Цены!$H$51,Цены!$K$51,IF(AD42=Цены!$H$52,Цены!$K$52,IF(AD42=Цены!$H$53,Цены!$K$53,IF(AD42=Цены!$H$54,Цены!$K$54,IF(AD42=Цены!$H$55,Цены!$K$55))))))))))))))))))))))))))))))))))))))))))))))))))))))</f>
        <v>400</v>
      </c>
      <c r="AI42" s="265"/>
      <c r="AJ42" s="265"/>
      <c r="AK42" s="272"/>
      <c r="AL42" s="273"/>
      <c r="AM42" s="273"/>
      <c r="AN42" s="268"/>
      <c r="AO42" s="312"/>
      <c r="AP42" s="275"/>
      <c r="AQ42" s="211" t="s">
        <v>179</v>
      </c>
      <c r="AR42" s="131"/>
      <c r="AS42" s="80">
        <f>IF(AQ42=Цены!$H$3,Цены!$L$3,IF(AQ42=Цены!$H$4,Цены!$L$4,IF(AQ42=Цены!$H$5,Цены!$L$5,IF(AQ42=Цены!$H$6,Цены!$L$6,IF(AQ42=Цены!$H$7,Цены!$L$7,IF(AQ42=Цены!$H$8,Цены!$L$8,IF(AQ42=Цены!$H$9,Цены!$L$9,IF(AQ42=Цены!$H$10,Цены!$L$10,IF(AQ42=Цены!$H$11,Цены!$L$11,IF(AQ42=Цены!$H$12,Цены!$L$12,IF(AQ42=Цены!$H$13,Цены!$L$13,IF(AQ42=Цены!$H$14,Цены!$L$14,IF(AQ42=Цены!$H$14,Цены!$L$14,IF(AQ42=Цены!$H$15,Цены!$L$15,IF(AQ42=Цены!$H$16,Цены!$L$16,IF(AQ42=Цены!$H$17,Цены!$L$17,IF(AQ42=Цены!$H$18,Цены!$L$18,IF(AQ42=Цены!$H$19,Цены!$L$19,IF(AQ42=Цены!$H$20,Цены!$L$20,IF(AQ42=Цены!$H$21,Цены!$L$21,IF(AQ42=Цены!$H$22,Цены!$L$22,IF(AQ42=Цены!$H$23,Цены!$L$23,IF(AQ42=Цены!$H$24,Цены!$L$24,IF(AQ42=Цены!$H$25,Цены!$L$25,IF(AQ42=Цены!$H$26,Цены!$L$26,IF(AQ42=Цены!$H$27,Цены!$L$27,IF(AQ42=Цены!$H$28,Цены!$L$28,IF(AQ42=Цены!$H$29,Цены!$L$29,IF(AQ42=Цены!$H$30,Цены!$L$30,IF(AQ42=Цены!$H$31,Цены!$L$31,IF(AQ42=Цены!$H$32,Цены!$L$32,IF(AQ42=Цены!$H$33,Цены!$L$33,IF(AQ42=Цены!$H$34,Цены!$L$34,IF(AQ42=Цены!$H$35,Цены!$L$35,IF(AQ42=Цены!$H$36,Цены!$L$36,IF(AQ42=Цены!$H$37,Цены!$L$37,IF(AQ42=Цены!$H$38,Цены!$L$38,IF(AQ42=Цены!$H$39,Цены!$L$39,IF(AQ42=Цены!$H$40,Цены!$L$40,IF(AQ42=Цены!$H$41,Цены!$L$41,IF(AQ42=Цены!$H$42,Цены!$L$42,IF(AQ42=Цены!$H$43,Цены!$L$43,IF(AQ42=Цены!$H$44,Цены!$L$44,IF(AQ42=Цены!$H$45,Цены!$L$45,IF(AQ42=Цены!$H$46,Цены!$L$46,IF(AQ42=Цены!$H$47,Цены!$L$47,IF(AQ42=Цены!$H$48,Цены!$L$48,IF(AQ42=Цены!$H$49,Цены!$L$49,IF(AQ42=Цены!$H$50,Цены!$L$50,IF(AQ42=Цены!$H$51,Цены!$L$51,IF(AQ42=Цены!$H$52,Цены!$L$52,IF(AQ42=Цены!$H$53,Цены!$L$53,IF(AQ42=Цены!$H$54,Цены!$L$54,IF(AQ42=Цены!$H$55,Цены!$L$55))))))))))))))))))))))))))))))))))))))))))))))))))))))</f>
        <v>0</v>
      </c>
      <c r="AT42" s="271"/>
      <c r="AU42" s="81">
        <f>IF(AQ42=Цены!$H$3,Цены!$K$3,IF(AQ42=Цены!$H$4,Цены!$K$4,IF(AQ42=Цены!$H$5,Цены!$K$5,IF(AQ42=Цены!$H$6,Цены!$K$6,IF(AQ42=Цены!$H$7,Цены!$K$7,IF(AQ42=Цены!$H$8,Цены!$K$8,IF(AQ42=Цены!$H$9,Цены!$K$9,IF(AQ42=Цены!$H$10,Цены!$K$10,IF(AQ42=Цены!$H$11,Цены!$K$11,IF(AQ42=Цены!$H$12,Цены!$K$12,IF(AQ42=Цены!$H$13,Цены!$K$13,IF(AQ42=Цены!$H$14,Цены!$K$14,IF(AQ42=Цены!$H$14,Цены!$K$14,IF(AQ42=Цены!$H$15,Цены!$K$15,IF(AQ42=Цены!$H$16,Цены!$K$16,IF(AQ42=Цены!$H$17,Цены!$K$17,IF(AQ42=Цены!$H$18,Цены!$K$18,IF(AQ42=Цены!$H$19,Цены!$K$19,IF(AQ42=Цены!$H$20,Цены!$K$20,IF(AQ42=Цены!$H$21,Цены!$K$21,IF(AQ42=Цены!$H$22,Цены!$K$22,IF(AQ42=Цены!$H$23,Цены!$K$23,IF(AQ42=Цены!$H$24,Цены!$K$24,IF(AQ42=Цены!$H$25,Цены!$K$25,IF(AQ42=Цены!$H$26,Цены!$K$26,IF(AQ42=Цены!$H$27,Цены!$K$27,IF(AQ42=Цены!$H$28,Цены!$K$28,IF(AQ42=Цены!$H$29,Цены!$K$29,IF(AQ42=Цены!$H$30,Цены!$K$30,IF(AQ42=Цены!$H$31,Цены!$K$31,IF(AQ42=Цены!$H$32,Цены!$K$32,IF(AQ42=Цены!$H$33,Цены!$K$33,IF(AQ42=Цены!$H$34,Цены!$K$34,IF(AQ42=Цены!$H$35,Цены!$K$35,IF(AQ42=Цены!$H$36,Цены!$K$36,IF(AQ42=Цены!$H$37,Цены!$K$37,IF(AQ42=Цены!$H$38,Цены!$K$38,IF(AQ42=Цены!$H$39,Цены!$K$39,IF(AQ42=Цены!$H$40,Цены!$K$40,IF(AQ42=Цены!$H$41,Цены!$K$41,IF(AQ42=Цены!$H$42,Цены!$K$42,IF(AQ42=Цены!$H$43,Цены!$K$43,IF(AQ42=Цены!$H$44,Цены!$K$44,IF(AQ42=Цены!$H$45,Цены!$K$45,IF(AQ42=Цены!$H$46,Цены!$K$46,IF(AQ42=Цены!$H$47,Цены!$K$47,IF(AQ42=Цены!$H$48,Цены!$K$48,IF(AQ42=Цены!$H$49,Цены!$K$49,IF(AQ42=Цены!$H$50,Цены!$K$50,IF(AQ42=Цены!$H$51,Цены!$K$51,IF(AQ42=Цены!$H$52,Цены!$K$52,IF(AQ42=Цены!$H$53,Цены!$K$53,IF(AQ42=Цены!$H$54,Цены!$K$54,IF(AQ42=Цены!$H$55,Цены!$K$55))))))))))))))))))))))))))))))))))))))))))))))))))))))</f>
        <v>432</v>
      </c>
      <c r="AV42" s="265"/>
      <c r="AW42" s="265"/>
      <c r="AX42" s="272"/>
      <c r="AY42" s="273"/>
      <c r="AZ42" s="273"/>
      <c r="BA42" s="268"/>
      <c r="BB42" s="274"/>
      <c r="BC42" s="275"/>
      <c r="BD42" s="263"/>
      <c r="BE42" s="211"/>
      <c r="BF42" s="106"/>
      <c r="BG42" s="103" t="b">
        <f>IF(BE42=Цены!$H$3,Цены!$L$3,IF(BE42=Цены!$H$4,Цены!$L$4,IF(BE42=Цены!$H$5,Цены!$L$5,IF(BE42=Цены!$H$6,Цены!$L$6,IF(BE42=Цены!$H$7,Цены!$L$7,IF(BE42=Цены!$H$8,Цены!$L$8,IF(BE42=Цены!$H$9,Цены!$L$9,IF(BE42=Цены!$H$10,Цены!$L$10,IF(BE42=Цены!$H$11,Цены!$L$11,IF(BE42=Цены!$H$12,Цены!$L$12,IF(BE42=Цены!$H$13,Цены!$L$13,IF(BE42=Цены!$H$14,Цены!$L$14,IF(BE42=Цены!$H$14,Цены!$L$14,IF(BE42=Цены!$H$15,Цены!$L$15,IF(BE42=Цены!$H$16,Цены!$L$16,IF(BE42=Цены!$H$17,Цены!$L$17,IF(BE42=Цены!$H$18,Цены!$L$18,IF(BE42=Цены!$H$19,Цены!$L$19,IF(BE42=Цены!$H$20,Цены!$L$20,IF(BE42=Цены!$H$21,Цены!$L$21,IF(BE42=Цены!$H$22,Цены!$L$22,IF(BE42=Цены!$H$23,Цены!$L$23,IF(BE42=Цены!$H$24,Цены!$L$24,IF(BE42=Цены!$H$25,Цены!$L$25,IF(BE42=Цены!$H$26,Цены!$L$26,IF(BE42=Цены!$H$27,Цены!$L$27,IF(BE42=Цены!$H$28,Цены!$L$28,IF(BE42=Цены!$H$29,Цены!$L$29,IF(BE42=Цены!$H$30,Цены!$L$30,IF(BE42=Цены!$H$31,Цены!$L$31,IF(BE42=Цены!$H$32,Цены!$L$32,IF(BE42=Цены!$H$33,Цены!$L$33,IF(BE42=Цены!$H$34,Цены!$L$34,IF(BE42=Цены!$H$35,Цены!$L$35,IF(BE42=Цены!$H$36,Цены!$L$36,IF(BE42=Цены!$H$37,Цены!$L$37,IF(BE42=Цены!$H$38,Цены!$L$38,IF(BE42=Цены!$H$39,Цены!$L$39,IF(BE42=Цены!$H$40,Цены!$L$40,IF(BE42=Цены!$H$41,Цены!$L$41,IF(BE42=Цены!$H$42,Цены!$L$42,IF(BE42=Цены!$H$43,Цены!$L$43,IF(BE42=Цены!$H$44,Цены!$L$44,IF(BE42=Цены!$H$45,Цены!$L$45,IF(BE42=Цены!$H$46,Цены!$L$46,IF(BE42=Цены!$H$47,Цены!$L$47,IF(BE42=Цены!$H$48,Цены!$L$48,IF(BE42=Цены!$H$49,Цены!$L$49,IF(BE42=Цены!$H$50,Цены!$L$50,IF(BE42=Цены!$H$51,Цены!$L$51,IF(BE42=Цены!$H$52,Цены!$L$52,IF(BE42=Цены!$H$53,Цены!$L$53,IF(BE42=Цены!$H$54,Цены!$L$54,IF(BE42=Цены!$H$55,Цены!$L$55))))))))))))))))))))))))))))))))))))))))))))))))))))))</f>
        <v>0</v>
      </c>
      <c r="BH42" s="280"/>
      <c r="BI42" s="104" t="b">
        <f>IF(BE42=Цены!$H$3,Цены!$K$3,IF(BE42=Цены!$H$4,Цены!$K$4,IF(BE42=Цены!$H$5,Цены!$K$5,IF(BE42=Цены!$H$6,Цены!$K$6,IF(BE42=Цены!$H$7,Цены!$K$7,IF(BE42=Цены!$H$8,Цены!$K$8,IF(BE42=Цены!$H$9,Цены!$K$9,IF(BE42=Цены!$H$10,Цены!$K$10,IF(BE42=Цены!$H$11,Цены!$K$11,IF(BE42=Цены!$H$12,Цены!$K$12,IF(BE42=Цены!$H$13,Цены!$K$13,IF(BE42=Цены!$H$14,Цены!$K$14,IF(BE42=Цены!$H$14,Цены!$K$14,IF(BE42=Цены!$H$15,Цены!$K$15,IF(BE42=Цены!$H$16,Цены!$K$16,IF(BE42=Цены!$H$17,Цены!$K$17,IF(BE42=Цены!$H$18,Цены!$K$18,IF(BE42=Цены!$H$19,Цены!$K$19,IF(BE42=Цены!$H$20,Цены!$K$20,IF(BE42=Цены!$H$21,Цены!$K$21,IF(BE42=Цены!$H$22,Цены!$K$22,IF(BE42=Цены!$H$23,Цены!$K$23,IF(BE42=Цены!$H$24,Цены!$K$24,IF(BE42=Цены!$H$25,Цены!$K$25,IF(BE42=Цены!$H$26,Цены!$K$26,IF(BE42=Цены!$H$27,Цены!$K$27,IF(BE42=Цены!$H$28,Цены!$K$28,IF(BE42=Цены!$H$29,Цены!$K$29,IF(BE42=Цены!$H$30,Цены!$K$30,IF(BE42=Цены!$H$31,Цены!$K$31,IF(BE42=Цены!$H$32,Цены!$K$32,IF(BE42=Цены!$H$33,Цены!$K$33,IF(BE42=Цены!$H$34,Цены!$K$34,IF(BE42=Цены!$H$35,Цены!$K$35,IF(BE42=Цены!$H$36,Цены!$K$36,IF(BE42=Цены!$H$37,Цены!$K$37,IF(BE42=Цены!$H$38,Цены!$K$38,IF(BE42=Цены!$H$39,Цены!$K$39,IF(BE42=Цены!$H$40,Цены!$K$40,IF(BE42=Цены!$H$41,Цены!$K$41,IF(BE42=Цены!$H$42,Цены!$K$42,IF(BE42=Цены!$H$43,Цены!$K$43,IF(BE42=Цены!$H$44,Цены!$K$44,IF(BE42=Цены!$H$45,Цены!$K$45,IF(BE42=Цены!$H$46,Цены!$K$46,IF(BE42=Цены!$H$47,Цены!$K$47,IF(BE42=Цены!$H$48,Цены!$K$48,IF(BE42=Цены!$H$49,Цены!$K$49,IF(BE42=Цены!$H$50,Цены!$K$50,IF(BE42=Цены!$H$51,Цены!$K$51,IF(BE42=Цены!$H$52,Цены!$K$52,IF(BE42=Цены!$H$53,Цены!$K$53,IF(BE42=Цены!$H$54,Цены!$K$54,IF(BE42=Цены!$H$55,Цены!$K$55))))))))))))))))))))))))))))))))))))))))))))))))))))))</f>
        <v>0</v>
      </c>
      <c r="BJ42" s="265"/>
      <c r="BK42" s="265"/>
      <c r="BL42" s="272"/>
      <c r="BM42" s="273"/>
      <c r="BN42" s="273"/>
      <c r="BO42" s="268"/>
      <c r="BP42" s="281"/>
      <c r="BQ42" s="275"/>
      <c r="BR42" s="211"/>
      <c r="BS42" s="108"/>
      <c r="BT42" s="109" t="b">
        <f>IF(BR42=Цены!$H$3,Цены!$L$3,IF(BR42=Цены!$H$4,Цены!$L$4,IF(BR42=Цены!$H$5,Цены!$L$5,IF(BR42=Цены!$H$6,Цены!$L$6,IF(BR42=Цены!$H$7,Цены!$L$7,IF(BR42=Цены!$H$8,Цены!$L$8,IF(BR42=Цены!$H$9,Цены!$L$9,IF(BR42=Цены!$H$10,Цены!$L$10,IF(BR42=Цены!$H$11,Цены!$L$11,IF(BR42=Цены!$H$12,Цены!$L$12,IF(BR42=Цены!$H$13,Цены!$L$13,IF(BR42=Цены!$H$14,Цены!$L$14,IF(BR42=Цены!$H$14,Цены!$L$14,IF(BR42=Цены!$H$15,Цены!$L$15,IF(BR42=Цены!$H$16,Цены!$L$16,IF(BR42=Цены!$H$17,Цены!$L$17,IF(BR42=Цены!$H$18,Цены!$L$18,IF(BR42=Цены!$H$19,Цены!$L$19,IF(BR42=Цены!$H$20,Цены!$L$20,IF(BR42=Цены!$H$21,Цены!$L$21,IF(BR42=Цены!$H$22,Цены!$L$22,IF(BR42=Цены!$H$23,Цены!$L$23,IF(BR42=Цены!$H$24,Цены!$L$24,IF(BR42=Цены!$H$25,Цены!$L$25,IF(BR42=Цены!$H$26,Цены!$L$26,IF(BR42=Цены!$H$27,Цены!$L$27,IF(BR42=Цены!$H$28,Цены!$L$28,IF(BR42=Цены!$H$29,Цены!$L$29,IF(BR42=Цены!$H$30,Цены!$L$30,IF(BR42=Цены!$H$31,Цены!$L$31,IF(BR42=Цены!$H$32,Цены!$L$32,IF(BR42=Цены!$H$33,Цены!$L$33,IF(BR42=Цены!$H$34,Цены!$L$34,IF(BR42=Цены!$H$35,Цены!$L$35,IF(BR42=Цены!$H$36,Цены!$L$36,IF(BR42=Цены!$H$37,Цены!$L$37,IF(BR42=Цены!$H$38,Цены!$L$38,IF(BR42=Цены!$H$39,Цены!$L$39,IF(BR42=Цены!$H$40,Цены!$L$40,IF(BR42=Цены!$H$41,Цены!$L$41,IF(BR42=Цены!$H$42,Цены!$L$42,IF(BR42=Цены!$H$43,Цены!$L$43,IF(BR42=Цены!$H$44,Цены!$L$44,IF(BR42=Цены!$H$45,Цены!$L$45,IF(BR42=Цены!$H$46,Цены!$L$46,IF(BR42=Цены!$H$47,Цены!$L$47,IF(BR42=Цены!$H$48,Цены!$L$48,IF(BR42=Цены!$H$49,Цены!$L$49,IF(BR42=Цены!$H$50,Цены!$L$50,IF(BR42=Цены!$H$51,Цены!$L$51,IF(BR42=Цены!$H$52,Цены!$L$52,IF(BR42=Цены!$H$53,Цены!$L$53,IF(BR42=Цены!$H$54,Цены!$L$54,IF(BR42=Цены!$H$55,Цены!$L$55))))))))))))))))))))))))))))))))))))))))))))))))))))))</f>
        <v>0</v>
      </c>
      <c r="BU42" s="284"/>
      <c r="BV42" s="110" t="b">
        <f>IF(BR42=Цены!$H$3,Цены!$K$3,IF(BR42=Цены!$H$4,Цены!$K$4,IF(BR42=Цены!$H$5,Цены!$K$5,IF(BR42=Цены!$H$6,Цены!$K$6,IF(BR42=Цены!$H$7,Цены!$K$7,IF(BR42=Цены!$H$8,Цены!$K$8,IF(BR42=Цены!$H$9,Цены!$K$9,IF(BR42=Цены!$H$10,Цены!$K$10,IF(BR42=Цены!$H$11,Цены!$K$11,IF(BR42=Цены!$H$12,Цены!$K$12,IF(BR42=Цены!$H$13,Цены!$K$13,IF(BR42=Цены!$H$14,Цены!$K$14,IF(BR42=Цены!$H$14,Цены!$K$14,IF(BR42=Цены!$H$15,Цены!$K$15,IF(BR42=Цены!$H$16,Цены!$K$16,IF(BR42=Цены!$H$17,Цены!$K$17,IF(BR42=Цены!$H$18,Цены!$K$18,IF(BR42=Цены!$H$19,Цены!$K$19,IF(BR42=Цены!$H$20,Цены!$K$20,IF(BR42=Цены!$H$21,Цены!$K$21,IF(BR42=Цены!$H$22,Цены!$K$22,IF(BR42=Цены!$H$23,Цены!$K$23,IF(BR42=Цены!$H$24,Цены!$K$24,IF(BR42=Цены!$H$25,Цены!$K$25,IF(BR42=Цены!$H$26,Цены!$K$26,IF(BR42=Цены!$H$27,Цены!$K$27,IF(BR42=Цены!$H$28,Цены!$K$28,IF(BR42=Цены!$H$29,Цены!$K$29,IF(BR42=Цены!$H$30,Цены!$K$30,IF(BR42=Цены!$H$31,Цены!$K$31,IF(BR42=Цены!$H$32,Цены!$K$32,IF(BR42=Цены!$H$33,Цены!$K$33,IF(BR42=Цены!$H$34,Цены!$K$34,IF(BR42=Цены!$H$35,Цены!$K$35,IF(BR42=Цены!$H$36,Цены!$K$36,IF(BR42=Цены!$H$37,Цены!$K$37,IF(BR42=Цены!$H$38,Цены!$K$38,IF(BR42=Цены!$H$39,Цены!$K$39,IF(BR42=Цены!$H$40,Цены!$K$40,IF(BR42=Цены!$H$41,Цены!$K$41,IF(BR42=Цены!$H$42,Цены!$K$42,IF(BR42=Цены!$H$43,Цены!$K$43,IF(BR42=Цены!$H$44,Цены!$K$44,IF(BR42=Цены!$H$45,Цены!$K$45,IF(BR42=Цены!$H$46,Цены!$K$46,IF(BR42=Цены!$H$47,Цены!$K$47,IF(BR42=Цены!$H$48,Цены!$K$48,IF(BR42=Цены!$H$49,Цены!$K$49,IF(BR42=Цены!$H$50,Цены!$K$50,IF(BR42=Цены!$H$51,Цены!$K$51,IF(BR42=Цены!$H$52,Цены!$K$52,IF(BR42=Цены!$H$53,Цены!$K$53,IF(BR42=Цены!$H$54,Цены!$K$54,IF(BR42=Цены!$H$55,Цены!$K$55))))))))))))))))))))))))))))))))))))))))))))))))))))))</f>
        <v>0</v>
      </c>
      <c r="BW42" s="265"/>
      <c r="BX42" s="265"/>
      <c r="BY42" s="272"/>
      <c r="BZ42" s="273"/>
      <c r="CA42" s="273"/>
      <c r="CB42" s="268"/>
      <c r="CC42" s="285"/>
      <c r="CD42" s="275"/>
      <c r="CE42" s="183" t="s">
        <v>121</v>
      </c>
      <c r="CF42" s="112">
        <v>2</v>
      </c>
      <c r="CG42" s="113">
        <f>IF(CE42=Цены!$H$3,Цены!$L$3,IF(CE42=Цены!$H$4,Цены!$L$4,IF(CE42=Цены!$H$5,Цены!$L$5,IF(CE42=Цены!$H$6,Цены!$L$6,IF(CE42=Цены!$H$7,Цены!$L$7,IF(CE42=Цены!$H$8,Цены!$L$8,IF(CE42=Цены!$H$9,Цены!$L$9,IF(CE42=Цены!$H$10,Цены!$L$10,IF(CE42=Цены!$H$11,Цены!$L$11,IF(CE42=Цены!$H$12,Цены!$L$12,IF(CE42=Цены!$H$13,Цены!$L$13,IF(CE42=Цены!$H$14,Цены!$L$14,IF(CE42=Цены!$H$14,Цены!$L$14,IF(CE42=Цены!$H$15,Цены!$L$15,IF(CE42=Цены!$H$16,Цены!$L$16,IF(CE42=Цены!$H$17,Цены!$L$17,IF(CE42=Цены!$H$18,Цены!$L$18,IF(CE42=Цены!$H$19,Цены!$L$19,IF(CE42=Цены!$H$20,Цены!$L$20,IF(CE42=Цены!$H$21,Цены!$L$21,IF(CE42=Цены!$H$22,Цены!$L$22,IF(CE42=Цены!$H$23,Цены!$L$23,IF(CE42=Цены!$H$24,Цены!$L$24,IF(CE42=Цены!$H$25,Цены!$L$25,IF(CE42=Цены!$H$26,Цены!$L$26,IF(CE42=Цены!$H$27,Цены!$L$27,IF(CE42=Цены!$H$28,Цены!$L$28,IF(CE42=Цены!$H$29,Цены!$L$29,IF(CE42=Цены!$H$30,Цены!$L$30,IF(CE42=Цены!$H$31,Цены!$L$31,IF(CE42=Цены!$H$32,Цены!$L$32,IF(CE42=Цены!$H$33,Цены!$L$33,IF(CE42=Цены!$H$34,Цены!$L$34,IF(CE42=Цены!$H$35,Цены!$L$35,IF(CE42=Цены!$H$36,Цены!$L$36,IF(CE42=Цены!$H$37,Цены!$L$37,IF(CE42=Цены!$H$38,Цены!$L$38,IF(CE42=Цены!$H$39,Цены!$L$39,IF(CE42=Цены!$H$40,Цены!$L$40,IF(CE42=Цены!$H$41,Цены!$L$41,IF(CE42=Цены!$H$42,Цены!$L$42,IF(CE42=Цены!$H$43,Цены!$L$43,IF(CE42=Цены!$H$44,Цены!$L$44,IF(CE42=Цены!$H$45,Цены!$L$45,IF(CE42=Цены!$H$46,Цены!$L$46,IF(CE42=Цены!$H$47,Цены!$L$47,IF(CE42=Цены!$H$48,Цены!$L$48,IF(CE42=Цены!$H$49,Цены!$L$49,IF(CE42=Цены!$H$50,Цены!$L$50,IF(CE42=Цены!$H$51,Цены!$L$51,IF(CE42=Цены!$H$52,Цены!$L$52,IF(CE42=Цены!$H$53,Цены!$L$53,IF(CE42=Цены!$H$54,Цены!$L$54,IF(CE42=Цены!$H$55,Цены!$L$55))))))))))))))))))))))))))))))))))))))))))))))))))))))</f>
        <v>1.32E-2</v>
      </c>
      <c r="CH42" s="282"/>
      <c r="CI42" s="114">
        <f>IF(CE42=Цены!$H$3,Цены!$K$3,IF(CE42=Цены!$H$4,Цены!$K$4,IF(CE42=Цены!$H$5,Цены!$K$5,IF(CE42=Цены!$H$6,Цены!$K$6,IF(CE42=Цены!$H$7,Цены!$K$7,IF(CE42=Цены!$H$8,Цены!$K$8,IF(CE42=Цены!$H$9,Цены!$K$9,IF(CE42=Цены!$H$10,Цены!$K$10,IF(CE42=Цены!$H$11,Цены!$K$11,IF(CE42=Цены!$H$12,Цены!$K$12,IF(CE42=Цены!$H$13,Цены!$K$13,IF(CE42=Цены!$H$14,Цены!$K$14,IF(CE42=Цены!$H$14,Цены!$K$14,IF(CE42=Цены!$H$15,Цены!$K$15,IF(CE42=Цены!$H$16,Цены!$K$16,IF(CE42=Цены!$H$17,Цены!$K$17,IF(CE42=Цены!$H$18,Цены!$K$18,IF(CE42=Цены!$H$19,Цены!$K$19,IF(CE42=Цены!$H$20,Цены!$K$20,IF(CE42=Цены!$H$21,Цены!$K$21,IF(CE42=Цены!$H$22,Цены!$K$22,IF(CE42=Цены!$H$23,Цены!$K$23,IF(CE42=Цены!$H$24,Цены!$K$24,IF(CE42=Цены!$H$25,Цены!$K$25,IF(CE42=Цены!$H$26,Цены!$K$26,IF(CE42=Цены!$H$27,Цены!$K$27,IF(CE42=Цены!$H$28,Цены!$K$28,IF(CE42=Цены!$H$29,Цены!$K$29,IF(CE42=Цены!$H$30,Цены!$K$30,IF(CE42=Цены!$H$31,Цены!$K$31,IF(CE42=Цены!$H$32,Цены!$K$32,IF(CE42=Цены!$H$33,Цены!$K$33,IF(CE42=Цены!$H$34,Цены!$K$34,IF(CE42=Цены!$H$35,Цены!$K$35,IF(CE42=Цены!$H$36,Цены!$K$36,IF(CE42=Цены!$H$37,Цены!$K$37,IF(CE42=Цены!$H$38,Цены!$K$38,IF(CE42=Цены!$H$39,Цены!$K$39,IF(CE42=Цены!$H$40,Цены!$K$40,IF(CE42=Цены!$H$41,Цены!$K$41,IF(CE42=Цены!$H$42,Цены!$K$42,IF(CE42=Цены!$H$43,Цены!$K$43,IF(CE42=Цены!$H$44,Цены!$K$44,IF(CE42=Цены!$H$45,Цены!$K$45,IF(CE42=Цены!$H$46,Цены!$K$46,IF(CE42=Цены!$H$47,Цены!$K$47,IF(CE42=Цены!$H$48,Цены!$K$48,IF(CE42=Цены!$H$49,Цены!$K$49,IF(CE42=Цены!$H$50,Цены!$K$50,IF(CE42=Цены!$H$51,Цены!$K$51,IF(CE42=Цены!$H$52,Цены!$K$52,IF(CE42=Цены!$H$53,Цены!$K$53,IF(CE42=Цены!$H$54,Цены!$K$54,IF(CE42=Цены!$H$55,Цены!$K$55))))))))))))))))))))))))))))))))))))))))))))))))))))))</f>
        <v>54</v>
      </c>
      <c r="CJ42" s="265"/>
      <c r="CK42" s="265"/>
      <c r="CL42" s="272"/>
      <c r="CM42" s="273"/>
      <c r="CN42" s="273"/>
      <c r="CO42" s="268"/>
      <c r="CP42" s="283"/>
      <c r="CQ42" s="275"/>
    </row>
    <row r="43" spans="1:95" ht="15.75" hidden="1" customHeight="1" x14ac:dyDescent="0.25">
      <c r="A43" s="340" t="s">
        <v>109</v>
      </c>
      <c r="B43" s="265" t="s">
        <v>112</v>
      </c>
      <c r="C43" s="265" t="s">
        <v>113</v>
      </c>
      <c r="D43" s="26" t="s">
        <v>62</v>
      </c>
      <c r="E43" s="25">
        <v>8</v>
      </c>
      <c r="F43" s="27" t="b">
        <f>IF(D43=Цены!$H$3,Цены!$L$3,IF(D43=Цены!$H$4,Цены!$L$4,IF(D43=Цены!$H$5,Цены!$L$5,IF(D43=Цены!$H$6,Цены!$L$6,IF(D43=Цены!$H$7,Цены!$L$7,IF(D43=Цены!$H$8,Цены!$L$8,IF(D43=Цены!$H$9,Цены!$L$9,IF(D43=Цены!$H$10,Цены!$L$10,IF(D43=Цены!$H$11,Цены!$L$11,IF(D43=Цены!$H$12,Цены!$L$12,IF(D43=Цены!$H$13,Цены!$L$13,IF(D43=Цены!$H$14,Цены!$L$14,IF(D43=Цены!$H$14,Цены!$L$14,IF(D43=Цены!$H$15,Цены!$L$15,IF(D43=Цены!$H$16,Цены!$L$16,IF(D43=Цены!$H$17,Цены!$L$17,IF(D43=Цены!$H$18,Цены!$L$18,IF(D43=Цены!$H$19,Цены!$L$19,IF(D43=Цены!$H$20,Цены!$L$20,IF(D43=Цены!$H$21,Цены!$L$21,IF(D43=Цены!$H$22,Цены!$L$22,IF(D43=Цены!$H$23,Цены!$L$23,IF(D43=Цены!$H$24,Цены!$L$24,IF(D43=Цены!$H$25,Цены!$L$25,IF(D43=Цены!$H$26,Цены!$L$26,IF(D43=Цены!$H$27,Цены!$L$27,IF(D43=Цены!$H$28,Цены!$L$28,IF(D43=Цены!$H$29,Цены!$L$29,IF(D43=Цены!$H$30,Цены!$L$30,IF(D43=Цены!$H$31,Цены!$L$31,IF(D43=Цены!$H$32,Цены!$L$32,IF(D43=Цены!$H$33,Цены!$L$33,IF(D43=Цены!$H$34,Цены!$L$34,IF(D43=Цены!$H$35,Цены!$L$35,IF(D43=Цены!$H$36,Цены!$L$36,IF(D43=Цены!$H$37,Цены!$L$37,IF(D43=Цены!$H$38,Цены!$L$38,IF(D43=Цены!$H$39,Цены!$L$39,IF(D43=Цены!$H$40,Цены!$L$40,IF(D43=Цены!$H$41,Цены!$L$41,IF(D43=Цены!$H$42,Цены!$L$42,IF(D43=Цены!$H$43,Цены!$L$43,IF(D43=Цены!$H$44,Цены!$L$44,IF(D43=Цены!$H$45,Цены!$L$45,IF(D43=Цены!$H$46,Цены!$L$46,IF(D43=Цены!$H$47,Цены!$L$47,IF(D43=Цены!$H$48,Цены!$L$48,IF(D43=Цены!$H$49,Цены!$L$49,IF(D43=Цены!$H$50,Цены!$L$50,IF(D43=Цены!$H$51,Цены!$L$51,IF(D43=Цены!$H$52,Цены!$L$52,IF(D43=Цены!$H$53,Цены!$L$53,IF(D43=Цены!$H$54,Цены!$L$54,IF(D43=Цены!$H$55,Цены!$L$55))))))))))))))))))))))))))))))))))))))))))))))))))))))</f>
        <v>0</v>
      </c>
      <c r="G43" s="309">
        <f>E43*F43+E44*F44+E45*F45+E46*F46</f>
        <v>5.8128000000000002</v>
      </c>
      <c r="H43" s="28" t="b">
        <f>IF(D43=Цены!$H$3,Цены!$K$3,IF(D43=Цены!$H$4,Цены!$K$4,IF(D43=Цены!$H$5,Цены!$K$5,IF(D43=Цены!$H$6,Цены!$K$6,IF(D43=Цены!$H$7,Цены!$K$7,IF(D43=Цены!$H$8,Цены!$K$8,IF(D43=Цены!$H$9,Цены!$K$9,IF(D43=Цены!$H$10,Цены!$K$10,IF(D43=Цены!$H$11,Цены!$K$11,IF(D43=Цены!$H$12,Цены!$K$12,IF(D43=Цены!$H$13,Цены!$K$13,IF(D43=Цены!$H$14,Цены!$K$14,IF(D43=Цены!$H$14,Цены!$K$14,IF(D43=Цены!$H$15,Цены!$K$15,IF(D43=Цены!$H$16,Цены!$K$16,IF(D43=Цены!$H$17,Цены!$K$17,IF(D43=Цены!$H$18,Цены!$K$18,IF(D43=Цены!$H$19,Цены!$K$19,IF(D43=Цены!$H$20,Цены!$K$20,IF(D43=Цены!$H$21,Цены!$K$21,IF(D43=Цены!$H$22,Цены!$K$22,IF(D43=Цены!$H$23,Цены!$K$23,IF(D43=Цены!$H$24,Цены!$K$24,IF(D43=Цены!$H$25,Цены!$K$25,IF(D43=Цены!$H$26,Цены!$K$26,IF(D43=Цены!$H$27,Цены!$K$27,IF(D43=Цены!$H$28,Цены!$K$28,IF(D43=Цены!$H$29,Цены!$K$29,IF(D43=Цены!$H$30,Цены!$K$30,IF(D43=Цены!$H$31,Цены!$K$31,IF(D43=Цены!$H$32,Цены!$K$32,IF(D43=Цены!$H$33,Цены!$K$33,IF(D43=Цены!$H$34,Цены!$K$34,IF(D43=Цены!$H$35,Цены!$K$35,IF(D43=Цены!$H$36,Цены!$K$36,IF(D43=Цены!$H$37,Цены!$K$37,IF(D43=Цены!$H$38,Цены!$K$38,IF(D43=Цены!$H$39,Цены!$K$39,IF(D43=Цены!$H$40,Цены!$K$40,IF(D43=Цены!$H$41,Цены!$K$41,IF(D43=Цены!$H$42,Цены!$K$42,IF(D43=Цены!$H$43,Цены!$K$43,IF(D43=Цены!$H$44,Цены!$K$44,IF(D43=Цены!$H$45,Цены!$K$45,IF(D43=Цены!$H$46,Цены!$K$46,IF(D43=Цены!$H$47,Цены!$K$47,IF(D43=Цены!$H$48,Цены!$K$48,IF(D43=Цены!$H$49,Цены!$K$49,IF(D43=Цены!$H$50,Цены!$K$50,IF(D43=Цены!$H$51,Цены!$K$51,IF(D43=Цены!$H$52,Цены!$K$52,IF(D43=Цены!$H$53,Цены!$K$53,IF(D43=Цены!$H$54,Цены!$K$54,IF(D43=Цены!$H$55,Цены!$K$55))))))))))))))))))))))))))))))))))))))))))))))))))))))</f>
        <v>0</v>
      </c>
      <c r="I43" s="265">
        <v>4</v>
      </c>
      <c r="J43" s="265">
        <v>800</v>
      </c>
      <c r="K43" s="310">
        <f t="shared" ref="K43" si="70">E43*H43+E44*H44+E45*H45+E46*H46</f>
        <v>3874</v>
      </c>
      <c r="L43" s="265">
        <f>$I$43*$J$43</f>
        <v>3200</v>
      </c>
      <c r="M43" s="310">
        <f t="shared" ref="M43" si="71">K43+L43</f>
        <v>7074</v>
      </c>
      <c r="N43" s="265">
        <f t="shared" ref="N43" si="72">I43*J43*1.1</f>
        <v>3520.0000000000005</v>
      </c>
      <c r="O43" s="310">
        <f>N43/M43*100</f>
        <v>49.759683347469611</v>
      </c>
      <c r="P43" s="313">
        <f>MROUND(M43+N43,500)</f>
        <v>10500</v>
      </c>
      <c r="Q43" s="123" t="s">
        <v>142</v>
      </c>
      <c r="R43" s="30">
        <v>9</v>
      </c>
      <c r="S43" s="27" t="b">
        <f>IF(Q43=Цены!$H$3,Цены!$L$3,IF(Q43=Цены!$H$4,Цены!$L$4,IF(Q43=Цены!$H$5,Цены!$L$5,IF(Q43=Цены!$H$6,Цены!$L$6,IF(Q43=Цены!$H$7,Цены!$L$7,IF(Q43=Цены!$H$8,Цены!$L$8,IF(Q43=Цены!$H$9,Цены!$L$9,IF(Q43=Цены!$H$10,Цены!$L$10,IF(Q43=Цены!$H$11,Цены!$L$11,IF(Q43=Цены!$H$12,Цены!$L$12,IF(Q43=Цены!$H$13,Цены!$L$13,IF(Q43=Цены!$H$14,Цены!$L$14,IF(Q43=Цены!$H$14,Цены!$L$14,IF(Q43=Цены!$H$15,Цены!$L$15,IF(Q43=Цены!$H$16,Цены!$L$16,IF(Q43=Цены!$H$17,Цены!$L$17,IF(Q43=Цены!$H$18,Цены!$L$18,IF(Q43=Цены!$H$19,Цены!$L$19,IF(Q43=Цены!$H$20,Цены!$L$20,IF(Q43=Цены!$H$21,Цены!$L$21,IF(Q43=Цены!$H$22,Цены!$L$22,IF(Q43=Цены!$H$23,Цены!$L$23,IF(Q43=Цены!$H$24,Цены!$L$24,IF(Q43=Цены!$H$25,Цены!$L$25,IF(Q43=Цены!$H$26,Цены!$L$26,IF(Q43=Цены!$H$27,Цены!$L$27,IF(Q43=Цены!$H$28,Цены!$L$28,IF(Q43=Цены!$H$29,Цены!$L$29,IF(Q43=Цены!$H$30,Цены!$L$30,IF(Q43=Цены!$H$31,Цены!$L$31,IF(Q43=Цены!$H$32,Цены!$L$32,IF(Q43=Цены!$H$33,Цены!$L$33,IF(Q43=Цены!$H$34,Цены!$L$34,IF(Q43=Цены!$H$35,Цены!$L$35,IF(Q43=Цены!$H$36,Цены!$L$36,IF(Q43=Цены!$H$37,Цены!$L$37,IF(Q43=Цены!$H$38,Цены!$L$38,IF(Q43=Цены!$H$39,Цены!$L$39,IF(Q43=Цены!$H$40,Цены!$L$40,IF(Q43=Цены!$H$41,Цены!$L$41,IF(Q43=Цены!$H$42,Цены!$L$42,IF(Q43=Цены!$H$43,Цены!$L$43,IF(Q43=Цены!$H$44,Цены!$L$44,IF(Q43=Цены!$H$45,Цены!$L$45,IF(Q43=Цены!$H$46,Цены!$L$46,IF(Q43=Цены!$H$47,Цены!$L$47,IF(Q43=Цены!$H$48,Цены!$L$48,IF(Q43=Цены!$H$49,Цены!$L$49,IF(Q43=Цены!$H$50,Цены!$L$50,IF(Q43=Цены!$H$51,Цены!$L$51,IF(Q43=Цены!$H$52,Цены!$L$52,IF(Q43=Цены!$H$53,Цены!$L$53,IF(Q43=Цены!$H$54,Цены!$L$54,IF(Q43=Цены!$H$55,Цены!$L$55))))))))))))))))))))))))))))))))))))))))))))))))))))))</f>
        <v>0</v>
      </c>
      <c r="T43" s="309">
        <f>R43*S43+R44*S44+R45*S45+R46*S46</f>
        <v>3.2</v>
      </c>
      <c r="U43" s="162" t="b">
        <f>IF(Q43=Цены!$H$3,Цены!$K$3,IF(Q43=Цены!$H$4,Цены!$K$4,IF(Q43=Цены!$H$5,Цены!$K$5,IF(Q43=Цены!$H$6,Цены!$K$6,IF(Q43=Цены!$H$7,Цены!$K$7,IF(Q43=Цены!$H$8,Цены!$K$8,IF(Q43=Цены!$H$9,Цены!$K$9,IF(Q43=Цены!$H$10,Цены!$K$10,IF(Q43=Цены!$H$11,Цены!$K$11,IF(Q43=Цены!$H$12,Цены!$K$12,IF(Q43=Цены!$H$13,Цены!$K$13,IF(Q43=Цены!$H$14,Цены!$K$14,IF(Q43=Цены!$H$14,Цены!$K$14,IF(Q43=Цены!$H$15,Цены!$K$15,IF(Q43=Цены!$H$16,Цены!$K$16,IF(Q43=Цены!$H$17,Цены!$K$17,IF(Q43=Цены!$H$18,Цены!$K$18,IF(Q43=Цены!$H$19,Цены!$K$19,IF(Q43=Цены!$H$20,Цены!$K$20,IF(Q43=Цены!$H$21,Цены!$K$21,IF(Q43=Цены!$H$22,Цены!$K$22,IF(Q43=Цены!$H$23,Цены!$K$23,IF(Q43=Цены!$H$24,Цены!$K$24,IF(Q43=Цены!$H$25,Цены!$K$25,IF(Q43=Цены!$H$26,Цены!$K$26,IF(Q43=Цены!$H$27,Цены!$K$27,IF(Q43=Цены!$H$28,Цены!$K$28,IF(Q43=Цены!$H$29,Цены!$K$29,IF(Q43=Цены!$H$30,Цены!$K$30,IF(Q43=Цены!$H$31,Цены!$K$31,IF(Q43=Цены!$H$32,Цены!$K$32,IF(Q43=Цены!$H$33,Цены!$K$33,IF(Q43=Цены!$H$34,Цены!$K$34,IF(Q43=Цены!$H$35,Цены!$K$35,IF(Q43=Цены!$H$36,Цены!$K$36,IF(Q43=Цены!$H$37,Цены!$K$37,IF(Q43=Цены!$H$38,Цены!$K$38,IF(Q43=Цены!$H$39,Цены!$K$39,IF(Q43=Цены!$H$40,Цены!$K$40,IF(Q43=Цены!$H$41,Цены!$K$41,IF(Q43=Цены!$H$42,Цены!$K$42,IF(Q43=Цены!$H$43,Цены!$K$43,IF(Q43=Цены!$H$44,Цены!$K$44,IF(Q43=Цены!$H$45,Цены!$K$45,IF(Q43=Цены!$H$46,Цены!$K$46,IF(Q43=Цены!$H$47,Цены!$K$47,IF(Q43=Цены!$H$48,Цены!$K$48,IF(Q43=Цены!$H$49,Цены!$K$49,IF(Q43=Цены!$H$50,Цены!$K$50,IF(Q43=Цены!$H$51,Цены!$K$51,IF(Q43=Цены!$H$52,Цены!$K$52,IF(Q43=Цены!$H$53,Цены!$K$53,IF(Q43=Цены!$H$54,Цены!$K$54,IF(Q43=Цены!$H$55,Цены!$K$55))))))))))))))))))))))))))))))))))))))))))))))))))))))</f>
        <v>0</v>
      </c>
      <c r="V43" s="265">
        <v>4</v>
      </c>
      <c r="W43" s="265">
        <v>800</v>
      </c>
      <c r="X43" s="310">
        <f>R43*U43+R44*U44+R45*U45+R46*U46</f>
        <v>1560</v>
      </c>
      <c r="Y43" s="265">
        <f>V43*W43</f>
        <v>3200</v>
      </c>
      <c r="Z43" s="310">
        <f>X43+Y43</f>
        <v>4760</v>
      </c>
      <c r="AA43" s="265">
        <f>V43*W43*1.1</f>
        <v>3520.0000000000005</v>
      </c>
      <c r="AB43" s="310">
        <f>AA43/Z43*100</f>
        <v>73.949579831932795</v>
      </c>
      <c r="AC43" s="313">
        <f>MROUND(Z43+AA43,500)</f>
        <v>8500</v>
      </c>
      <c r="AD43" s="134" t="s">
        <v>63</v>
      </c>
      <c r="AE43" s="128">
        <v>7</v>
      </c>
      <c r="AF43" s="27" t="b">
        <f>IF(AD43=Цены!$H$3,Цены!$L$3,IF(AD43=Цены!$H$4,Цены!$L$4,IF(AD43=Цены!$H$5,Цены!$L$5,IF(AD43=Цены!$H$6,Цены!$L$6,IF(AD43=Цены!$H$7,Цены!$L$7,IF(AD43=Цены!$H$8,Цены!$L$8,IF(AD43=Цены!$H$9,Цены!$L$9,IF(AD43=Цены!$H$10,Цены!$L$10,IF(AD43=Цены!$H$11,Цены!$L$11,IF(AD43=Цены!$H$12,Цены!$L$12,IF(AD43=Цены!$H$13,Цены!$L$13,IF(AD43=Цены!$H$14,Цены!$L$14,IF(AD43=Цены!$H$14,Цены!$L$14,IF(AD43=Цены!$H$15,Цены!$L$15,IF(AD43=Цены!$H$16,Цены!$L$16,IF(AD43=Цены!$H$17,Цены!$L$17,IF(AD43=Цены!$H$18,Цены!$L$18,IF(AD43=Цены!$H$19,Цены!$L$19,IF(AD43=Цены!$H$20,Цены!$L$20,IF(AD43=Цены!$H$21,Цены!$L$21,IF(AD43=Цены!$H$22,Цены!$L$22,IF(AD43=Цены!$H$23,Цены!$L$23,IF(AD43=Цены!$H$24,Цены!$L$24,IF(AD43=Цены!$H$25,Цены!$L$25,IF(AD43=Цены!$H$26,Цены!$L$26,IF(AD43=Цены!$H$27,Цены!$L$27,IF(AD43=Цены!$H$28,Цены!$L$28,IF(AD43=Цены!$H$29,Цены!$L$29,IF(AD43=Цены!$H$30,Цены!$L$30,IF(AD43=Цены!$H$31,Цены!$L$31,IF(AD43=Цены!$H$32,Цены!$L$32,IF(AD43=Цены!$H$33,Цены!$L$33,IF(AD43=Цены!$H$34,Цены!$L$34,IF(AD43=Цены!$H$35,Цены!$L$35,IF(AD43=Цены!$H$36,Цены!$L$36,IF(AD43=Цены!$H$37,Цены!$L$37,IF(AD43=Цены!$H$38,Цены!$L$38,IF(AD43=Цены!$H$39,Цены!$L$39,IF(AD43=Цены!$H$40,Цены!$L$40,IF(AD43=Цены!$H$41,Цены!$L$41,IF(AD43=Цены!$H$42,Цены!$L$42,IF(AD43=Цены!$H$43,Цены!$L$43,IF(AD43=Цены!$H$44,Цены!$L$44,IF(AD43=Цены!$H$45,Цены!$L$45,IF(AD43=Цены!$H$46,Цены!$L$46,IF(AD43=Цены!$H$47,Цены!$L$47,IF(AD43=Цены!$H$48,Цены!$L$48,IF(AD43=Цены!$H$49,Цены!$L$49,IF(AD43=Цены!$H$50,Цены!$L$50,IF(AD43=Цены!$H$51,Цены!$L$51,IF(AD43=Цены!$H$52,Цены!$L$52,IF(AD43=Цены!$H$53,Цены!$L$53,IF(AD43=Цены!$H$54,Цены!$L$54,IF(AD43=Цены!$H$55,Цены!$L$55))))))))))))))))))))))))))))))))))))))))))))))))))))))</f>
        <v>0</v>
      </c>
      <c r="AG43" s="309">
        <f>AE43*AF43+AE44*AF44+AE45*AF45+AE46*AF46</f>
        <v>16.63</v>
      </c>
      <c r="AH43" s="28" t="b">
        <f>IF(AD43=Цены!$H$3,Цены!$K$3,IF(AD43=Цены!$H$4,Цены!$K$4,IF(AD43=Цены!$H$5,Цены!$K$5,IF(AD43=Цены!$H$6,Цены!$K$6,IF(AD43=Цены!$H$7,Цены!$K$7,IF(AD43=Цены!$H$8,Цены!$K$8,IF(AD43=Цены!$H$9,Цены!$K$9,IF(AD43=Цены!$H$10,Цены!$K$10,IF(AD43=Цены!$H$11,Цены!$K$11,IF(AD43=Цены!$H$12,Цены!$K$12,IF(AD43=Цены!$H$13,Цены!$K$13,IF(AD43=Цены!$H$14,Цены!$K$14,IF(AD43=Цены!$H$14,Цены!$K$14,IF(AD43=Цены!$H$15,Цены!$K$15,IF(AD43=Цены!$H$16,Цены!$K$16,IF(AD43=Цены!$H$17,Цены!$K$17,IF(AD43=Цены!$H$18,Цены!$K$18,IF(AD43=Цены!$H$19,Цены!$K$19,IF(AD43=Цены!$H$20,Цены!$K$20,IF(AD43=Цены!$H$21,Цены!$K$21,IF(AD43=Цены!$H$22,Цены!$K$22,IF(AD43=Цены!$H$23,Цены!$K$23,IF(AD43=Цены!$H$24,Цены!$K$24,IF(AD43=Цены!$H$25,Цены!$K$25,IF(AD43=Цены!$H$26,Цены!$K$26,IF(AD43=Цены!$H$27,Цены!$K$27,IF(AD43=Цены!$H$28,Цены!$K$28,IF(AD43=Цены!$H$29,Цены!$K$29,IF(AD43=Цены!$H$30,Цены!$K$30,IF(AD43=Цены!$H$31,Цены!$K$31,IF(AD43=Цены!$H$32,Цены!$K$32,IF(AD43=Цены!$H$33,Цены!$K$33,IF(AD43=Цены!$H$34,Цены!$K$34,IF(AD43=Цены!$H$35,Цены!$K$35,IF(AD43=Цены!$H$36,Цены!$K$36,IF(AD43=Цены!$H$37,Цены!$K$37,IF(AD43=Цены!$H$38,Цены!$K$38,IF(AD43=Цены!$H$39,Цены!$K$39,IF(AD43=Цены!$H$40,Цены!$K$40,IF(AD43=Цены!$H$41,Цены!$K$41,IF(AD43=Цены!$H$42,Цены!$K$42,IF(AD43=Цены!$H$43,Цены!$K$43,IF(AD43=Цены!$H$44,Цены!$K$44,IF(AD43=Цены!$H$45,Цены!$K$45,IF(AD43=Цены!$H$46,Цены!$K$46,IF(AD43=Цены!$H$47,Цены!$K$47,IF(AD43=Цены!$H$48,Цены!$K$48,IF(AD43=Цены!$H$49,Цены!$K$49,IF(AD43=Цены!$H$50,Цены!$K$50,IF(AD43=Цены!$H$51,Цены!$K$51,IF(AD43=Цены!$H$52,Цены!$K$52,IF(AD43=Цены!$H$53,Цены!$K$53,IF(AD43=Цены!$H$54,Цены!$K$54,IF(AD43=Цены!$H$55,Цены!$K$55))))))))))))))))))))))))))))))))))))))))))))))))))))))</f>
        <v>0</v>
      </c>
      <c r="AI43" s="265">
        <v>6.5</v>
      </c>
      <c r="AJ43" s="265">
        <v>800</v>
      </c>
      <c r="AK43" s="310">
        <f>AE43*AH43+AE44*AH44+AE45*AH45+AE46*AH46</f>
        <v>7066</v>
      </c>
      <c r="AL43" s="265">
        <f>AI43*AJ43</f>
        <v>5200</v>
      </c>
      <c r="AM43" s="310">
        <f>AK43+AL43</f>
        <v>12266</v>
      </c>
      <c r="AN43" s="265">
        <f>AI43*AJ43*1.1</f>
        <v>5720.0000000000009</v>
      </c>
      <c r="AO43" s="310">
        <f>AN43/AM43*100</f>
        <v>46.632969183107789</v>
      </c>
      <c r="AP43" s="313">
        <f>MROUND(AM43+AN43,500)</f>
        <v>18000</v>
      </c>
      <c r="AQ43" s="123" t="s">
        <v>142</v>
      </c>
      <c r="AR43" s="129">
        <v>4</v>
      </c>
      <c r="AS43" s="33" t="b">
        <f>IF(AQ43=Цены!$H$3,Цены!$L$3,IF(AQ43=Цены!$H$4,Цены!$L$4,IF(AQ43=Цены!$H$5,Цены!$L$5,IF(AQ43=Цены!$H$6,Цены!$L$6,IF(AQ43=Цены!$H$7,Цены!$L$7,IF(AQ43=Цены!$H$8,Цены!$L$8,IF(AQ43=Цены!$H$9,Цены!$L$9,IF(AQ43=Цены!$H$10,Цены!$L$10,IF(AQ43=Цены!$H$11,Цены!$L$11,IF(AQ43=Цены!$H$12,Цены!$L$12,IF(AQ43=Цены!$H$13,Цены!$L$13,IF(AQ43=Цены!$H$14,Цены!$L$14,IF(AQ43=Цены!$H$14,Цены!$L$14,IF(AQ43=Цены!$H$15,Цены!$L$15,IF(AQ43=Цены!$H$16,Цены!$L$16,IF(AQ43=Цены!$H$17,Цены!$L$17,IF(AQ43=Цены!$H$18,Цены!$L$18,IF(AQ43=Цены!$H$19,Цены!$L$19,IF(AQ43=Цены!$H$20,Цены!$L$20,IF(AQ43=Цены!$H$21,Цены!$L$21,IF(AQ43=Цены!$H$22,Цены!$L$22,IF(AQ43=Цены!$H$23,Цены!$L$23,IF(AQ43=Цены!$H$24,Цены!$L$24,IF(AQ43=Цены!$H$25,Цены!$L$25,IF(AQ43=Цены!$H$26,Цены!$L$26,IF(AQ43=Цены!$H$27,Цены!$L$27,IF(AQ43=Цены!$H$28,Цены!$L$28,IF(AQ43=Цены!$H$29,Цены!$L$29,IF(AQ43=Цены!$H$30,Цены!$L$30,IF(AQ43=Цены!$H$31,Цены!$L$31,IF(AQ43=Цены!$H$32,Цены!$L$32,IF(AQ43=Цены!$H$33,Цены!$L$33,IF(AQ43=Цены!$H$34,Цены!$L$34,IF(AQ43=Цены!$H$35,Цены!$L$35,IF(AQ43=Цены!$H$36,Цены!$L$36,IF(AQ43=Цены!$H$37,Цены!$L$37,IF(AQ43=Цены!$H$38,Цены!$L$38,IF(AQ43=Цены!$H$39,Цены!$L$39,IF(AQ43=Цены!$H$40,Цены!$L$40,IF(AQ43=Цены!$H$41,Цены!$L$41,IF(AQ43=Цены!$H$42,Цены!$L$42,IF(AQ43=Цены!$H$43,Цены!$L$43,IF(AQ43=Цены!$H$44,Цены!$L$44,IF(AQ43=Цены!$H$45,Цены!$L$45,IF(AQ43=Цены!$H$46,Цены!$L$46,IF(AQ43=Цены!$H$47,Цены!$L$47,IF(AQ43=Цены!$H$48,Цены!$L$48,IF(AQ43=Цены!$H$49,Цены!$L$49,IF(AQ43=Цены!$H$50,Цены!$L$50,IF(AQ43=Цены!$H$51,Цены!$L$51,IF(AQ43=Цены!$H$52,Цены!$L$52,IF(AQ43=Цены!$H$53,Цены!$L$53,IF(AQ43=Цены!$H$54,Цены!$L$54,IF(AQ43=Цены!$H$55,Цены!$L$55))))))))))))))))))))))))))))))))))))))))))))))))))))))</f>
        <v>0</v>
      </c>
      <c r="AT43" s="276">
        <f>AR43*AS43+AR44*AS44+AR45*AS45+AR46*AS46</f>
        <v>0.57000000000000006</v>
      </c>
      <c r="AU43" s="34" t="b">
        <f>IF(AQ43=Цены!$H$3,Цены!$K$3,IF(AQ43=Цены!$H$4,Цены!$K$4,IF(AQ43=Цены!$H$5,Цены!$K$5,IF(AQ43=Цены!$H$6,Цены!$K$6,IF(AQ43=Цены!$H$7,Цены!$K$7,IF(AQ43=Цены!$H$8,Цены!$K$8,IF(AQ43=Цены!$H$9,Цены!$K$9,IF(AQ43=Цены!$H$10,Цены!$K$10,IF(AQ43=Цены!$H$11,Цены!$K$11,IF(AQ43=Цены!$H$12,Цены!$K$12,IF(AQ43=Цены!$H$13,Цены!$K$13,IF(AQ43=Цены!$H$14,Цены!$K$14,IF(AQ43=Цены!$H$14,Цены!$K$14,IF(AQ43=Цены!$H$15,Цены!$K$15,IF(AQ43=Цены!$H$16,Цены!$K$16,IF(AQ43=Цены!$H$17,Цены!$K$17,IF(AQ43=Цены!$H$18,Цены!$K$18,IF(AQ43=Цены!$H$19,Цены!$K$19,IF(AQ43=Цены!$H$20,Цены!$K$20,IF(AQ43=Цены!$H$21,Цены!$K$21,IF(AQ43=Цены!$H$22,Цены!$K$22,IF(AQ43=Цены!$H$23,Цены!$K$23,IF(AQ43=Цены!$H$24,Цены!$K$24,IF(AQ43=Цены!$H$25,Цены!$K$25,IF(AQ43=Цены!$H$26,Цены!$K$26,IF(AQ43=Цены!$H$27,Цены!$K$27,IF(AQ43=Цены!$H$28,Цены!$K$28,IF(AQ43=Цены!$H$29,Цены!$K$29,IF(AQ43=Цены!$H$30,Цены!$K$30,IF(AQ43=Цены!$H$31,Цены!$K$31,IF(AQ43=Цены!$H$32,Цены!$K$32,IF(AQ43=Цены!$H$33,Цены!$K$33,IF(AQ43=Цены!$H$34,Цены!$K$34,IF(AQ43=Цены!$H$35,Цены!$K$35,IF(AQ43=Цены!$H$36,Цены!$K$36,IF(AQ43=Цены!$H$37,Цены!$K$37,IF(AQ43=Цены!$H$38,Цены!$K$38,IF(AQ43=Цены!$H$39,Цены!$K$39,IF(AQ43=Цены!$H$40,Цены!$K$40,IF(AQ43=Цены!$H$41,Цены!$K$41,IF(AQ43=Цены!$H$42,Цены!$K$42,IF(AQ43=Цены!$H$43,Цены!$K$43,IF(AQ43=Цены!$H$44,Цены!$K$44,IF(AQ43=Цены!$H$45,Цены!$K$45,IF(AQ43=Цены!$H$46,Цены!$K$46,IF(AQ43=Цены!$H$47,Цены!$K$47,IF(AQ43=Цены!$H$48,Цены!$K$48,IF(AQ43=Цены!$H$49,Цены!$K$49,IF(AQ43=Цены!$H$50,Цены!$K$50,IF(AQ43=Цены!$H$51,Цены!$K$51,IF(AQ43=Цены!$H$52,Цены!$K$52,IF(AQ43=Цены!$H$53,Цены!$K$53,IF(AQ43=Цены!$H$54,Цены!$K$54,IF(AQ43=Цены!$H$55,Цены!$K$55))))))))))))))))))))))))))))))))))))))))))))))))))))))</f>
        <v>0</v>
      </c>
      <c r="AV43" s="265">
        <v>5.5</v>
      </c>
      <c r="AW43" s="265">
        <v>800</v>
      </c>
      <c r="AX43" s="269">
        <f>AR43*AU43+AR44*AU44+AR45*AU45+AR46*AU46</f>
        <v>1344</v>
      </c>
      <c r="AY43" s="286">
        <f>AV43*AW43</f>
        <v>4400</v>
      </c>
      <c r="AZ43" s="269">
        <f>AX43+AY43</f>
        <v>5744</v>
      </c>
      <c r="BA43" s="265">
        <f>AV43*AW43*1.1</f>
        <v>4840</v>
      </c>
      <c r="BB43" s="269">
        <f>BA43/AZ43*100</f>
        <v>84.261838440111418</v>
      </c>
      <c r="BC43" s="287">
        <f>MROUND(AZ43+BA43,500)</f>
        <v>10500</v>
      </c>
      <c r="BD43" s="258">
        <f t="shared" ref="BD43" si="73">BC43+CQ43</f>
        <v>13500</v>
      </c>
      <c r="BE43" s="123" t="s">
        <v>139</v>
      </c>
      <c r="BF43" s="71">
        <v>3</v>
      </c>
      <c r="BG43" s="33" t="b">
        <f>IF(BE43=Цены!$H$3,Цены!$L$3,IF(BE43=Цены!$H$4,Цены!$L$4,IF(BE43=Цены!$H$5,Цены!$L$5,IF(BE43=Цены!$H$6,Цены!$L$6,IF(BE43=Цены!$H$7,Цены!$L$7,IF(BE43=Цены!$H$8,Цены!$L$8,IF(BE43=Цены!$H$9,Цены!$L$9,IF(BE43=Цены!$H$10,Цены!$L$10,IF(BE43=Цены!$H$11,Цены!$L$11,IF(BE43=Цены!$H$12,Цены!$L$12,IF(BE43=Цены!$H$13,Цены!$L$13,IF(BE43=Цены!$H$14,Цены!$L$14,IF(BE43=Цены!$H$14,Цены!$L$14,IF(BE43=Цены!$H$15,Цены!$L$15,IF(BE43=Цены!$H$16,Цены!$L$16,IF(BE43=Цены!$H$17,Цены!$L$17,IF(BE43=Цены!$H$18,Цены!$L$18,IF(BE43=Цены!$H$19,Цены!$L$19,IF(BE43=Цены!$H$20,Цены!$L$20,IF(BE43=Цены!$H$21,Цены!$L$21,IF(BE43=Цены!$H$22,Цены!$L$22,IF(BE43=Цены!$H$23,Цены!$L$23,IF(BE43=Цены!$H$24,Цены!$L$24,IF(BE43=Цены!$H$25,Цены!$L$25,IF(BE43=Цены!$H$26,Цены!$L$26,IF(BE43=Цены!$H$27,Цены!$L$27,IF(BE43=Цены!$H$28,Цены!$L$28,IF(BE43=Цены!$H$29,Цены!$L$29,IF(BE43=Цены!$H$30,Цены!$L$30,IF(BE43=Цены!$H$31,Цены!$L$31,IF(BE43=Цены!$H$32,Цены!$L$32,IF(BE43=Цены!$H$33,Цены!$L$33,IF(BE43=Цены!$H$34,Цены!$L$34,IF(BE43=Цены!$H$35,Цены!$L$35,IF(BE43=Цены!$H$36,Цены!$L$36,IF(BE43=Цены!$H$37,Цены!$L$37,IF(BE43=Цены!$H$38,Цены!$L$38,IF(BE43=Цены!$H$39,Цены!$L$39,IF(BE43=Цены!$H$40,Цены!$L$40,IF(BE43=Цены!$H$41,Цены!$L$41,IF(BE43=Цены!$H$42,Цены!$L$42,IF(BE43=Цены!$H$43,Цены!$L$43,IF(BE43=Цены!$H$44,Цены!$L$44,IF(BE43=Цены!$H$45,Цены!$L$45,IF(BE43=Цены!$H$46,Цены!$L$46,IF(BE43=Цены!$H$47,Цены!$L$47,IF(BE43=Цены!$H$48,Цены!$L$48,IF(BE43=Цены!$H$49,Цены!$L$49,IF(BE43=Цены!$H$50,Цены!$L$50,IF(BE43=Цены!$H$51,Цены!$L$51,IF(BE43=Цены!$H$52,Цены!$L$52,IF(BE43=Цены!$H$53,Цены!$L$53,IF(BE43=Цены!$H$54,Цены!$L$54,IF(BE43=Цены!$H$55,Цены!$L$55))))))))))))))))))))))))))))))))))))))))))))))))))))))</f>
        <v>0</v>
      </c>
      <c r="BH43" s="276">
        <f>BF43*BG43+BF44*BG44+BF45*BG45+BF46*BG46</f>
        <v>0.38</v>
      </c>
      <c r="BI43" s="34" t="b">
        <f>IF(BE43=Цены!$H$3,Цены!$K$3,IF(BE43=Цены!$H$4,Цены!$K$4,IF(BE43=Цены!$H$5,Цены!$K$5,IF(BE43=Цены!$H$6,Цены!$K$6,IF(BE43=Цены!$H$7,Цены!$K$7,IF(BE43=Цены!$H$8,Цены!$K$8,IF(BE43=Цены!$H$9,Цены!$K$9,IF(BE43=Цены!$H$10,Цены!$K$10,IF(BE43=Цены!$H$11,Цены!$K$11,IF(BE43=Цены!$H$12,Цены!$K$12,IF(BE43=Цены!$H$13,Цены!$K$13,IF(BE43=Цены!$H$14,Цены!$K$14,IF(BE43=Цены!$H$14,Цены!$K$14,IF(BE43=Цены!$H$15,Цены!$K$15,IF(BE43=Цены!$H$16,Цены!$K$16,IF(BE43=Цены!$H$17,Цены!$K$17,IF(BE43=Цены!$H$18,Цены!$K$18,IF(BE43=Цены!$H$19,Цены!$K$19,IF(BE43=Цены!$H$20,Цены!$K$20,IF(BE43=Цены!$H$21,Цены!$K$21,IF(BE43=Цены!$H$22,Цены!$K$22,IF(BE43=Цены!$H$23,Цены!$K$23,IF(BE43=Цены!$H$24,Цены!$K$24,IF(BE43=Цены!$H$25,Цены!$K$25,IF(BE43=Цены!$H$26,Цены!$K$26,IF(BE43=Цены!$H$27,Цены!$K$27,IF(BE43=Цены!$H$28,Цены!$K$28,IF(BE43=Цены!$H$29,Цены!$K$29,IF(BE43=Цены!$H$30,Цены!$K$30,IF(BE43=Цены!$H$31,Цены!$K$31,IF(BE43=Цены!$H$32,Цены!$K$32,IF(BE43=Цены!$H$33,Цены!$K$33,IF(BE43=Цены!$H$34,Цены!$K$34,IF(BE43=Цены!$H$35,Цены!$K$35,IF(BE43=Цены!$H$36,Цены!$K$36,IF(BE43=Цены!$H$37,Цены!$K$37,IF(BE43=Цены!$H$38,Цены!$K$38,IF(BE43=Цены!$H$39,Цены!$K$39,IF(BE43=Цены!$H$40,Цены!$K$40,IF(BE43=Цены!$H$41,Цены!$K$41,IF(BE43=Цены!$H$42,Цены!$K$42,IF(BE43=Цены!$H$43,Цены!$K$43,IF(BE43=Цены!$H$44,Цены!$K$44,IF(BE43=Цены!$H$45,Цены!$K$45,IF(BE43=Цены!$H$46,Цены!$K$46,IF(BE43=Цены!$H$47,Цены!$K$47,IF(BE43=Цены!$H$48,Цены!$K$48,IF(BE43=Цены!$H$49,Цены!$K$49,IF(BE43=Цены!$H$50,Цены!$K$50,IF(BE43=Цены!$H$51,Цены!$K$51,IF(BE43=Цены!$H$52,Цены!$K$52,IF(BE43=Цены!$H$53,Цены!$K$53,IF(BE43=Цены!$H$54,Цены!$K$54,IF(BE43=Цены!$H$55,Цены!$K$55))))))))))))))))))))))))))))))))))))))))))))))))))))))</f>
        <v>0</v>
      </c>
      <c r="BJ43" s="265">
        <v>4</v>
      </c>
      <c r="BK43" s="265">
        <v>800</v>
      </c>
      <c r="BL43" s="269">
        <f>BF43*BI43+BF44*BI44+BF45*BI45+BF46*BI46</f>
        <v>896</v>
      </c>
      <c r="BM43" s="286">
        <f>BJ43*BK43</f>
        <v>3200</v>
      </c>
      <c r="BN43" s="269">
        <f>BL43+BM43</f>
        <v>4096</v>
      </c>
      <c r="BO43" s="268">
        <f>BJ43*BK43*1.1</f>
        <v>3520.0000000000005</v>
      </c>
      <c r="BP43" s="269">
        <f>BO43/BN43*100</f>
        <v>85.937500000000014</v>
      </c>
      <c r="BQ43" s="287">
        <f>MROUND(BN43+BO43,500)</f>
        <v>7500</v>
      </c>
      <c r="BR43" s="134" t="s">
        <v>62</v>
      </c>
      <c r="BS43" s="43">
        <v>3</v>
      </c>
      <c r="BT43" s="33" t="b">
        <f>IF(BR43=Цены!$H$3,Цены!$L$3,IF(BR43=Цены!$H$4,Цены!$L$4,IF(BR43=Цены!$H$5,Цены!$L$5,IF(BR43=Цены!$H$6,Цены!$L$6,IF(BR43=Цены!$H$7,Цены!$L$7,IF(BR43=Цены!$H$8,Цены!$L$8,IF(BR43=Цены!$H$9,Цены!$L$9,IF(BR43=Цены!$H$10,Цены!$L$10,IF(BR43=Цены!$H$11,Цены!$L$11,IF(BR43=Цены!$H$12,Цены!$L$12,IF(BR43=Цены!$H$13,Цены!$L$13,IF(BR43=Цены!$H$14,Цены!$L$14,IF(BR43=Цены!$H$14,Цены!$L$14,IF(BR43=Цены!$H$15,Цены!$L$15,IF(BR43=Цены!$H$16,Цены!$L$16,IF(BR43=Цены!$H$17,Цены!$L$17,IF(BR43=Цены!$H$18,Цены!$L$18,IF(BR43=Цены!$H$19,Цены!$L$19,IF(BR43=Цены!$H$20,Цены!$L$20,IF(BR43=Цены!$H$21,Цены!$L$21,IF(BR43=Цены!$H$22,Цены!$L$22,IF(BR43=Цены!$H$23,Цены!$L$23,IF(BR43=Цены!$H$24,Цены!$L$24,IF(BR43=Цены!$H$25,Цены!$L$25,IF(BR43=Цены!$H$26,Цены!$L$26,IF(BR43=Цены!$H$27,Цены!$L$27,IF(BR43=Цены!$H$28,Цены!$L$28,IF(BR43=Цены!$H$29,Цены!$L$29,IF(BR43=Цены!$H$30,Цены!$L$30,IF(BR43=Цены!$H$31,Цены!$L$31,IF(BR43=Цены!$H$32,Цены!$L$32,IF(BR43=Цены!$H$33,Цены!$L$33,IF(BR43=Цены!$H$34,Цены!$L$34,IF(BR43=Цены!$H$35,Цены!$L$35,IF(BR43=Цены!$H$36,Цены!$L$36,IF(BR43=Цены!$H$37,Цены!$L$37,IF(BR43=Цены!$H$38,Цены!$L$38,IF(BR43=Цены!$H$39,Цены!$L$39,IF(BR43=Цены!$H$40,Цены!$L$40,IF(BR43=Цены!$H$41,Цены!$L$41,IF(BR43=Цены!$H$42,Цены!$L$42,IF(BR43=Цены!$H$43,Цены!$L$43,IF(BR43=Цены!$H$44,Цены!$L$44,IF(BR43=Цены!$H$45,Цены!$L$45,IF(BR43=Цены!$H$46,Цены!$L$46,IF(BR43=Цены!$H$47,Цены!$L$47,IF(BR43=Цены!$H$48,Цены!$L$48,IF(BR43=Цены!$H$49,Цены!$L$49,IF(BR43=Цены!$H$50,Цены!$L$50,IF(BR43=Цены!$H$51,Цены!$L$51,IF(BR43=Цены!$H$52,Цены!$L$52,IF(BR43=Цены!$H$53,Цены!$L$53,IF(BR43=Цены!$H$54,Цены!$L$54,IF(BR43=Цены!$H$55,Цены!$L$55))))))))))))))))))))))))))))))))))))))))))))))))))))))</f>
        <v>0</v>
      </c>
      <c r="BU43" s="276">
        <f>BS43*BT43+BS44*BT44+BS45*BT45+BS46*BT46</f>
        <v>1.7999999999999998</v>
      </c>
      <c r="BV43" s="34" t="b">
        <f>IF(BR43=Цены!$H$3,Цены!$K$3,IF(BR43=Цены!$H$4,Цены!$K$4,IF(BR43=Цены!$H$5,Цены!$K$5,IF(BR43=Цены!$H$6,Цены!$K$6,IF(BR43=Цены!$H$7,Цены!$K$7,IF(BR43=Цены!$H$8,Цены!$K$8,IF(BR43=Цены!$H$9,Цены!$K$9,IF(BR43=Цены!$H$10,Цены!$K$10,IF(BR43=Цены!$H$11,Цены!$K$11,IF(BR43=Цены!$H$12,Цены!$K$12,IF(BR43=Цены!$H$13,Цены!$K$13,IF(BR43=Цены!$H$14,Цены!$K$14,IF(BR43=Цены!$H$14,Цены!$K$14,IF(BR43=Цены!$H$15,Цены!$K$15,IF(BR43=Цены!$H$16,Цены!$K$16,IF(BR43=Цены!$H$17,Цены!$K$17,IF(BR43=Цены!$H$18,Цены!$K$18,IF(BR43=Цены!$H$19,Цены!$K$19,IF(BR43=Цены!$H$20,Цены!$K$20,IF(BR43=Цены!$H$21,Цены!$K$21,IF(BR43=Цены!$H$22,Цены!$K$22,IF(BR43=Цены!$H$23,Цены!$K$23,IF(BR43=Цены!$H$24,Цены!$K$24,IF(BR43=Цены!$H$25,Цены!$K$25,IF(BR43=Цены!$H$26,Цены!$K$26,IF(BR43=Цены!$H$27,Цены!$K$27,IF(BR43=Цены!$H$28,Цены!$K$28,IF(BR43=Цены!$H$29,Цены!$K$29,IF(BR43=Цены!$H$30,Цены!$K$30,IF(BR43=Цены!$H$31,Цены!$K$31,IF(BR43=Цены!$H$32,Цены!$K$32,IF(BR43=Цены!$H$33,Цены!$K$33,IF(BR43=Цены!$H$34,Цены!$K$34,IF(BR43=Цены!$H$35,Цены!$K$35,IF(BR43=Цены!$H$36,Цены!$K$36,IF(BR43=Цены!$H$37,Цены!$K$37,IF(BR43=Цены!$H$38,Цены!$K$38,IF(BR43=Цены!$H$39,Цены!$K$39,IF(BR43=Цены!$H$40,Цены!$K$40,IF(BR43=Цены!$H$41,Цены!$K$41,IF(BR43=Цены!$H$42,Цены!$K$42,IF(BR43=Цены!$H$43,Цены!$K$43,IF(BR43=Цены!$H$44,Цены!$K$44,IF(BR43=Цены!$H$45,Цены!$K$45,IF(BR43=Цены!$H$46,Цены!$K$46,IF(BR43=Цены!$H$47,Цены!$K$47,IF(BR43=Цены!$H$48,Цены!$K$48,IF(BR43=Цены!$H$49,Цены!$K$49,IF(BR43=Цены!$H$50,Цены!$K$50,IF(BR43=Цены!$H$51,Цены!$K$51,IF(BR43=Цены!$H$52,Цены!$K$52,IF(BR43=Цены!$H$53,Цены!$K$53,IF(BR43=Цены!$H$54,Цены!$K$54,IF(BR43=Цены!$H$55,Цены!$K$55))))))))))))))))))))))))))))))))))))))))))))))))))))))</f>
        <v>0</v>
      </c>
      <c r="BW43" s="265">
        <v>1</v>
      </c>
      <c r="BX43" s="265">
        <v>800</v>
      </c>
      <c r="BY43" s="269">
        <f>BS43*BV43+BS44*BV44+BS45*BV45+BS46*BV46</f>
        <v>498</v>
      </c>
      <c r="BZ43" s="286">
        <f>BW43*BX43</f>
        <v>800</v>
      </c>
      <c r="CA43" s="269">
        <f>BY43+BZ43</f>
        <v>1298</v>
      </c>
      <c r="CB43" s="268">
        <f>BW43*BX43*1.1</f>
        <v>880.00000000000011</v>
      </c>
      <c r="CC43" s="269">
        <f>CB43/CA43*100</f>
        <v>67.79661016949153</v>
      </c>
      <c r="CD43" s="287">
        <f>MROUND(CA43+CB43,500)</f>
        <v>2000</v>
      </c>
      <c r="CE43" s="117" t="s">
        <v>62</v>
      </c>
      <c r="CF43" s="43">
        <v>3</v>
      </c>
      <c r="CG43" s="33" t="b">
        <f>IF(CE43=Цены!$H$3,Цены!$L$3,IF(CE43=Цены!$H$4,Цены!$L$4,IF(CE43=Цены!$H$5,Цены!$L$5,IF(CE43=Цены!$H$6,Цены!$L$6,IF(CE43=Цены!$H$7,Цены!$L$7,IF(CE43=Цены!$H$8,Цены!$L$8,IF(CE43=Цены!$H$9,Цены!$L$9,IF(CE43=Цены!$H$10,Цены!$L$10,IF(CE43=Цены!$H$11,Цены!$L$11,IF(CE43=Цены!$H$12,Цены!$L$12,IF(CE43=Цены!$H$13,Цены!$L$13,IF(CE43=Цены!$H$14,Цены!$L$14,IF(CE43=Цены!$H$14,Цены!$L$14,IF(CE43=Цены!$H$15,Цены!$L$15,IF(CE43=Цены!$H$16,Цены!$L$16,IF(CE43=Цены!$H$17,Цены!$L$17,IF(CE43=Цены!$H$18,Цены!$L$18,IF(CE43=Цены!$H$19,Цены!$L$19,IF(CE43=Цены!$H$20,Цены!$L$20,IF(CE43=Цены!$H$21,Цены!$L$21,IF(CE43=Цены!$H$22,Цены!$L$22,IF(CE43=Цены!$H$23,Цены!$L$23,IF(CE43=Цены!$H$24,Цены!$L$24,IF(CE43=Цены!$H$25,Цены!$L$25,IF(CE43=Цены!$H$26,Цены!$L$26,IF(CE43=Цены!$H$27,Цены!$L$27,IF(CE43=Цены!$H$28,Цены!$L$28,IF(CE43=Цены!$H$29,Цены!$L$29,IF(CE43=Цены!$H$30,Цены!$L$30,IF(CE43=Цены!$H$31,Цены!$L$31,IF(CE43=Цены!$H$32,Цены!$L$32,IF(CE43=Цены!$H$33,Цены!$L$33,IF(CE43=Цены!$H$34,Цены!$L$34,IF(CE43=Цены!$H$35,Цены!$L$35,IF(CE43=Цены!$H$36,Цены!$L$36,IF(CE43=Цены!$H$37,Цены!$L$37,IF(CE43=Цены!$H$38,Цены!$L$38,IF(CE43=Цены!$H$39,Цены!$L$39,IF(CE43=Цены!$H$40,Цены!$L$40,IF(CE43=Цены!$H$41,Цены!$L$41,IF(CE43=Цены!$H$42,Цены!$L$42,IF(CE43=Цены!$H$43,Цены!$L$43,IF(CE43=Цены!$H$44,Цены!$L$44,IF(CE43=Цены!$H$45,Цены!$L$45,IF(CE43=Цены!$H$46,Цены!$L$46,IF(CE43=Цены!$H$47,Цены!$L$47,IF(CE43=Цены!$H$48,Цены!$L$48,IF(CE43=Цены!$H$49,Цены!$L$49,IF(CE43=Цены!$H$50,Цены!$L$50,IF(CE43=Цены!$H$51,Цены!$L$51,IF(CE43=Цены!$H$52,Цены!$L$52,IF(CE43=Цены!$H$53,Цены!$L$53,IF(CE43=Цены!$H$54,Цены!$L$54,IF(CE43=Цены!$H$55,Цены!$L$55))))))))))))))))))))))))))))))))))))))))))))))))))))))</f>
        <v>0</v>
      </c>
      <c r="CH43" s="276">
        <f>CF43*CG43+CF44*CG44+CF45*CG45+CF46*CG46</f>
        <v>1.8131999999999999</v>
      </c>
      <c r="CI43" s="34" t="b">
        <f>IF(CE43=Цены!$H$3,Цены!$K$3,IF(CE43=Цены!$H$4,Цены!$K$4,IF(CE43=Цены!$H$5,Цены!$K$5,IF(CE43=Цены!$H$6,Цены!$K$6,IF(CE43=Цены!$H$7,Цены!$K$7,IF(CE43=Цены!$H$8,Цены!$K$8,IF(CE43=Цены!$H$9,Цены!$K$9,IF(CE43=Цены!$H$10,Цены!$K$10,IF(CE43=Цены!$H$11,Цены!$K$11,IF(CE43=Цены!$H$12,Цены!$K$12,IF(CE43=Цены!$H$13,Цены!$K$13,IF(CE43=Цены!$H$14,Цены!$K$14,IF(CE43=Цены!$H$14,Цены!$K$14,IF(CE43=Цены!$H$15,Цены!$K$15,IF(CE43=Цены!$H$16,Цены!$K$16,IF(CE43=Цены!$H$17,Цены!$K$17,IF(CE43=Цены!$H$18,Цены!$K$18,IF(CE43=Цены!$H$19,Цены!$K$19,IF(CE43=Цены!$H$20,Цены!$K$20,IF(CE43=Цены!$H$21,Цены!$K$21,IF(CE43=Цены!$H$22,Цены!$K$22,IF(CE43=Цены!$H$23,Цены!$K$23,IF(CE43=Цены!$H$24,Цены!$K$24,IF(CE43=Цены!$H$25,Цены!$K$25,IF(CE43=Цены!$H$26,Цены!$K$26,IF(CE43=Цены!$H$27,Цены!$K$27,IF(CE43=Цены!$H$28,Цены!$K$28,IF(CE43=Цены!$H$29,Цены!$K$29,IF(CE43=Цены!$H$30,Цены!$K$30,IF(CE43=Цены!$H$31,Цены!$K$31,IF(CE43=Цены!$H$32,Цены!$K$32,IF(CE43=Цены!$H$33,Цены!$K$33,IF(CE43=Цены!$H$34,Цены!$K$34,IF(CE43=Цены!$H$35,Цены!$K$35,IF(CE43=Цены!$H$36,Цены!$K$36,IF(CE43=Цены!$H$37,Цены!$K$37,IF(CE43=Цены!$H$38,Цены!$K$38,IF(CE43=Цены!$H$39,Цены!$K$39,IF(CE43=Цены!$H$40,Цены!$K$40,IF(CE43=Цены!$H$41,Цены!$K$41,IF(CE43=Цены!$H$42,Цены!$K$42,IF(CE43=Цены!$H$43,Цены!$K$43,IF(CE43=Цены!$H$44,Цены!$K$44,IF(CE43=Цены!$H$45,Цены!$K$45,IF(CE43=Цены!$H$46,Цены!$K$46,IF(CE43=Цены!$H$47,Цены!$K$47,IF(CE43=Цены!$H$48,Цены!$K$48,IF(CE43=Цены!$H$49,Цены!$K$49,IF(CE43=Цены!$H$50,Цены!$K$50,IF(CE43=Цены!$H$51,Цены!$K$51,IF(CE43=Цены!$H$52,Цены!$K$52,IF(CE43=Цены!$H$53,Цены!$K$53,IF(CE43=Цены!$H$54,Цены!$K$54,IF(CE43=Цены!$H$55,Цены!$K$55))))))))))))))))))))))))))))))))))))))))))))))))))))))</f>
        <v>0</v>
      </c>
      <c r="CJ43" s="265">
        <v>1.5</v>
      </c>
      <c r="CK43" s="265">
        <v>800</v>
      </c>
      <c r="CL43" s="269">
        <f>CF43*CI43+CF44*CI44+CF45*CI45+CF46*CI46</f>
        <v>552</v>
      </c>
      <c r="CM43" s="286">
        <f>CJ43*CK43</f>
        <v>1200</v>
      </c>
      <c r="CN43" s="269">
        <f>CL43+CM43</f>
        <v>1752</v>
      </c>
      <c r="CO43" s="268">
        <f>CJ43*CK43*1.1</f>
        <v>1320</v>
      </c>
      <c r="CP43" s="269">
        <f>CO43/CN43*100</f>
        <v>75.342465753424662</v>
      </c>
      <c r="CQ43" s="287">
        <f>MROUND(CN43+CO43,500)</f>
        <v>3000</v>
      </c>
    </row>
    <row r="44" spans="1:95" ht="15.75" hidden="1" customHeight="1" x14ac:dyDescent="0.25">
      <c r="A44" s="341"/>
      <c r="B44" s="265"/>
      <c r="C44" s="265"/>
      <c r="D44" s="26" t="s">
        <v>122</v>
      </c>
      <c r="E44" s="25">
        <v>7</v>
      </c>
      <c r="F44" s="27">
        <f>IF(D44=Цены!$H$3,Цены!$L$3,IF(D44=Цены!$H$4,Цены!$L$4,IF(D44=Цены!$H$5,Цены!$L$5,IF(D44=Цены!$H$6,Цены!$L$6,IF(D44=Цены!$H$7,Цены!$L$7,IF(D44=Цены!$H$8,Цены!$L$8,IF(D44=Цены!$H$9,Цены!$L$9,IF(D44=Цены!$H$10,Цены!$L$10,IF(D44=Цены!$H$11,Цены!$L$11,IF(D44=Цены!$H$12,Цены!$L$12,IF(D44=Цены!$H$13,Цены!$L$13,IF(D44=Цены!$H$14,Цены!$L$14,IF(D44=Цены!$H$14,Цены!$L$14,IF(D44=Цены!$H$15,Цены!$L$15,IF(D44=Цены!$H$16,Цены!$L$16,IF(D44=Цены!$H$17,Цены!$L$17,IF(D44=Цены!$H$18,Цены!$L$18,IF(D44=Цены!$H$19,Цены!$L$19,IF(D44=Цены!$H$20,Цены!$L$20,IF(D44=Цены!$H$21,Цены!$L$21,IF(D44=Цены!$H$22,Цены!$L$22,IF(D44=Цены!$H$23,Цены!$L$23,IF(D44=Цены!$H$24,Цены!$L$24,IF(D44=Цены!$H$25,Цены!$L$25,IF(D44=Цены!$H$26,Цены!$L$26,IF(D44=Цены!$H$27,Цены!$L$27,IF(D44=Цены!$H$28,Цены!$L$28,IF(D44=Цены!$H$29,Цены!$L$29,IF(D44=Цены!$H$30,Цены!$L$30,IF(D44=Цены!$H$31,Цены!$L$31,IF(D44=Цены!$H$32,Цены!$L$32,IF(D44=Цены!$H$33,Цены!$L$33,IF(D44=Цены!$H$34,Цены!$L$34,IF(D44=Цены!$H$35,Цены!$L$35,IF(D44=Цены!$H$36,Цены!$L$36,IF(D44=Цены!$H$37,Цены!$L$37,IF(D44=Цены!$H$38,Цены!$L$38,IF(D44=Цены!$H$39,Цены!$L$39,IF(D44=Цены!$H$40,Цены!$L$40,IF(D44=Цены!$H$41,Цены!$L$41,IF(D44=Цены!$H$42,Цены!$L$42,IF(D44=Цены!$H$43,Цены!$L$43,IF(D44=Цены!$H$44,Цены!$L$44,IF(D44=Цены!$H$45,Цены!$L$45,IF(D44=Цены!$H$46,Цены!$L$46,IF(D44=Цены!$H$47,Цены!$L$47,IF(D44=Цены!$H$48,Цены!$L$48,IF(D44=Цены!$H$49,Цены!$L$49,IF(D44=Цены!$H$50,Цены!$L$50,IF(D44=Цены!$H$51,Цены!$L$51,IF(D44=Цены!$H$52,Цены!$L$52,IF(D44=Цены!$H$53,Цены!$L$53,IF(D44=Цены!$H$54,Цены!$L$54,IF(D44=Цены!$H$55,Цены!$L$55))))))))))))))))))))))))))))))))))))))))))))))))))))))</f>
        <v>0.6</v>
      </c>
      <c r="G44" s="309"/>
      <c r="H44" s="28">
        <f>IF(D44=Цены!$H$3,Цены!$K$3,IF(D44=Цены!$H$4,Цены!$K$4,IF(D44=Цены!$H$5,Цены!$K$5,IF(D44=Цены!$H$6,Цены!$K$6,IF(D44=Цены!$H$7,Цены!$K$7,IF(D44=Цены!$H$8,Цены!$K$8,IF(D44=Цены!$H$9,Цены!$K$9,IF(D44=Цены!$H$10,Цены!$K$10,IF(D44=Цены!$H$11,Цены!$K$11,IF(D44=Цены!$H$12,Цены!$K$12,IF(D44=Цены!$H$13,Цены!$K$13,IF(D44=Цены!$H$14,Цены!$K$14,IF(D44=Цены!$H$14,Цены!$K$14,IF(D44=Цены!$H$15,Цены!$K$15,IF(D44=Цены!$H$16,Цены!$K$16,IF(D44=Цены!$H$17,Цены!$K$17,IF(D44=Цены!$H$18,Цены!$K$18,IF(D44=Цены!$H$19,Цены!$K$19,IF(D44=Цены!$H$20,Цены!$K$20,IF(D44=Цены!$H$21,Цены!$K$21,IF(D44=Цены!$H$22,Цены!$K$22,IF(D44=Цены!$H$23,Цены!$K$23,IF(D44=Цены!$H$24,Цены!$K$24,IF(D44=Цены!$H$25,Цены!$K$25,IF(D44=Цены!$H$26,Цены!$K$26,IF(D44=Цены!$H$27,Цены!$K$27,IF(D44=Цены!$H$28,Цены!$K$28,IF(D44=Цены!$H$29,Цены!$K$29,IF(D44=Цены!$H$30,Цены!$K$30,IF(D44=Цены!$H$31,Цены!$K$31,IF(D44=Цены!$H$32,Цены!$K$32,IF(D44=Цены!$H$33,Цены!$K$33,IF(D44=Цены!$H$34,Цены!$K$34,IF(D44=Цены!$H$35,Цены!$K$35,IF(D44=Цены!$H$36,Цены!$K$36,IF(D44=Цены!$H$37,Цены!$K$37,IF(D44=Цены!$H$38,Цены!$K$38,IF(D44=Цены!$H$39,Цены!$K$39,IF(D44=Цены!$H$40,Цены!$K$40,IF(D44=Цены!$H$41,Цены!$K$41,IF(D44=Цены!$H$42,Цены!$K$42,IF(D44=Цены!$H$43,Цены!$K$43,IF(D44=Цены!$H$44,Цены!$K$44,IF(D44=Цены!$H$45,Цены!$K$45,IF(D44=Цены!$H$46,Цены!$K$46,IF(D44=Цены!$H$47,Цены!$K$47,IF(D44=Цены!$H$48,Цены!$K$48,IF(D44=Цены!$H$49,Цены!$K$49,IF(D44=Цены!$H$50,Цены!$K$50,IF(D44=Цены!$H$51,Цены!$K$51,IF(D44=Цены!$H$52,Цены!$K$52,IF(D44=Цены!$H$53,Цены!$K$53,IF(D44=Цены!$H$54,Цены!$K$54,IF(D44=Цены!$H$55,Цены!$K$55))))))))))))))))))))))))))))))))))))))))))))))))))))))</f>
        <v>166</v>
      </c>
      <c r="I44" s="265"/>
      <c r="J44" s="265"/>
      <c r="K44" s="310"/>
      <c r="L44" s="265"/>
      <c r="M44" s="265"/>
      <c r="N44" s="265"/>
      <c r="O44" s="310"/>
      <c r="P44" s="313"/>
      <c r="Q44" s="123" t="s">
        <v>80</v>
      </c>
      <c r="R44" s="30">
        <v>5</v>
      </c>
      <c r="S44" s="27">
        <f>IF(Q44=Цены!$H$3,Цены!$L$3,IF(Q44=Цены!$H$4,Цены!$L$4,IF(Q44=Цены!$H$5,Цены!$L$5,IF(Q44=Цены!$H$6,Цены!$L$6,IF(Q44=Цены!$H$7,Цены!$L$7,IF(Q44=Цены!$H$8,Цены!$L$8,IF(Q44=Цены!$H$9,Цены!$L$9,IF(Q44=Цены!$H$10,Цены!$L$10,IF(Q44=Цены!$H$11,Цены!$L$11,IF(Q44=Цены!$H$12,Цены!$L$12,IF(Q44=Цены!$H$13,Цены!$L$13,IF(Q44=Цены!$H$14,Цены!$L$14,IF(Q44=Цены!$H$14,Цены!$L$14,IF(Q44=Цены!$H$15,Цены!$L$15,IF(Q44=Цены!$H$16,Цены!$L$16,IF(Q44=Цены!$H$17,Цены!$L$17,IF(Q44=Цены!$H$18,Цены!$L$18,IF(Q44=Цены!$H$19,Цены!$L$19,IF(Q44=Цены!$H$20,Цены!$L$20,IF(Q44=Цены!$H$21,Цены!$L$21,IF(Q44=Цены!$H$22,Цены!$L$22,IF(Q44=Цены!$H$23,Цены!$L$23,IF(Q44=Цены!$H$24,Цены!$L$24,IF(Q44=Цены!$H$25,Цены!$L$25,IF(Q44=Цены!$H$26,Цены!$L$26,IF(Q44=Цены!$H$27,Цены!$L$27,IF(Q44=Цены!$H$28,Цены!$L$28,IF(Q44=Цены!$H$29,Цены!$L$29,IF(Q44=Цены!$H$30,Цены!$L$30,IF(Q44=Цены!$H$31,Цены!$L$31,IF(Q44=Цены!$H$32,Цены!$L$32,IF(Q44=Цены!$H$33,Цены!$L$33,IF(Q44=Цены!$H$34,Цены!$L$34,IF(Q44=Цены!$H$35,Цены!$L$35,IF(Q44=Цены!$H$36,Цены!$L$36,IF(Q44=Цены!$H$37,Цены!$L$37,IF(Q44=Цены!$H$38,Цены!$L$38,IF(Q44=Цены!$H$39,Цены!$L$39,IF(Q44=Цены!$H$40,Цены!$L$40,IF(Q44=Цены!$H$41,Цены!$L$41,IF(Q44=Цены!$H$42,Цены!$L$42,IF(Q44=Цены!$H$43,Цены!$L$43,IF(Q44=Цены!$H$44,Цены!$L$44,IF(Q44=Цены!$H$45,Цены!$L$45,IF(Q44=Цены!$H$46,Цены!$L$46,IF(Q44=Цены!$H$47,Цены!$L$47,IF(Q44=Цены!$H$48,Цены!$L$48,IF(Q44=Цены!$H$49,Цены!$L$49,IF(Q44=Цены!$H$50,Цены!$L$50,IF(Q44=Цены!$H$51,Цены!$L$51,IF(Q44=Цены!$H$52,Цены!$L$52,IF(Q44=Цены!$H$53,Цены!$L$53,IF(Q44=Цены!$H$54,Цены!$L$54,IF(Q44=Цены!$H$55,Цены!$L$55))))))))))))))))))))))))))))))))))))))))))))))))))))))</f>
        <v>0.64</v>
      </c>
      <c r="T44" s="309"/>
      <c r="U44" s="162">
        <f>IF(Q44=Цены!$H$3,Цены!$K$3,IF(Q44=Цены!$H$4,Цены!$K$4,IF(Q44=Цены!$H$5,Цены!$K$5,IF(Q44=Цены!$H$6,Цены!$K$6,IF(Q44=Цены!$H$7,Цены!$K$7,IF(Q44=Цены!$H$8,Цены!$K$8,IF(Q44=Цены!$H$9,Цены!$K$9,IF(Q44=Цены!$H$10,Цены!$K$10,IF(Q44=Цены!$H$11,Цены!$K$11,IF(Q44=Цены!$H$12,Цены!$K$12,IF(Q44=Цены!$H$13,Цены!$K$13,IF(Q44=Цены!$H$14,Цены!$K$14,IF(Q44=Цены!$H$14,Цены!$K$14,IF(Q44=Цены!$H$15,Цены!$K$15,IF(Q44=Цены!$H$16,Цены!$K$16,IF(Q44=Цены!$H$17,Цены!$K$17,IF(Q44=Цены!$H$18,Цены!$K$18,IF(Q44=Цены!$H$19,Цены!$K$19,IF(Q44=Цены!$H$20,Цены!$K$20,IF(Q44=Цены!$H$21,Цены!$K$21,IF(Q44=Цены!$H$22,Цены!$K$22,IF(Q44=Цены!$H$23,Цены!$K$23,IF(Q44=Цены!$H$24,Цены!$K$24,IF(Q44=Цены!$H$25,Цены!$K$25,IF(Q44=Цены!$H$26,Цены!$K$26,IF(Q44=Цены!$H$27,Цены!$K$27,IF(Q44=Цены!$H$28,Цены!$K$28,IF(Q44=Цены!$H$29,Цены!$K$29,IF(Q44=Цены!$H$30,Цены!$K$30,IF(Q44=Цены!$H$31,Цены!$K$31,IF(Q44=Цены!$H$32,Цены!$K$32,IF(Q44=Цены!$H$33,Цены!$K$33,IF(Q44=Цены!$H$34,Цены!$K$34,IF(Q44=Цены!$H$35,Цены!$K$35,IF(Q44=Цены!$H$36,Цены!$K$36,IF(Q44=Цены!$H$37,Цены!$K$37,IF(Q44=Цены!$H$38,Цены!$K$38,IF(Q44=Цены!$H$39,Цены!$K$39,IF(Q44=Цены!$H$40,Цены!$K$40,IF(Q44=Цены!$H$41,Цены!$K$41,IF(Q44=Цены!$H$42,Цены!$K$42,IF(Q44=Цены!$H$43,Цены!$K$43,IF(Q44=Цены!$H$44,Цены!$K$44,IF(Q44=Цены!$H$45,Цены!$K$45,IF(Q44=Цены!$H$46,Цены!$K$46,IF(Q44=Цены!$H$47,Цены!$K$47,IF(Q44=Цены!$H$48,Цены!$K$48,IF(Q44=Цены!$H$49,Цены!$K$49,IF(Q44=Цены!$H$50,Цены!$K$50,IF(Q44=Цены!$H$51,Цены!$K$51,IF(Q44=Цены!$H$52,Цены!$K$52,IF(Q44=Цены!$H$53,Цены!$K$53,IF(Q44=Цены!$H$54,Цены!$K$54,IF(Q44=Цены!$H$55,Цены!$K$55))))))))))))))))))))))))))))))))))))))))))))))))))))))</f>
        <v>312</v>
      </c>
      <c r="V44" s="265"/>
      <c r="W44" s="265"/>
      <c r="X44" s="310"/>
      <c r="Y44" s="265"/>
      <c r="Z44" s="265"/>
      <c r="AA44" s="265"/>
      <c r="AB44" s="310"/>
      <c r="AC44" s="313"/>
      <c r="AD44" s="35" t="s">
        <v>64</v>
      </c>
      <c r="AE44" s="128">
        <v>4</v>
      </c>
      <c r="AF44" s="27">
        <f>IF(AD44=Цены!$H$3,Цены!$L$3,IF(AD44=Цены!$H$4,Цены!$L$4,IF(AD44=Цены!$H$5,Цены!$L$5,IF(AD44=Цены!$H$6,Цены!$L$6,IF(AD44=Цены!$H$7,Цены!$L$7,IF(AD44=Цены!$H$8,Цены!$L$8,IF(AD44=Цены!$H$9,Цены!$L$9,IF(AD44=Цены!$H$10,Цены!$L$10,IF(AD44=Цены!$H$11,Цены!$L$11,IF(AD44=Цены!$H$12,Цены!$L$12,IF(AD44=Цены!$H$13,Цены!$L$13,IF(AD44=Цены!$H$14,Цены!$L$14,IF(AD44=Цены!$H$14,Цены!$L$14,IF(AD44=Цены!$H$15,Цены!$L$15,IF(AD44=Цены!$H$16,Цены!$L$16,IF(AD44=Цены!$H$17,Цены!$L$17,IF(AD44=Цены!$H$18,Цены!$L$18,IF(AD44=Цены!$H$19,Цены!$L$19,IF(AD44=Цены!$H$20,Цены!$L$20,IF(AD44=Цены!$H$21,Цены!$L$21,IF(AD44=Цены!$H$22,Цены!$L$22,IF(AD44=Цены!$H$23,Цены!$L$23,IF(AD44=Цены!$H$24,Цены!$L$24,IF(AD44=Цены!$H$25,Цены!$L$25,IF(AD44=Цены!$H$26,Цены!$L$26,IF(AD44=Цены!$H$27,Цены!$L$27,IF(AD44=Цены!$H$28,Цены!$L$28,IF(AD44=Цены!$H$29,Цены!$L$29,IF(AD44=Цены!$H$30,Цены!$L$30,IF(AD44=Цены!$H$31,Цены!$L$31,IF(AD44=Цены!$H$32,Цены!$L$32,IF(AD44=Цены!$H$33,Цены!$L$33,IF(AD44=Цены!$H$34,Цены!$L$34,IF(AD44=Цены!$H$35,Цены!$L$35,IF(AD44=Цены!$H$36,Цены!$L$36,IF(AD44=Цены!$H$37,Цены!$L$37,IF(AD44=Цены!$H$38,Цены!$L$38,IF(AD44=Цены!$H$39,Цены!$L$39,IF(AD44=Цены!$H$40,Цены!$L$40,IF(AD44=Цены!$H$41,Цены!$L$41,IF(AD44=Цены!$H$42,Цены!$L$42,IF(AD44=Цены!$H$43,Цены!$L$43,IF(AD44=Цены!$H$44,Цены!$L$44,IF(AD44=Цены!$H$45,Цены!$L$45,IF(AD44=Цены!$H$46,Цены!$L$46,IF(AD44=Цены!$H$47,Цены!$L$47,IF(AD44=Цены!$H$48,Цены!$L$48,IF(AD44=Цены!$H$49,Цены!$L$49,IF(AD44=Цены!$H$50,Цены!$L$50,IF(AD44=Цены!$H$51,Цены!$L$51,IF(AD44=Цены!$H$52,Цены!$L$52,IF(AD44=Цены!$H$53,Цены!$L$53,IF(AD44=Цены!$H$54,Цены!$L$54,IF(AD44=Цены!$H$55,Цены!$L$55))))))))))))))))))))))))))))))))))))))))))))))))))))))</f>
        <v>2.34</v>
      </c>
      <c r="AG44" s="309"/>
      <c r="AH44" s="28">
        <f>IF(AD44=Цены!$H$3,Цены!$K$3,IF(AD44=Цены!$H$4,Цены!$K$4,IF(AD44=Цены!$H$5,Цены!$K$5,IF(AD44=Цены!$H$6,Цены!$K$6,IF(AD44=Цены!$H$7,Цены!$K$7,IF(AD44=Цены!$H$8,Цены!$K$8,IF(AD44=Цены!$H$9,Цены!$K$9,IF(AD44=Цены!$H$10,Цены!$K$10,IF(AD44=Цены!$H$11,Цены!$K$11,IF(AD44=Цены!$H$12,Цены!$K$12,IF(AD44=Цены!$H$13,Цены!$K$13,IF(AD44=Цены!$H$14,Цены!$K$14,IF(AD44=Цены!$H$14,Цены!$K$14,IF(AD44=Цены!$H$15,Цены!$K$15,IF(AD44=Цены!$H$16,Цены!$K$16,IF(AD44=Цены!$H$17,Цены!$K$17,IF(AD44=Цены!$H$18,Цены!$K$18,IF(AD44=Цены!$H$19,Цены!$K$19,IF(AD44=Цены!$H$20,Цены!$K$20,IF(AD44=Цены!$H$21,Цены!$K$21,IF(AD44=Цены!$H$22,Цены!$K$22,IF(AD44=Цены!$H$23,Цены!$K$23,IF(AD44=Цены!$H$24,Цены!$K$24,IF(AD44=Цены!$H$25,Цены!$K$25,IF(AD44=Цены!$H$26,Цены!$K$26,IF(AD44=Цены!$H$27,Цены!$K$27,IF(AD44=Цены!$H$28,Цены!$K$28,IF(AD44=Цены!$H$29,Цены!$K$29,IF(AD44=Цены!$H$30,Цены!$K$30,IF(AD44=Цены!$H$31,Цены!$K$31,IF(AD44=Цены!$H$32,Цены!$K$32,IF(AD44=Цены!$H$33,Цены!$K$33,IF(AD44=Цены!$H$34,Цены!$K$34,IF(AD44=Цены!$H$35,Цены!$K$35,IF(AD44=Цены!$H$36,Цены!$K$36,IF(AD44=Цены!$H$37,Цены!$K$37,IF(AD44=Цены!$H$38,Цены!$K$38,IF(AD44=Цены!$H$39,Цены!$K$39,IF(AD44=Цены!$H$40,Цены!$K$40,IF(AD44=Цены!$H$41,Цены!$K$41,IF(AD44=Цены!$H$42,Цены!$K$42,IF(AD44=Цены!$H$43,Цены!$K$43,IF(AD44=Цены!$H$44,Цены!$K$44,IF(AD44=Цены!$H$45,Цены!$K$45,IF(AD44=Цены!$H$46,Цены!$K$46,IF(AD44=Цены!$H$47,Цены!$K$47,IF(AD44=Цены!$H$48,Цены!$K$48,IF(AD44=Цены!$H$49,Цены!$K$49,IF(AD44=Цены!$H$50,Цены!$K$50,IF(AD44=Цены!$H$51,Цены!$K$51,IF(AD44=Цены!$H$52,Цены!$K$52,IF(AD44=Цены!$H$53,Цены!$K$53,IF(AD44=Цены!$H$54,Цены!$K$54,IF(AD44=Цены!$H$55,Цены!$K$55))))))))))))))))))))))))))))))))))))))))))))))))))))))</f>
        <v>370.5</v>
      </c>
      <c r="AI44" s="265"/>
      <c r="AJ44" s="265"/>
      <c r="AK44" s="310"/>
      <c r="AL44" s="265"/>
      <c r="AM44" s="265"/>
      <c r="AN44" s="265"/>
      <c r="AO44" s="310"/>
      <c r="AP44" s="313"/>
      <c r="AQ44" s="123" t="s">
        <v>144</v>
      </c>
      <c r="AR44" s="129">
        <v>3</v>
      </c>
      <c r="AS44" s="33">
        <f>IF(AQ44=Цены!$H$3,Цены!$L$3,IF(AQ44=Цены!$H$4,Цены!$L$4,IF(AQ44=Цены!$H$5,Цены!$L$5,IF(AQ44=Цены!$H$6,Цены!$L$6,IF(AQ44=Цены!$H$7,Цены!$L$7,IF(AQ44=Цены!$H$8,Цены!$L$8,IF(AQ44=Цены!$H$9,Цены!$L$9,IF(AQ44=Цены!$H$10,Цены!$L$10,IF(AQ44=Цены!$H$11,Цены!$L$11,IF(AQ44=Цены!$H$12,Цены!$L$12,IF(AQ44=Цены!$H$13,Цены!$L$13,IF(AQ44=Цены!$H$14,Цены!$L$14,IF(AQ44=Цены!$H$14,Цены!$L$14,IF(AQ44=Цены!$H$15,Цены!$L$15,IF(AQ44=Цены!$H$16,Цены!$L$16,IF(AQ44=Цены!$H$17,Цены!$L$17,IF(AQ44=Цены!$H$18,Цены!$L$18,IF(AQ44=Цены!$H$19,Цены!$L$19,IF(AQ44=Цены!$H$20,Цены!$L$20,IF(AQ44=Цены!$H$21,Цены!$L$21,IF(AQ44=Цены!$H$22,Цены!$L$22,IF(AQ44=Цены!$H$23,Цены!$L$23,IF(AQ44=Цены!$H$24,Цены!$L$24,IF(AQ44=Цены!$H$25,Цены!$L$25,IF(AQ44=Цены!$H$26,Цены!$L$26,IF(AQ44=Цены!$H$27,Цены!$L$27,IF(AQ44=Цены!$H$28,Цены!$L$28,IF(AQ44=Цены!$H$29,Цены!$L$29,IF(AQ44=Цены!$H$30,Цены!$L$30,IF(AQ44=Цены!$H$31,Цены!$L$31,IF(AQ44=Цены!$H$32,Цены!$L$32,IF(AQ44=Цены!$H$33,Цены!$L$33,IF(AQ44=Цены!$H$34,Цены!$L$34,IF(AQ44=Цены!$H$35,Цены!$L$35,IF(AQ44=Цены!$H$36,Цены!$L$36,IF(AQ44=Цены!$H$37,Цены!$L$37,IF(AQ44=Цены!$H$38,Цены!$L$38,IF(AQ44=Цены!$H$39,Цены!$L$39,IF(AQ44=Цены!$H$40,Цены!$L$40,IF(AQ44=Цены!$H$41,Цены!$L$41,IF(AQ44=Цены!$H$42,Цены!$L$42,IF(AQ44=Цены!$H$43,Цены!$L$43,IF(AQ44=Цены!$H$44,Цены!$L$44,IF(AQ44=Цены!$H$45,Цены!$L$45,IF(AQ44=Цены!$H$46,Цены!$L$46,IF(AQ44=Цены!$H$47,Цены!$L$47,IF(AQ44=Цены!$H$48,Цены!$L$48,IF(AQ44=Цены!$H$49,Цены!$L$49,IF(AQ44=Цены!$H$50,Цены!$L$50,IF(AQ44=Цены!$H$51,Цены!$L$51,IF(AQ44=Цены!$H$52,Цены!$L$52,IF(AQ44=Цены!$H$53,Цены!$L$53,IF(AQ44=Цены!$H$54,Цены!$L$54,IF(AQ44=Цены!$H$55,Цены!$L$55))))))))))))))))))))))))))))))))))))))))))))))))))))))</f>
        <v>0.19</v>
      </c>
      <c r="AT44" s="276"/>
      <c r="AU44" s="34">
        <f>IF(AQ44=Цены!$H$3,Цены!$K$3,IF(AQ44=Цены!$H$4,Цены!$K$4,IF(AQ44=Цены!$H$5,Цены!$K$5,IF(AQ44=Цены!$H$6,Цены!$K$6,IF(AQ44=Цены!$H$7,Цены!$K$7,IF(AQ44=Цены!$H$8,Цены!$K$8,IF(AQ44=Цены!$H$9,Цены!$K$9,IF(AQ44=Цены!$H$10,Цены!$K$10,IF(AQ44=Цены!$H$11,Цены!$K$11,IF(AQ44=Цены!$H$12,Цены!$K$12,IF(AQ44=Цены!$H$13,Цены!$K$13,IF(AQ44=Цены!$H$14,Цены!$K$14,IF(AQ44=Цены!$H$14,Цены!$K$14,IF(AQ44=Цены!$H$15,Цены!$K$15,IF(AQ44=Цены!$H$16,Цены!$K$16,IF(AQ44=Цены!$H$17,Цены!$K$17,IF(AQ44=Цены!$H$18,Цены!$K$18,IF(AQ44=Цены!$H$19,Цены!$K$19,IF(AQ44=Цены!$H$20,Цены!$K$20,IF(AQ44=Цены!$H$21,Цены!$K$21,IF(AQ44=Цены!$H$22,Цены!$K$22,IF(AQ44=Цены!$H$23,Цены!$K$23,IF(AQ44=Цены!$H$24,Цены!$K$24,IF(AQ44=Цены!$H$25,Цены!$K$25,IF(AQ44=Цены!$H$26,Цены!$K$26,IF(AQ44=Цены!$H$27,Цены!$K$27,IF(AQ44=Цены!$H$28,Цены!$K$28,IF(AQ44=Цены!$H$29,Цены!$K$29,IF(AQ44=Цены!$H$30,Цены!$K$30,IF(AQ44=Цены!$H$31,Цены!$K$31,IF(AQ44=Цены!$H$32,Цены!$K$32,IF(AQ44=Цены!$H$33,Цены!$K$33,IF(AQ44=Цены!$H$34,Цены!$K$34,IF(AQ44=Цены!$H$35,Цены!$K$35,IF(AQ44=Цены!$H$36,Цены!$K$36,IF(AQ44=Цены!$H$37,Цены!$K$37,IF(AQ44=Цены!$H$38,Цены!$K$38,IF(AQ44=Цены!$H$39,Цены!$K$39,IF(AQ44=Цены!$H$40,Цены!$K$40,IF(AQ44=Цены!$H$41,Цены!$K$41,IF(AQ44=Цены!$H$42,Цены!$K$42,IF(AQ44=Цены!$H$43,Цены!$K$43,IF(AQ44=Цены!$H$44,Цены!$K$44,IF(AQ44=Цены!$H$45,Цены!$K$45,IF(AQ44=Цены!$H$46,Цены!$K$46,IF(AQ44=Цены!$H$47,Цены!$K$47,IF(AQ44=Цены!$H$48,Цены!$K$48,IF(AQ44=Цены!$H$49,Цены!$K$49,IF(AQ44=Цены!$H$50,Цены!$K$50,IF(AQ44=Цены!$H$51,Цены!$K$51,IF(AQ44=Цены!$H$52,Цены!$K$52,IF(AQ44=Цены!$H$53,Цены!$K$53,IF(AQ44=Цены!$H$54,Цены!$K$54,IF(AQ44=Цены!$H$55,Цены!$K$55))))))))))))))))))))))))))))))))))))))))))))))))))))))</f>
        <v>448</v>
      </c>
      <c r="AV44" s="265"/>
      <c r="AW44" s="265"/>
      <c r="AX44" s="269"/>
      <c r="AY44" s="286"/>
      <c r="AZ44" s="286"/>
      <c r="BA44" s="265"/>
      <c r="BB44" s="269"/>
      <c r="BC44" s="287"/>
      <c r="BD44" s="259"/>
      <c r="BE44" s="123" t="s">
        <v>144</v>
      </c>
      <c r="BF44" s="71">
        <v>2</v>
      </c>
      <c r="BG44" s="33">
        <f>IF(BE44=Цены!$H$3,Цены!$L$3,IF(BE44=Цены!$H$4,Цены!$L$4,IF(BE44=Цены!$H$5,Цены!$L$5,IF(BE44=Цены!$H$6,Цены!$L$6,IF(BE44=Цены!$H$7,Цены!$L$7,IF(BE44=Цены!$H$8,Цены!$L$8,IF(BE44=Цены!$H$9,Цены!$L$9,IF(BE44=Цены!$H$10,Цены!$L$10,IF(BE44=Цены!$H$11,Цены!$L$11,IF(BE44=Цены!$H$12,Цены!$L$12,IF(BE44=Цены!$H$13,Цены!$L$13,IF(BE44=Цены!$H$14,Цены!$L$14,IF(BE44=Цены!$H$14,Цены!$L$14,IF(BE44=Цены!$H$15,Цены!$L$15,IF(BE44=Цены!$H$16,Цены!$L$16,IF(BE44=Цены!$H$17,Цены!$L$17,IF(BE44=Цены!$H$18,Цены!$L$18,IF(BE44=Цены!$H$19,Цены!$L$19,IF(BE44=Цены!$H$20,Цены!$L$20,IF(BE44=Цены!$H$21,Цены!$L$21,IF(BE44=Цены!$H$22,Цены!$L$22,IF(BE44=Цены!$H$23,Цены!$L$23,IF(BE44=Цены!$H$24,Цены!$L$24,IF(BE44=Цены!$H$25,Цены!$L$25,IF(BE44=Цены!$H$26,Цены!$L$26,IF(BE44=Цены!$H$27,Цены!$L$27,IF(BE44=Цены!$H$28,Цены!$L$28,IF(BE44=Цены!$H$29,Цены!$L$29,IF(BE44=Цены!$H$30,Цены!$L$30,IF(BE44=Цены!$H$31,Цены!$L$31,IF(BE44=Цены!$H$32,Цены!$L$32,IF(BE44=Цены!$H$33,Цены!$L$33,IF(BE44=Цены!$H$34,Цены!$L$34,IF(BE44=Цены!$H$35,Цены!$L$35,IF(BE44=Цены!$H$36,Цены!$L$36,IF(BE44=Цены!$H$37,Цены!$L$37,IF(BE44=Цены!$H$38,Цены!$L$38,IF(BE44=Цены!$H$39,Цены!$L$39,IF(BE44=Цены!$H$40,Цены!$L$40,IF(BE44=Цены!$H$41,Цены!$L$41,IF(BE44=Цены!$H$42,Цены!$L$42,IF(BE44=Цены!$H$43,Цены!$L$43,IF(BE44=Цены!$H$44,Цены!$L$44,IF(BE44=Цены!$H$45,Цены!$L$45,IF(BE44=Цены!$H$46,Цены!$L$46,IF(BE44=Цены!$H$47,Цены!$L$47,IF(BE44=Цены!$H$48,Цены!$L$48,IF(BE44=Цены!$H$49,Цены!$L$49,IF(BE44=Цены!$H$50,Цены!$L$50,IF(BE44=Цены!$H$51,Цены!$L$51,IF(BE44=Цены!$H$52,Цены!$L$52,IF(BE44=Цены!$H$53,Цены!$L$53,IF(BE44=Цены!$H$54,Цены!$L$54,IF(BE44=Цены!$H$55,Цены!$L$55))))))))))))))))))))))))))))))))))))))))))))))))))))))</f>
        <v>0.19</v>
      </c>
      <c r="BH44" s="276"/>
      <c r="BI44" s="34">
        <f>IF(BE44=Цены!$H$3,Цены!$K$3,IF(BE44=Цены!$H$4,Цены!$K$4,IF(BE44=Цены!$H$5,Цены!$K$5,IF(BE44=Цены!$H$6,Цены!$K$6,IF(BE44=Цены!$H$7,Цены!$K$7,IF(BE44=Цены!$H$8,Цены!$K$8,IF(BE44=Цены!$H$9,Цены!$K$9,IF(BE44=Цены!$H$10,Цены!$K$10,IF(BE44=Цены!$H$11,Цены!$K$11,IF(BE44=Цены!$H$12,Цены!$K$12,IF(BE44=Цены!$H$13,Цены!$K$13,IF(BE44=Цены!$H$14,Цены!$K$14,IF(BE44=Цены!$H$14,Цены!$K$14,IF(BE44=Цены!$H$15,Цены!$K$15,IF(BE44=Цены!$H$16,Цены!$K$16,IF(BE44=Цены!$H$17,Цены!$K$17,IF(BE44=Цены!$H$18,Цены!$K$18,IF(BE44=Цены!$H$19,Цены!$K$19,IF(BE44=Цены!$H$20,Цены!$K$20,IF(BE44=Цены!$H$21,Цены!$K$21,IF(BE44=Цены!$H$22,Цены!$K$22,IF(BE44=Цены!$H$23,Цены!$K$23,IF(BE44=Цены!$H$24,Цены!$K$24,IF(BE44=Цены!$H$25,Цены!$K$25,IF(BE44=Цены!$H$26,Цены!$K$26,IF(BE44=Цены!$H$27,Цены!$K$27,IF(BE44=Цены!$H$28,Цены!$K$28,IF(BE44=Цены!$H$29,Цены!$K$29,IF(BE44=Цены!$H$30,Цены!$K$30,IF(BE44=Цены!$H$31,Цены!$K$31,IF(BE44=Цены!$H$32,Цены!$K$32,IF(BE44=Цены!$H$33,Цены!$K$33,IF(BE44=Цены!$H$34,Цены!$K$34,IF(BE44=Цены!$H$35,Цены!$K$35,IF(BE44=Цены!$H$36,Цены!$K$36,IF(BE44=Цены!$H$37,Цены!$K$37,IF(BE44=Цены!$H$38,Цены!$K$38,IF(BE44=Цены!$H$39,Цены!$K$39,IF(BE44=Цены!$H$40,Цены!$K$40,IF(BE44=Цены!$H$41,Цены!$K$41,IF(BE44=Цены!$H$42,Цены!$K$42,IF(BE44=Цены!$H$43,Цены!$K$43,IF(BE44=Цены!$H$44,Цены!$K$44,IF(BE44=Цены!$H$45,Цены!$K$45,IF(BE44=Цены!$H$46,Цены!$K$46,IF(BE44=Цены!$H$47,Цены!$K$47,IF(BE44=Цены!$H$48,Цены!$K$48,IF(BE44=Цены!$H$49,Цены!$K$49,IF(BE44=Цены!$H$50,Цены!$K$50,IF(BE44=Цены!$H$51,Цены!$K$51,IF(BE44=Цены!$H$52,Цены!$K$52,IF(BE44=Цены!$H$53,Цены!$K$53,IF(BE44=Цены!$H$54,Цены!$K$54,IF(BE44=Цены!$H$55,Цены!$K$55))))))))))))))))))))))))))))))))))))))))))))))))))))))</f>
        <v>448</v>
      </c>
      <c r="BJ44" s="265"/>
      <c r="BK44" s="265"/>
      <c r="BL44" s="269"/>
      <c r="BM44" s="286"/>
      <c r="BN44" s="286"/>
      <c r="BO44" s="268"/>
      <c r="BP44" s="269"/>
      <c r="BQ44" s="287"/>
      <c r="BR44" s="117" t="s">
        <v>122</v>
      </c>
      <c r="BS44" s="43">
        <v>3</v>
      </c>
      <c r="BT44" s="33">
        <f>IF(BR44=Цены!$H$3,Цены!$L$3,IF(BR44=Цены!$H$4,Цены!$L$4,IF(BR44=Цены!$H$5,Цены!$L$5,IF(BR44=Цены!$H$6,Цены!$L$6,IF(BR44=Цены!$H$7,Цены!$L$7,IF(BR44=Цены!$H$8,Цены!$L$8,IF(BR44=Цены!$H$9,Цены!$L$9,IF(BR44=Цены!$H$10,Цены!$L$10,IF(BR44=Цены!$H$11,Цены!$L$11,IF(BR44=Цены!$H$12,Цены!$L$12,IF(BR44=Цены!$H$13,Цены!$L$13,IF(BR44=Цены!$H$14,Цены!$L$14,IF(BR44=Цены!$H$14,Цены!$L$14,IF(BR44=Цены!$H$15,Цены!$L$15,IF(BR44=Цены!$H$16,Цены!$L$16,IF(BR44=Цены!$H$17,Цены!$L$17,IF(BR44=Цены!$H$18,Цены!$L$18,IF(BR44=Цены!$H$19,Цены!$L$19,IF(BR44=Цены!$H$20,Цены!$L$20,IF(BR44=Цены!$H$21,Цены!$L$21,IF(BR44=Цены!$H$22,Цены!$L$22,IF(BR44=Цены!$H$23,Цены!$L$23,IF(BR44=Цены!$H$24,Цены!$L$24,IF(BR44=Цены!$H$25,Цены!$L$25,IF(BR44=Цены!$H$26,Цены!$L$26,IF(BR44=Цены!$H$27,Цены!$L$27,IF(BR44=Цены!$H$28,Цены!$L$28,IF(BR44=Цены!$H$29,Цены!$L$29,IF(BR44=Цены!$H$30,Цены!$L$30,IF(BR44=Цены!$H$31,Цены!$L$31,IF(BR44=Цены!$H$32,Цены!$L$32,IF(BR44=Цены!$H$33,Цены!$L$33,IF(BR44=Цены!$H$34,Цены!$L$34,IF(BR44=Цены!$H$35,Цены!$L$35,IF(BR44=Цены!$H$36,Цены!$L$36,IF(BR44=Цены!$H$37,Цены!$L$37,IF(BR44=Цены!$H$38,Цены!$L$38,IF(BR44=Цены!$H$39,Цены!$L$39,IF(BR44=Цены!$H$40,Цены!$L$40,IF(BR44=Цены!$H$41,Цены!$L$41,IF(BR44=Цены!$H$42,Цены!$L$42,IF(BR44=Цены!$H$43,Цены!$L$43,IF(BR44=Цены!$H$44,Цены!$L$44,IF(BR44=Цены!$H$45,Цены!$L$45,IF(BR44=Цены!$H$46,Цены!$L$46,IF(BR44=Цены!$H$47,Цены!$L$47,IF(BR44=Цены!$H$48,Цены!$L$48,IF(BR44=Цены!$H$49,Цены!$L$49,IF(BR44=Цены!$H$50,Цены!$L$50,IF(BR44=Цены!$H$51,Цены!$L$51,IF(BR44=Цены!$H$52,Цены!$L$52,IF(BR44=Цены!$H$53,Цены!$L$53,IF(BR44=Цены!$H$54,Цены!$L$54,IF(BR44=Цены!$H$55,Цены!$L$55))))))))))))))))))))))))))))))))))))))))))))))))))))))</f>
        <v>0.6</v>
      </c>
      <c r="BU44" s="276"/>
      <c r="BV44" s="34">
        <f>IF(BR44=Цены!$H$3,Цены!$K$3,IF(BR44=Цены!$H$4,Цены!$K$4,IF(BR44=Цены!$H$5,Цены!$K$5,IF(BR44=Цены!$H$6,Цены!$K$6,IF(BR44=Цены!$H$7,Цены!$K$7,IF(BR44=Цены!$H$8,Цены!$K$8,IF(BR44=Цены!$H$9,Цены!$K$9,IF(BR44=Цены!$H$10,Цены!$K$10,IF(BR44=Цены!$H$11,Цены!$K$11,IF(BR44=Цены!$H$12,Цены!$K$12,IF(BR44=Цены!$H$13,Цены!$K$13,IF(BR44=Цены!$H$14,Цены!$K$14,IF(BR44=Цены!$H$14,Цены!$K$14,IF(BR44=Цены!$H$15,Цены!$K$15,IF(BR44=Цены!$H$16,Цены!$K$16,IF(BR44=Цены!$H$17,Цены!$K$17,IF(BR44=Цены!$H$18,Цены!$K$18,IF(BR44=Цены!$H$19,Цены!$K$19,IF(BR44=Цены!$H$20,Цены!$K$20,IF(BR44=Цены!$H$21,Цены!$K$21,IF(BR44=Цены!$H$22,Цены!$K$22,IF(BR44=Цены!$H$23,Цены!$K$23,IF(BR44=Цены!$H$24,Цены!$K$24,IF(BR44=Цены!$H$25,Цены!$K$25,IF(BR44=Цены!$H$26,Цены!$K$26,IF(BR44=Цены!$H$27,Цены!$K$27,IF(BR44=Цены!$H$28,Цены!$K$28,IF(BR44=Цены!$H$29,Цены!$K$29,IF(BR44=Цены!$H$30,Цены!$K$30,IF(BR44=Цены!$H$31,Цены!$K$31,IF(BR44=Цены!$H$32,Цены!$K$32,IF(BR44=Цены!$H$33,Цены!$K$33,IF(BR44=Цены!$H$34,Цены!$K$34,IF(BR44=Цены!$H$35,Цены!$K$35,IF(BR44=Цены!$H$36,Цены!$K$36,IF(BR44=Цены!$H$37,Цены!$K$37,IF(BR44=Цены!$H$38,Цены!$K$38,IF(BR44=Цены!$H$39,Цены!$K$39,IF(BR44=Цены!$H$40,Цены!$K$40,IF(BR44=Цены!$H$41,Цены!$K$41,IF(BR44=Цены!$H$42,Цены!$K$42,IF(BR44=Цены!$H$43,Цены!$K$43,IF(BR44=Цены!$H$44,Цены!$K$44,IF(BR44=Цены!$H$45,Цены!$K$45,IF(BR44=Цены!$H$46,Цены!$K$46,IF(BR44=Цены!$H$47,Цены!$K$47,IF(BR44=Цены!$H$48,Цены!$K$48,IF(BR44=Цены!$H$49,Цены!$K$49,IF(BR44=Цены!$H$50,Цены!$K$50,IF(BR44=Цены!$H$51,Цены!$K$51,IF(BR44=Цены!$H$52,Цены!$K$52,IF(BR44=Цены!$H$53,Цены!$K$53,IF(BR44=Цены!$H$54,Цены!$K$54,IF(BR44=Цены!$H$55,Цены!$K$55))))))))))))))))))))))))))))))))))))))))))))))))))))))</f>
        <v>166</v>
      </c>
      <c r="BW44" s="265"/>
      <c r="BX44" s="265"/>
      <c r="BY44" s="269"/>
      <c r="BZ44" s="286"/>
      <c r="CA44" s="286"/>
      <c r="CB44" s="268"/>
      <c r="CC44" s="269"/>
      <c r="CD44" s="287"/>
      <c r="CE44" s="117" t="s">
        <v>122</v>
      </c>
      <c r="CF44" s="43">
        <v>3</v>
      </c>
      <c r="CG44" s="33">
        <f>IF(CE44=Цены!$H$3,Цены!$L$3,IF(CE44=Цены!$H$4,Цены!$L$4,IF(CE44=Цены!$H$5,Цены!$L$5,IF(CE44=Цены!$H$6,Цены!$L$6,IF(CE44=Цены!$H$7,Цены!$L$7,IF(CE44=Цены!$H$8,Цены!$L$8,IF(CE44=Цены!$H$9,Цены!$L$9,IF(CE44=Цены!$H$10,Цены!$L$10,IF(CE44=Цены!$H$11,Цены!$L$11,IF(CE44=Цены!$H$12,Цены!$L$12,IF(CE44=Цены!$H$13,Цены!$L$13,IF(CE44=Цены!$H$14,Цены!$L$14,IF(CE44=Цены!$H$14,Цены!$L$14,IF(CE44=Цены!$H$15,Цены!$L$15,IF(CE44=Цены!$H$16,Цены!$L$16,IF(CE44=Цены!$H$17,Цены!$L$17,IF(CE44=Цены!$H$18,Цены!$L$18,IF(CE44=Цены!$H$19,Цены!$L$19,IF(CE44=Цены!$H$20,Цены!$L$20,IF(CE44=Цены!$H$21,Цены!$L$21,IF(CE44=Цены!$H$22,Цены!$L$22,IF(CE44=Цены!$H$23,Цены!$L$23,IF(CE44=Цены!$H$24,Цены!$L$24,IF(CE44=Цены!$H$25,Цены!$L$25,IF(CE44=Цены!$H$26,Цены!$L$26,IF(CE44=Цены!$H$27,Цены!$L$27,IF(CE44=Цены!$H$28,Цены!$L$28,IF(CE44=Цены!$H$29,Цены!$L$29,IF(CE44=Цены!$H$30,Цены!$L$30,IF(CE44=Цены!$H$31,Цены!$L$31,IF(CE44=Цены!$H$32,Цены!$L$32,IF(CE44=Цены!$H$33,Цены!$L$33,IF(CE44=Цены!$H$34,Цены!$L$34,IF(CE44=Цены!$H$35,Цены!$L$35,IF(CE44=Цены!$H$36,Цены!$L$36,IF(CE44=Цены!$H$37,Цены!$L$37,IF(CE44=Цены!$H$38,Цены!$L$38,IF(CE44=Цены!$H$39,Цены!$L$39,IF(CE44=Цены!$H$40,Цены!$L$40,IF(CE44=Цены!$H$41,Цены!$L$41,IF(CE44=Цены!$H$42,Цены!$L$42,IF(CE44=Цены!$H$43,Цены!$L$43,IF(CE44=Цены!$H$44,Цены!$L$44,IF(CE44=Цены!$H$45,Цены!$L$45,IF(CE44=Цены!$H$46,Цены!$L$46,IF(CE44=Цены!$H$47,Цены!$L$47,IF(CE44=Цены!$H$48,Цены!$L$48,IF(CE44=Цены!$H$49,Цены!$L$49,IF(CE44=Цены!$H$50,Цены!$L$50,IF(CE44=Цены!$H$51,Цены!$L$51,IF(CE44=Цены!$H$52,Цены!$L$52,IF(CE44=Цены!$H$53,Цены!$L$53,IF(CE44=Цены!$H$54,Цены!$L$54,IF(CE44=Цены!$H$55,Цены!$L$55))))))))))))))))))))))))))))))))))))))))))))))))))))))</f>
        <v>0.6</v>
      </c>
      <c r="CH44" s="276"/>
      <c r="CI44" s="34">
        <f>IF(CE44=Цены!$H$3,Цены!$K$3,IF(CE44=Цены!$H$4,Цены!$K$4,IF(CE44=Цены!$H$5,Цены!$K$5,IF(CE44=Цены!$H$6,Цены!$K$6,IF(CE44=Цены!$H$7,Цены!$K$7,IF(CE44=Цены!$H$8,Цены!$K$8,IF(CE44=Цены!$H$9,Цены!$K$9,IF(CE44=Цены!$H$10,Цены!$K$10,IF(CE44=Цены!$H$11,Цены!$K$11,IF(CE44=Цены!$H$12,Цены!$K$12,IF(CE44=Цены!$H$13,Цены!$K$13,IF(CE44=Цены!$H$14,Цены!$K$14,IF(CE44=Цены!$H$14,Цены!$K$14,IF(CE44=Цены!$H$15,Цены!$K$15,IF(CE44=Цены!$H$16,Цены!$K$16,IF(CE44=Цены!$H$17,Цены!$K$17,IF(CE44=Цены!$H$18,Цены!$K$18,IF(CE44=Цены!$H$19,Цены!$K$19,IF(CE44=Цены!$H$20,Цены!$K$20,IF(CE44=Цены!$H$21,Цены!$K$21,IF(CE44=Цены!$H$22,Цены!$K$22,IF(CE44=Цены!$H$23,Цены!$K$23,IF(CE44=Цены!$H$24,Цены!$K$24,IF(CE44=Цены!$H$25,Цены!$K$25,IF(CE44=Цены!$H$26,Цены!$K$26,IF(CE44=Цены!$H$27,Цены!$K$27,IF(CE44=Цены!$H$28,Цены!$K$28,IF(CE44=Цены!$H$29,Цены!$K$29,IF(CE44=Цены!$H$30,Цены!$K$30,IF(CE44=Цены!$H$31,Цены!$K$31,IF(CE44=Цены!$H$32,Цены!$K$32,IF(CE44=Цены!$H$33,Цены!$K$33,IF(CE44=Цены!$H$34,Цены!$K$34,IF(CE44=Цены!$H$35,Цены!$K$35,IF(CE44=Цены!$H$36,Цены!$K$36,IF(CE44=Цены!$H$37,Цены!$K$37,IF(CE44=Цены!$H$38,Цены!$K$38,IF(CE44=Цены!$H$39,Цены!$K$39,IF(CE44=Цены!$H$40,Цены!$K$40,IF(CE44=Цены!$H$41,Цены!$K$41,IF(CE44=Цены!$H$42,Цены!$K$42,IF(CE44=Цены!$H$43,Цены!$K$43,IF(CE44=Цены!$H$44,Цены!$K$44,IF(CE44=Цены!$H$45,Цены!$K$45,IF(CE44=Цены!$H$46,Цены!$K$46,IF(CE44=Цены!$H$47,Цены!$K$47,IF(CE44=Цены!$H$48,Цены!$K$48,IF(CE44=Цены!$H$49,Цены!$K$49,IF(CE44=Цены!$H$50,Цены!$K$50,IF(CE44=Цены!$H$51,Цены!$K$51,IF(CE44=Цены!$H$52,Цены!$K$52,IF(CE44=Цены!$H$53,Цены!$K$53,IF(CE44=Цены!$H$54,Цены!$K$54,IF(CE44=Цены!$H$55,Цены!$K$55))))))))))))))))))))))))))))))))))))))))))))))))))))))</f>
        <v>166</v>
      </c>
      <c r="CJ44" s="265"/>
      <c r="CK44" s="265"/>
      <c r="CL44" s="269"/>
      <c r="CM44" s="286"/>
      <c r="CN44" s="286"/>
      <c r="CO44" s="268"/>
      <c r="CP44" s="269"/>
      <c r="CQ44" s="287"/>
    </row>
    <row r="45" spans="1:95" ht="15.75" hidden="1" customHeight="1" x14ac:dyDescent="0.25">
      <c r="A45" s="341"/>
      <c r="B45" s="265"/>
      <c r="C45" s="265"/>
      <c r="D45" s="26" t="s">
        <v>123</v>
      </c>
      <c r="E45" s="25">
        <v>4</v>
      </c>
      <c r="F45" s="27">
        <f>IF(D45=Цены!$H$3,Цены!$L$3,IF(D45=Цены!$H$4,Цены!$L$4,IF(D45=Цены!$H$5,Цены!$L$5,IF(D45=Цены!$H$6,Цены!$L$6,IF(D45=Цены!$H$7,Цены!$L$7,IF(D45=Цены!$H$8,Цены!$L$8,IF(D45=Цены!$H$9,Цены!$L$9,IF(D45=Цены!$H$10,Цены!$L$10,IF(D45=Цены!$H$11,Цены!$L$11,IF(D45=Цены!$H$12,Цены!$L$12,IF(D45=Цены!$H$13,Цены!$L$13,IF(D45=Цены!$H$14,Цены!$L$14,IF(D45=Цены!$H$14,Цены!$L$14,IF(D45=Цены!$H$15,Цены!$L$15,IF(D45=Цены!$H$16,Цены!$L$16,IF(D45=Цены!$H$17,Цены!$L$17,IF(D45=Цены!$H$18,Цены!$L$18,IF(D45=Цены!$H$19,Цены!$L$19,IF(D45=Цены!$H$20,Цены!$L$20,IF(D45=Цены!$H$21,Цены!$L$21,IF(D45=Цены!$H$22,Цены!$L$22,IF(D45=Цены!$H$23,Цены!$L$23,IF(D45=Цены!$H$24,Цены!$L$24,IF(D45=Цены!$H$25,Цены!$L$25,IF(D45=Цены!$H$26,Цены!$L$26,IF(D45=Цены!$H$27,Цены!$L$27,IF(D45=Цены!$H$28,Цены!$L$28,IF(D45=Цены!$H$29,Цены!$L$29,IF(D45=Цены!$H$30,Цены!$L$30,IF(D45=Цены!$H$31,Цены!$L$31,IF(D45=Цены!$H$32,Цены!$L$32,IF(D45=Цены!$H$33,Цены!$L$33,IF(D45=Цены!$H$34,Цены!$L$34,IF(D45=Цены!$H$35,Цены!$L$35,IF(D45=Цены!$H$36,Цены!$L$36,IF(D45=Цены!$H$37,Цены!$L$37,IF(D45=Цены!$H$38,Цены!$L$38,IF(D45=Цены!$H$39,Цены!$L$39,IF(D45=Цены!$H$40,Цены!$L$40,IF(D45=Цены!$H$41,Цены!$L$41,IF(D45=Цены!$H$42,Цены!$L$42,IF(D45=Цены!$H$43,Цены!$L$43,IF(D45=Цены!$H$44,Цены!$L$44,IF(D45=Цены!$H$45,Цены!$L$45,IF(D45=Цены!$H$46,Цены!$L$46,IF(D45=Цены!$H$47,Цены!$L$47,IF(D45=Цены!$H$48,Цены!$L$48,IF(D45=Цены!$H$49,Цены!$L$49,IF(D45=Цены!$H$50,Цены!$L$50,IF(D45=Цены!$H$51,Цены!$L$51,IF(D45=Цены!$H$52,Цены!$L$52,IF(D45=Цены!$H$53,Цены!$L$53,IF(D45=Цены!$H$54,Цены!$L$54,IF(D45=Цены!$H$55,Цены!$L$55))))))))))))))))))))))))))))))))))))))))))))))))))))))</f>
        <v>0.39</v>
      </c>
      <c r="G45" s="309"/>
      <c r="H45" s="28">
        <f>IF(D45=Цены!$H$3,Цены!$K$3,IF(D45=Цены!$H$4,Цены!$K$4,IF(D45=Цены!$H$5,Цены!$K$5,IF(D45=Цены!$H$6,Цены!$K$6,IF(D45=Цены!$H$7,Цены!$K$7,IF(D45=Цены!$H$8,Цены!$K$8,IF(D45=Цены!$H$9,Цены!$K$9,IF(D45=Цены!$H$10,Цены!$K$10,IF(D45=Цены!$H$11,Цены!$K$11,IF(D45=Цены!$H$12,Цены!$K$12,IF(D45=Цены!$H$13,Цены!$K$13,IF(D45=Цены!$H$14,Цены!$K$14,IF(D45=Цены!$H$14,Цены!$K$14,IF(D45=Цены!$H$15,Цены!$K$15,IF(D45=Цены!$H$16,Цены!$K$16,IF(D45=Цены!$H$17,Цены!$K$17,IF(D45=Цены!$H$18,Цены!$K$18,IF(D45=Цены!$H$19,Цены!$K$19,IF(D45=Цены!$H$20,Цены!$K$20,IF(D45=Цены!$H$21,Цены!$K$21,IF(D45=Цены!$H$22,Цены!$K$22,IF(D45=Цены!$H$23,Цены!$K$23,IF(D45=Цены!$H$24,Цены!$K$24,IF(D45=Цены!$H$25,Цены!$K$25,IF(D45=Цены!$H$26,Цены!$K$26,IF(D45=Цены!$H$27,Цены!$K$27,IF(D45=Цены!$H$28,Цены!$K$28,IF(D45=Цены!$H$29,Цены!$K$29,IF(D45=Цены!$H$30,Цены!$K$30,IF(D45=Цены!$H$31,Цены!$K$31,IF(D45=Цены!$H$32,Цены!$K$32,IF(D45=Цены!$H$33,Цены!$K$33,IF(D45=Цены!$H$34,Цены!$K$34,IF(D45=Цены!$H$35,Цены!$K$35,IF(D45=Цены!$H$36,Цены!$K$36,IF(D45=Цены!$H$37,Цены!$K$37,IF(D45=Цены!$H$38,Цены!$K$38,IF(D45=Цены!$H$39,Цены!$K$39,IF(D45=Цены!$H$40,Цены!$K$40,IF(D45=Цены!$H$41,Цены!$K$41,IF(D45=Цены!$H$42,Цены!$K$42,IF(D45=Цены!$H$43,Цены!$K$43,IF(D45=Цены!$H$44,Цены!$K$44,IF(D45=Цены!$H$45,Цены!$K$45,IF(D45=Цены!$H$46,Цены!$K$46,IF(D45=Цены!$H$47,Цены!$K$47,IF(D45=Цены!$H$48,Цены!$K$48,IF(D45=Цены!$H$49,Цены!$K$49,IF(D45=Цены!$H$50,Цены!$K$50,IF(D45=Цены!$H$51,Цены!$K$51,IF(D45=Цены!$H$52,Цены!$K$52,IF(D45=Цены!$H$53,Цены!$K$53,IF(D45=Цены!$H$54,Цены!$K$54,IF(D45=Цены!$H$55,Цены!$K$55))))))))))))))))))))))))))))))))))))))))))))))))))))))</f>
        <v>624</v>
      </c>
      <c r="I45" s="265"/>
      <c r="J45" s="265"/>
      <c r="K45" s="310"/>
      <c r="L45" s="265"/>
      <c r="M45" s="265"/>
      <c r="N45" s="265"/>
      <c r="O45" s="310"/>
      <c r="P45" s="313"/>
      <c r="Q45" s="35"/>
      <c r="R45" s="30"/>
      <c r="S45" s="27" t="b">
        <f>IF(Q45=Цены!$H$3,Цены!$L$3,IF(Q45=Цены!$H$4,Цены!$L$4,IF(Q45=Цены!$H$5,Цены!$L$5,IF(Q45=Цены!$H$6,Цены!$L$6,IF(Q45=Цены!$H$7,Цены!$L$7,IF(Q45=Цены!$H$8,Цены!$L$8,IF(Q45=Цены!$H$9,Цены!$L$9,IF(Q45=Цены!$H$10,Цены!$L$10,IF(Q45=Цены!$H$11,Цены!$L$11,IF(Q45=Цены!$H$12,Цены!$L$12,IF(Q45=Цены!$H$13,Цены!$L$13,IF(Q45=Цены!$H$14,Цены!$L$14,IF(Q45=Цены!$H$14,Цены!$L$14,IF(Q45=Цены!$H$15,Цены!$L$15,IF(Q45=Цены!$H$16,Цены!$L$16,IF(Q45=Цены!$H$17,Цены!$L$17,IF(Q45=Цены!$H$18,Цены!$L$18,IF(Q45=Цены!$H$19,Цены!$L$19,IF(Q45=Цены!$H$20,Цены!$L$20,IF(Q45=Цены!$H$21,Цены!$L$21,IF(Q45=Цены!$H$22,Цены!$L$22,IF(Q45=Цены!$H$23,Цены!$L$23,IF(Q45=Цены!$H$24,Цены!$L$24,IF(Q45=Цены!$H$25,Цены!$L$25,IF(Q45=Цены!$H$26,Цены!$L$26,IF(Q45=Цены!$H$27,Цены!$L$27,IF(Q45=Цены!$H$28,Цены!$L$28,IF(Q45=Цены!$H$29,Цены!$L$29,IF(Q45=Цены!$H$30,Цены!$L$30,IF(Q45=Цены!$H$31,Цены!$L$31,IF(Q45=Цены!$H$32,Цены!$L$32,IF(Q45=Цены!$H$33,Цены!$L$33,IF(Q45=Цены!$H$34,Цены!$L$34,IF(Q45=Цены!$H$35,Цены!$L$35,IF(Q45=Цены!$H$36,Цены!$L$36,IF(Q45=Цены!$H$37,Цены!$L$37,IF(Q45=Цены!$H$38,Цены!$L$38,IF(Q45=Цены!$H$39,Цены!$L$39,IF(Q45=Цены!$H$40,Цены!$L$40,IF(Q45=Цены!$H$41,Цены!$L$41,IF(Q45=Цены!$H$42,Цены!$L$42,IF(Q45=Цены!$H$43,Цены!$L$43,IF(Q45=Цены!$H$44,Цены!$L$44,IF(Q45=Цены!$H$45,Цены!$L$45,IF(Q45=Цены!$H$46,Цены!$L$46,IF(Q45=Цены!$H$47,Цены!$L$47,IF(Q45=Цены!$H$48,Цены!$L$48,IF(Q45=Цены!$H$49,Цены!$L$49,IF(Q45=Цены!$H$50,Цены!$L$50,IF(Q45=Цены!$H$51,Цены!$L$51,IF(Q45=Цены!$H$52,Цены!$L$52,IF(Q45=Цены!$H$53,Цены!$L$53,IF(Q45=Цены!$H$54,Цены!$L$54,IF(Q45=Цены!$H$55,Цены!$L$55))))))))))))))))))))))))))))))))))))))))))))))))))))))</f>
        <v>0</v>
      </c>
      <c r="T45" s="309"/>
      <c r="U45" s="162" t="b">
        <f>IF(Q45=Цены!$H$3,Цены!$K$3,IF(Q45=Цены!$H$4,Цены!$K$4,IF(Q45=Цены!$H$5,Цены!$K$5,IF(Q45=Цены!$H$6,Цены!$K$6,IF(Q45=Цены!$H$7,Цены!$K$7,IF(Q45=Цены!$H$8,Цены!$K$8,IF(Q45=Цены!$H$9,Цены!$K$9,IF(Q45=Цены!$H$10,Цены!$K$10,IF(Q45=Цены!$H$11,Цены!$K$11,IF(Q45=Цены!$H$12,Цены!$K$12,IF(Q45=Цены!$H$13,Цены!$K$13,IF(Q45=Цены!$H$14,Цены!$K$14,IF(Q45=Цены!$H$14,Цены!$K$14,IF(Q45=Цены!$H$15,Цены!$K$15,IF(Q45=Цены!$H$16,Цены!$K$16,IF(Q45=Цены!$H$17,Цены!$K$17,IF(Q45=Цены!$H$18,Цены!$K$18,IF(Q45=Цены!$H$19,Цены!$K$19,IF(Q45=Цены!$H$20,Цены!$K$20,IF(Q45=Цены!$H$21,Цены!$K$21,IF(Q45=Цены!$H$22,Цены!$K$22,IF(Q45=Цены!$H$23,Цены!$K$23,IF(Q45=Цены!$H$24,Цены!$K$24,IF(Q45=Цены!$H$25,Цены!$K$25,IF(Q45=Цены!$H$26,Цены!$K$26,IF(Q45=Цены!$H$27,Цены!$K$27,IF(Q45=Цены!$H$28,Цены!$K$28,IF(Q45=Цены!$H$29,Цены!$K$29,IF(Q45=Цены!$H$30,Цены!$K$30,IF(Q45=Цены!$H$31,Цены!$K$31,IF(Q45=Цены!$H$32,Цены!$K$32,IF(Q45=Цены!$H$33,Цены!$K$33,IF(Q45=Цены!$H$34,Цены!$K$34,IF(Q45=Цены!$H$35,Цены!$K$35,IF(Q45=Цены!$H$36,Цены!$K$36,IF(Q45=Цены!$H$37,Цены!$K$37,IF(Q45=Цены!$H$38,Цены!$K$38,IF(Q45=Цены!$H$39,Цены!$K$39,IF(Q45=Цены!$H$40,Цены!$K$40,IF(Q45=Цены!$H$41,Цены!$K$41,IF(Q45=Цены!$H$42,Цены!$K$42,IF(Q45=Цены!$H$43,Цены!$K$43,IF(Q45=Цены!$H$44,Цены!$K$44,IF(Q45=Цены!$H$45,Цены!$K$45,IF(Q45=Цены!$H$46,Цены!$K$46,IF(Q45=Цены!$H$47,Цены!$K$47,IF(Q45=Цены!$H$48,Цены!$K$48,IF(Q45=Цены!$H$49,Цены!$K$49,IF(Q45=Цены!$H$50,Цены!$K$50,IF(Q45=Цены!$H$51,Цены!$K$51,IF(Q45=Цены!$H$52,Цены!$K$52,IF(Q45=Цены!$H$53,Цены!$K$53,IF(Q45=Цены!$H$54,Цены!$K$54,IF(Q45=Цены!$H$55,Цены!$K$55))))))))))))))))))))))))))))))))))))))))))))))))))))))</f>
        <v>0</v>
      </c>
      <c r="V45" s="265"/>
      <c r="W45" s="265"/>
      <c r="X45" s="310"/>
      <c r="Y45" s="265"/>
      <c r="Z45" s="265"/>
      <c r="AA45" s="265"/>
      <c r="AB45" s="310"/>
      <c r="AC45" s="313"/>
      <c r="AD45" s="123" t="s">
        <v>89</v>
      </c>
      <c r="AE45" s="128">
        <v>5</v>
      </c>
      <c r="AF45" s="27">
        <f>IF(AD45=Цены!$H$3,Цены!$L$3,IF(AD45=Цены!$H$4,Цены!$L$4,IF(AD45=Цены!$H$5,Цены!$L$5,IF(AD45=Цены!$H$6,Цены!$L$6,IF(AD45=Цены!$H$7,Цены!$L$7,IF(AD45=Цены!$H$8,Цены!$L$8,IF(AD45=Цены!$H$9,Цены!$L$9,IF(AD45=Цены!$H$10,Цены!$L$10,IF(AD45=Цены!$H$11,Цены!$L$11,IF(AD45=Цены!$H$12,Цены!$L$12,IF(AD45=Цены!$H$13,Цены!$L$13,IF(AD45=Цены!$H$14,Цены!$L$14,IF(AD45=Цены!$H$14,Цены!$L$14,IF(AD45=Цены!$H$15,Цены!$L$15,IF(AD45=Цены!$H$16,Цены!$L$16,IF(AD45=Цены!$H$17,Цены!$L$17,IF(AD45=Цены!$H$18,Цены!$L$18,IF(AD45=Цены!$H$19,Цены!$L$19,IF(AD45=Цены!$H$20,Цены!$L$20,IF(AD45=Цены!$H$21,Цены!$L$21,IF(AD45=Цены!$H$22,Цены!$L$22,IF(AD45=Цены!$H$23,Цены!$L$23,IF(AD45=Цены!$H$24,Цены!$L$24,IF(AD45=Цены!$H$25,Цены!$L$25,IF(AD45=Цены!$H$26,Цены!$L$26,IF(AD45=Цены!$H$27,Цены!$L$27,IF(AD45=Цены!$H$28,Цены!$L$28,IF(AD45=Цены!$H$29,Цены!$L$29,IF(AD45=Цены!$H$30,Цены!$L$30,IF(AD45=Цены!$H$31,Цены!$L$31,IF(AD45=Цены!$H$32,Цены!$L$32,IF(AD45=Цены!$H$33,Цены!$L$33,IF(AD45=Цены!$H$34,Цены!$L$34,IF(AD45=Цены!$H$35,Цены!$L$35,IF(AD45=Цены!$H$36,Цены!$L$36,IF(AD45=Цены!$H$37,Цены!$L$37,IF(AD45=Цены!$H$38,Цены!$L$38,IF(AD45=Цены!$H$39,Цены!$L$39,IF(AD45=Цены!$H$40,Цены!$L$40,IF(AD45=Цены!$H$41,Цены!$L$41,IF(AD45=Цены!$H$42,Цены!$L$42,IF(AD45=Цены!$H$43,Цены!$L$43,IF(AD45=Цены!$H$44,Цены!$L$44,IF(AD45=Цены!$H$45,Цены!$L$45,IF(AD45=Цены!$H$46,Цены!$L$46,IF(AD45=Цены!$H$47,Цены!$L$47,IF(AD45=Цены!$H$48,Цены!$L$48,IF(AD45=Цены!$H$49,Цены!$L$49,IF(AD45=Цены!$H$50,Цены!$L$50,IF(AD45=Цены!$H$51,Цены!$L$51,IF(AD45=Цены!$H$52,Цены!$L$52,IF(AD45=Цены!$H$53,Цены!$L$53,IF(AD45=Цены!$H$54,Цены!$L$54,IF(AD45=Цены!$H$55,Цены!$L$55))))))))))))))))))))))))))))))))))))))))))))))))))))))</f>
        <v>1.1499999999999999</v>
      </c>
      <c r="AG45" s="309"/>
      <c r="AH45" s="28">
        <f>IF(AD45=Цены!$H$3,Цены!$K$3,IF(AD45=Цены!$H$4,Цены!$K$4,IF(AD45=Цены!$H$5,Цены!$K$5,IF(AD45=Цены!$H$6,Цены!$K$6,IF(AD45=Цены!$H$7,Цены!$K$7,IF(AD45=Цены!$H$8,Цены!$K$8,IF(AD45=Цены!$H$9,Цены!$K$9,IF(AD45=Цены!$H$10,Цены!$K$10,IF(AD45=Цены!$H$11,Цены!$K$11,IF(AD45=Цены!$H$12,Цены!$K$12,IF(AD45=Цены!$H$13,Цены!$K$13,IF(AD45=Цены!$H$14,Цены!$K$14,IF(AD45=Цены!$H$14,Цены!$K$14,IF(AD45=Цены!$H$15,Цены!$K$15,IF(AD45=Цены!$H$16,Цены!$K$16,IF(AD45=Цены!$H$17,Цены!$K$17,IF(AD45=Цены!$H$18,Цены!$K$18,IF(AD45=Цены!$H$19,Цены!$K$19,IF(AD45=Цены!$H$20,Цены!$K$20,IF(AD45=Цены!$H$21,Цены!$K$21,IF(AD45=Цены!$H$22,Цены!$K$22,IF(AD45=Цены!$H$23,Цены!$K$23,IF(AD45=Цены!$H$24,Цены!$K$24,IF(AD45=Цены!$H$25,Цены!$K$25,IF(AD45=Цены!$H$26,Цены!$K$26,IF(AD45=Цены!$H$27,Цены!$K$27,IF(AD45=Цены!$H$28,Цены!$K$28,IF(AD45=Цены!$H$29,Цены!$K$29,IF(AD45=Цены!$H$30,Цены!$K$30,IF(AD45=Цены!$H$31,Цены!$K$31,IF(AD45=Цены!$H$32,Цены!$K$32,IF(AD45=Цены!$H$33,Цены!$K$33,IF(AD45=Цены!$H$34,Цены!$K$34,IF(AD45=Цены!$H$35,Цены!$K$35,IF(AD45=Цены!$H$36,Цены!$K$36,IF(AD45=Цены!$H$37,Цены!$K$37,IF(AD45=Цены!$H$38,Цены!$K$38,IF(AD45=Цены!$H$39,Цены!$K$39,IF(AD45=Цены!$H$40,Цены!$K$40,IF(AD45=Цены!$H$41,Цены!$K$41,IF(AD45=Цены!$H$42,Цены!$K$42,IF(AD45=Цены!$H$43,Цены!$K$43,IF(AD45=Цены!$H$44,Цены!$K$44,IF(AD45=Цены!$H$45,Цены!$K$45,IF(AD45=Цены!$H$46,Цены!$K$46,IF(AD45=Цены!$H$47,Цены!$K$47,IF(AD45=Цены!$H$48,Цены!$K$48,IF(AD45=Цены!$H$49,Цены!$K$49,IF(AD45=Цены!$H$50,Цены!$K$50,IF(AD45=Цены!$H$51,Цены!$K$51,IF(AD45=Цены!$H$52,Цены!$K$52,IF(AD45=Цены!$H$53,Цены!$K$53,IF(AD45=Цены!$H$54,Цены!$K$54,IF(AD45=Цены!$H$55,Цены!$K$55))))))))))))))))))))))))))))))))))))))))))))))))))))))</f>
        <v>400</v>
      </c>
      <c r="AI45" s="265"/>
      <c r="AJ45" s="265"/>
      <c r="AK45" s="310"/>
      <c r="AL45" s="265"/>
      <c r="AM45" s="265"/>
      <c r="AN45" s="265"/>
      <c r="AO45" s="310"/>
      <c r="AP45" s="313"/>
      <c r="AQ45" s="123"/>
      <c r="AR45" s="129"/>
      <c r="AS45" s="33" t="b">
        <f>IF(AQ45=Цены!$H$3,Цены!$L$3,IF(AQ45=Цены!$H$4,Цены!$L$4,IF(AQ45=Цены!$H$5,Цены!$L$5,IF(AQ45=Цены!$H$6,Цены!$L$6,IF(AQ45=Цены!$H$7,Цены!$L$7,IF(AQ45=Цены!$H$8,Цены!$L$8,IF(AQ45=Цены!$H$9,Цены!$L$9,IF(AQ45=Цены!$H$10,Цены!$L$10,IF(AQ45=Цены!$H$11,Цены!$L$11,IF(AQ45=Цены!$H$12,Цены!$L$12,IF(AQ45=Цены!$H$13,Цены!$L$13,IF(AQ45=Цены!$H$14,Цены!$L$14,IF(AQ45=Цены!$H$14,Цены!$L$14,IF(AQ45=Цены!$H$15,Цены!$L$15,IF(AQ45=Цены!$H$16,Цены!$L$16,IF(AQ45=Цены!$H$17,Цены!$L$17,IF(AQ45=Цены!$H$18,Цены!$L$18,IF(AQ45=Цены!$H$19,Цены!$L$19,IF(AQ45=Цены!$H$20,Цены!$L$20,IF(AQ45=Цены!$H$21,Цены!$L$21,IF(AQ45=Цены!$H$22,Цены!$L$22,IF(AQ45=Цены!$H$23,Цены!$L$23,IF(AQ45=Цены!$H$24,Цены!$L$24,IF(AQ45=Цены!$H$25,Цены!$L$25,IF(AQ45=Цены!$H$26,Цены!$L$26,IF(AQ45=Цены!$H$27,Цены!$L$27,IF(AQ45=Цены!$H$28,Цены!$L$28,IF(AQ45=Цены!$H$29,Цены!$L$29,IF(AQ45=Цены!$H$30,Цены!$L$30,IF(AQ45=Цены!$H$31,Цены!$L$31,IF(AQ45=Цены!$H$32,Цены!$L$32,IF(AQ45=Цены!$H$33,Цены!$L$33,IF(AQ45=Цены!$H$34,Цены!$L$34,IF(AQ45=Цены!$H$35,Цены!$L$35,IF(AQ45=Цены!$H$36,Цены!$L$36,IF(AQ45=Цены!$H$37,Цены!$L$37,IF(AQ45=Цены!$H$38,Цены!$L$38,IF(AQ45=Цены!$H$39,Цены!$L$39,IF(AQ45=Цены!$H$40,Цены!$L$40,IF(AQ45=Цены!$H$41,Цены!$L$41,IF(AQ45=Цены!$H$42,Цены!$L$42,IF(AQ45=Цены!$H$43,Цены!$L$43,IF(AQ45=Цены!$H$44,Цены!$L$44,IF(AQ45=Цены!$H$45,Цены!$L$45,IF(AQ45=Цены!$H$46,Цены!$L$46,IF(AQ45=Цены!$H$47,Цены!$L$47,IF(AQ45=Цены!$H$48,Цены!$L$48,IF(AQ45=Цены!$H$49,Цены!$L$49,IF(AQ45=Цены!$H$50,Цены!$L$50,IF(AQ45=Цены!$H$51,Цены!$L$51,IF(AQ45=Цены!$H$52,Цены!$L$52,IF(AQ45=Цены!$H$53,Цены!$L$53,IF(AQ45=Цены!$H$54,Цены!$L$54,IF(AQ45=Цены!$H$55,Цены!$L$55))))))))))))))))))))))))))))))))))))))))))))))))))))))</f>
        <v>0</v>
      </c>
      <c r="AT45" s="276"/>
      <c r="AU45" s="34" t="b">
        <f>IF(AQ45=Цены!$H$3,Цены!$K$3,IF(AQ45=Цены!$H$4,Цены!$K$4,IF(AQ45=Цены!$H$5,Цены!$K$5,IF(AQ45=Цены!$H$6,Цены!$K$6,IF(AQ45=Цены!$H$7,Цены!$K$7,IF(AQ45=Цены!$H$8,Цены!$K$8,IF(AQ45=Цены!$H$9,Цены!$K$9,IF(AQ45=Цены!$H$10,Цены!$K$10,IF(AQ45=Цены!$H$11,Цены!$K$11,IF(AQ45=Цены!$H$12,Цены!$K$12,IF(AQ45=Цены!$H$13,Цены!$K$13,IF(AQ45=Цены!$H$14,Цены!$K$14,IF(AQ45=Цены!$H$14,Цены!$K$14,IF(AQ45=Цены!$H$15,Цены!$K$15,IF(AQ45=Цены!$H$16,Цены!$K$16,IF(AQ45=Цены!$H$17,Цены!$K$17,IF(AQ45=Цены!$H$18,Цены!$K$18,IF(AQ45=Цены!$H$19,Цены!$K$19,IF(AQ45=Цены!$H$20,Цены!$K$20,IF(AQ45=Цены!$H$21,Цены!$K$21,IF(AQ45=Цены!$H$22,Цены!$K$22,IF(AQ45=Цены!$H$23,Цены!$K$23,IF(AQ45=Цены!$H$24,Цены!$K$24,IF(AQ45=Цены!$H$25,Цены!$K$25,IF(AQ45=Цены!$H$26,Цены!$K$26,IF(AQ45=Цены!$H$27,Цены!$K$27,IF(AQ45=Цены!$H$28,Цены!$K$28,IF(AQ45=Цены!$H$29,Цены!$K$29,IF(AQ45=Цены!$H$30,Цены!$K$30,IF(AQ45=Цены!$H$31,Цены!$K$31,IF(AQ45=Цены!$H$32,Цены!$K$32,IF(AQ45=Цены!$H$33,Цены!$K$33,IF(AQ45=Цены!$H$34,Цены!$K$34,IF(AQ45=Цены!$H$35,Цены!$K$35,IF(AQ45=Цены!$H$36,Цены!$K$36,IF(AQ45=Цены!$H$37,Цены!$K$37,IF(AQ45=Цены!$H$38,Цены!$K$38,IF(AQ45=Цены!$H$39,Цены!$K$39,IF(AQ45=Цены!$H$40,Цены!$K$40,IF(AQ45=Цены!$H$41,Цены!$K$41,IF(AQ45=Цены!$H$42,Цены!$K$42,IF(AQ45=Цены!$H$43,Цены!$K$43,IF(AQ45=Цены!$H$44,Цены!$K$44,IF(AQ45=Цены!$H$45,Цены!$K$45,IF(AQ45=Цены!$H$46,Цены!$K$46,IF(AQ45=Цены!$H$47,Цены!$K$47,IF(AQ45=Цены!$H$48,Цены!$K$48,IF(AQ45=Цены!$H$49,Цены!$K$49,IF(AQ45=Цены!$H$50,Цены!$K$50,IF(AQ45=Цены!$H$51,Цены!$K$51,IF(AQ45=Цены!$H$52,Цены!$K$52,IF(AQ45=Цены!$H$53,Цены!$K$53,IF(AQ45=Цены!$H$54,Цены!$K$54,IF(AQ45=Цены!$H$55,Цены!$K$55))))))))))))))))))))))))))))))))))))))))))))))))))))))</f>
        <v>0</v>
      </c>
      <c r="AV45" s="265"/>
      <c r="AW45" s="265"/>
      <c r="AX45" s="269"/>
      <c r="AY45" s="286"/>
      <c r="AZ45" s="286"/>
      <c r="BA45" s="265"/>
      <c r="BB45" s="269"/>
      <c r="BC45" s="287"/>
      <c r="BD45" s="259"/>
      <c r="BE45" s="35"/>
      <c r="BF45" s="71"/>
      <c r="BG45" s="33" t="b">
        <f>IF(BE45=Цены!$H$3,Цены!$L$3,IF(BE45=Цены!$H$4,Цены!$L$4,IF(BE45=Цены!$H$5,Цены!$L$5,IF(BE45=Цены!$H$6,Цены!$L$6,IF(BE45=Цены!$H$7,Цены!$L$7,IF(BE45=Цены!$H$8,Цены!$L$8,IF(BE45=Цены!$H$9,Цены!$L$9,IF(BE45=Цены!$H$10,Цены!$L$10,IF(BE45=Цены!$H$11,Цены!$L$11,IF(BE45=Цены!$H$12,Цены!$L$12,IF(BE45=Цены!$H$13,Цены!$L$13,IF(BE45=Цены!$H$14,Цены!$L$14,IF(BE45=Цены!$H$14,Цены!$L$14,IF(BE45=Цены!$H$15,Цены!$L$15,IF(BE45=Цены!$H$16,Цены!$L$16,IF(BE45=Цены!$H$17,Цены!$L$17,IF(BE45=Цены!$H$18,Цены!$L$18,IF(BE45=Цены!$H$19,Цены!$L$19,IF(BE45=Цены!$H$20,Цены!$L$20,IF(BE45=Цены!$H$21,Цены!$L$21,IF(BE45=Цены!$H$22,Цены!$L$22,IF(BE45=Цены!$H$23,Цены!$L$23,IF(BE45=Цены!$H$24,Цены!$L$24,IF(BE45=Цены!$H$25,Цены!$L$25,IF(BE45=Цены!$H$26,Цены!$L$26,IF(BE45=Цены!$H$27,Цены!$L$27,IF(BE45=Цены!$H$28,Цены!$L$28,IF(BE45=Цены!$H$29,Цены!$L$29,IF(BE45=Цены!$H$30,Цены!$L$30,IF(BE45=Цены!$H$31,Цены!$L$31,IF(BE45=Цены!$H$32,Цены!$L$32,IF(BE45=Цены!$H$33,Цены!$L$33,IF(BE45=Цены!$H$34,Цены!$L$34,IF(BE45=Цены!$H$35,Цены!$L$35,IF(BE45=Цены!$H$36,Цены!$L$36,IF(BE45=Цены!$H$37,Цены!$L$37,IF(BE45=Цены!$H$38,Цены!$L$38,IF(BE45=Цены!$H$39,Цены!$L$39,IF(BE45=Цены!$H$40,Цены!$L$40,IF(BE45=Цены!$H$41,Цены!$L$41,IF(BE45=Цены!$H$42,Цены!$L$42,IF(BE45=Цены!$H$43,Цены!$L$43,IF(BE45=Цены!$H$44,Цены!$L$44,IF(BE45=Цены!$H$45,Цены!$L$45,IF(BE45=Цены!$H$46,Цены!$L$46,IF(BE45=Цены!$H$47,Цены!$L$47,IF(BE45=Цены!$H$48,Цены!$L$48,IF(BE45=Цены!$H$49,Цены!$L$49,IF(BE45=Цены!$H$50,Цены!$L$50,IF(BE45=Цены!$H$51,Цены!$L$51,IF(BE45=Цены!$H$52,Цены!$L$52,IF(BE45=Цены!$H$53,Цены!$L$53,IF(BE45=Цены!$H$54,Цены!$L$54,IF(BE45=Цены!$H$55,Цены!$L$55))))))))))))))))))))))))))))))))))))))))))))))))))))))</f>
        <v>0</v>
      </c>
      <c r="BH45" s="276"/>
      <c r="BI45" s="34" t="b">
        <f>IF(BE45=Цены!$H$3,Цены!$K$3,IF(BE45=Цены!$H$4,Цены!$K$4,IF(BE45=Цены!$H$5,Цены!$K$5,IF(BE45=Цены!$H$6,Цены!$K$6,IF(BE45=Цены!$H$7,Цены!$K$7,IF(BE45=Цены!$H$8,Цены!$K$8,IF(BE45=Цены!$H$9,Цены!$K$9,IF(BE45=Цены!$H$10,Цены!$K$10,IF(BE45=Цены!$H$11,Цены!$K$11,IF(BE45=Цены!$H$12,Цены!$K$12,IF(BE45=Цены!$H$13,Цены!$K$13,IF(BE45=Цены!$H$14,Цены!$K$14,IF(BE45=Цены!$H$14,Цены!$K$14,IF(BE45=Цены!$H$15,Цены!$K$15,IF(BE45=Цены!$H$16,Цены!$K$16,IF(BE45=Цены!$H$17,Цены!$K$17,IF(BE45=Цены!$H$18,Цены!$K$18,IF(BE45=Цены!$H$19,Цены!$K$19,IF(BE45=Цены!$H$20,Цены!$K$20,IF(BE45=Цены!$H$21,Цены!$K$21,IF(BE45=Цены!$H$22,Цены!$K$22,IF(BE45=Цены!$H$23,Цены!$K$23,IF(BE45=Цены!$H$24,Цены!$K$24,IF(BE45=Цены!$H$25,Цены!$K$25,IF(BE45=Цены!$H$26,Цены!$K$26,IF(BE45=Цены!$H$27,Цены!$K$27,IF(BE45=Цены!$H$28,Цены!$K$28,IF(BE45=Цены!$H$29,Цены!$K$29,IF(BE45=Цены!$H$30,Цены!$K$30,IF(BE45=Цены!$H$31,Цены!$K$31,IF(BE45=Цены!$H$32,Цены!$K$32,IF(BE45=Цены!$H$33,Цены!$K$33,IF(BE45=Цены!$H$34,Цены!$K$34,IF(BE45=Цены!$H$35,Цены!$K$35,IF(BE45=Цены!$H$36,Цены!$K$36,IF(BE45=Цены!$H$37,Цены!$K$37,IF(BE45=Цены!$H$38,Цены!$K$38,IF(BE45=Цены!$H$39,Цены!$K$39,IF(BE45=Цены!$H$40,Цены!$K$40,IF(BE45=Цены!$H$41,Цены!$K$41,IF(BE45=Цены!$H$42,Цены!$K$42,IF(BE45=Цены!$H$43,Цены!$K$43,IF(BE45=Цены!$H$44,Цены!$K$44,IF(BE45=Цены!$H$45,Цены!$K$45,IF(BE45=Цены!$H$46,Цены!$K$46,IF(BE45=Цены!$H$47,Цены!$K$47,IF(BE45=Цены!$H$48,Цены!$K$48,IF(BE45=Цены!$H$49,Цены!$K$49,IF(BE45=Цены!$H$50,Цены!$K$50,IF(BE45=Цены!$H$51,Цены!$K$51,IF(BE45=Цены!$H$52,Цены!$K$52,IF(BE45=Цены!$H$53,Цены!$K$53,IF(BE45=Цены!$H$54,Цены!$K$54,IF(BE45=Цены!$H$55,Цены!$K$55))))))))))))))))))))))))))))))))))))))))))))))))))))))</f>
        <v>0</v>
      </c>
      <c r="BJ45" s="265"/>
      <c r="BK45" s="265"/>
      <c r="BL45" s="269"/>
      <c r="BM45" s="286"/>
      <c r="BN45" s="286"/>
      <c r="BO45" s="268"/>
      <c r="BP45" s="269"/>
      <c r="BQ45" s="287"/>
      <c r="BR45" s="35"/>
      <c r="BS45" s="43"/>
      <c r="BT45" s="33" t="b">
        <f>IF(BR45=Цены!$H$3,Цены!$L$3,IF(BR45=Цены!$H$4,Цены!$L$4,IF(BR45=Цены!$H$5,Цены!$L$5,IF(BR45=Цены!$H$6,Цены!$L$6,IF(BR45=Цены!$H$7,Цены!$L$7,IF(BR45=Цены!$H$8,Цены!$L$8,IF(BR45=Цены!$H$9,Цены!$L$9,IF(BR45=Цены!$H$10,Цены!$L$10,IF(BR45=Цены!$H$11,Цены!$L$11,IF(BR45=Цены!$H$12,Цены!$L$12,IF(BR45=Цены!$H$13,Цены!$L$13,IF(BR45=Цены!$H$14,Цены!$L$14,IF(BR45=Цены!$H$14,Цены!$L$14,IF(BR45=Цены!$H$15,Цены!$L$15,IF(BR45=Цены!$H$16,Цены!$L$16,IF(BR45=Цены!$H$17,Цены!$L$17,IF(BR45=Цены!$H$18,Цены!$L$18,IF(BR45=Цены!$H$19,Цены!$L$19,IF(BR45=Цены!$H$20,Цены!$L$20,IF(BR45=Цены!$H$21,Цены!$L$21,IF(BR45=Цены!$H$22,Цены!$L$22,IF(BR45=Цены!$H$23,Цены!$L$23,IF(BR45=Цены!$H$24,Цены!$L$24,IF(BR45=Цены!$H$25,Цены!$L$25,IF(BR45=Цены!$H$26,Цены!$L$26,IF(BR45=Цены!$H$27,Цены!$L$27,IF(BR45=Цены!$H$28,Цены!$L$28,IF(BR45=Цены!$H$29,Цены!$L$29,IF(BR45=Цены!$H$30,Цены!$L$30,IF(BR45=Цены!$H$31,Цены!$L$31,IF(BR45=Цены!$H$32,Цены!$L$32,IF(BR45=Цены!$H$33,Цены!$L$33,IF(BR45=Цены!$H$34,Цены!$L$34,IF(BR45=Цены!$H$35,Цены!$L$35,IF(BR45=Цены!$H$36,Цены!$L$36,IF(BR45=Цены!$H$37,Цены!$L$37,IF(BR45=Цены!$H$38,Цены!$L$38,IF(BR45=Цены!$H$39,Цены!$L$39,IF(BR45=Цены!$H$40,Цены!$L$40,IF(BR45=Цены!$H$41,Цены!$L$41,IF(BR45=Цены!$H$42,Цены!$L$42,IF(BR45=Цены!$H$43,Цены!$L$43,IF(BR45=Цены!$H$44,Цены!$L$44,IF(BR45=Цены!$H$45,Цены!$L$45,IF(BR45=Цены!$H$46,Цены!$L$46,IF(BR45=Цены!$H$47,Цены!$L$47,IF(BR45=Цены!$H$48,Цены!$L$48,IF(BR45=Цены!$H$49,Цены!$L$49,IF(BR45=Цены!$H$50,Цены!$L$50,IF(BR45=Цены!$H$51,Цены!$L$51,IF(BR45=Цены!$H$52,Цены!$L$52,IF(BR45=Цены!$H$53,Цены!$L$53,IF(BR45=Цены!$H$54,Цены!$L$54,IF(BR45=Цены!$H$55,Цены!$L$55))))))))))))))))))))))))))))))))))))))))))))))))))))))</f>
        <v>0</v>
      </c>
      <c r="BU45" s="276"/>
      <c r="BV45" s="34" t="b">
        <f>IF(BR45=Цены!$H$3,Цены!$K$3,IF(BR45=Цены!$H$4,Цены!$K$4,IF(BR45=Цены!$H$5,Цены!$K$5,IF(BR45=Цены!$H$6,Цены!$K$6,IF(BR45=Цены!$H$7,Цены!$K$7,IF(BR45=Цены!$H$8,Цены!$K$8,IF(BR45=Цены!$H$9,Цены!$K$9,IF(BR45=Цены!$H$10,Цены!$K$10,IF(BR45=Цены!$H$11,Цены!$K$11,IF(BR45=Цены!$H$12,Цены!$K$12,IF(BR45=Цены!$H$13,Цены!$K$13,IF(BR45=Цены!$H$14,Цены!$K$14,IF(BR45=Цены!$H$14,Цены!$K$14,IF(BR45=Цены!$H$15,Цены!$K$15,IF(BR45=Цены!$H$16,Цены!$K$16,IF(BR45=Цены!$H$17,Цены!$K$17,IF(BR45=Цены!$H$18,Цены!$K$18,IF(BR45=Цены!$H$19,Цены!$K$19,IF(BR45=Цены!$H$20,Цены!$K$20,IF(BR45=Цены!$H$21,Цены!$K$21,IF(BR45=Цены!$H$22,Цены!$K$22,IF(BR45=Цены!$H$23,Цены!$K$23,IF(BR45=Цены!$H$24,Цены!$K$24,IF(BR45=Цены!$H$25,Цены!$K$25,IF(BR45=Цены!$H$26,Цены!$K$26,IF(BR45=Цены!$H$27,Цены!$K$27,IF(BR45=Цены!$H$28,Цены!$K$28,IF(BR45=Цены!$H$29,Цены!$K$29,IF(BR45=Цены!$H$30,Цены!$K$30,IF(BR45=Цены!$H$31,Цены!$K$31,IF(BR45=Цены!$H$32,Цены!$K$32,IF(BR45=Цены!$H$33,Цены!$K$33,IF(BR45=Цены!$H$34,Цены!$K$34,IF(BR45=Цены!$H$35,Цены!$K$35,IF(BR45=Цены!$H$36,Цены!$K$36,IF(BR45=Цены!$H$37,Цены!$K$37,IF(BR45=Цены!$H$38,Цены!$K$38,IF(BR45=Цены!$H$39,Цены!$K$39,IF(BR45=Цены!$H$40,Цены!$K$40,IF(BR45=Цены!$H$41,Цены!$K$41,IF(BR45=Цены!$H$42,Цены!$K$42,IF(BR45=Цены!$H$43,Цены!$K$43,IF(BR45=Цены!$H$44,Цены!$K$44,IF(BR45=Цены!$H$45,Цены!$K$45,IF(BR45=Цены!$H$46,Цены!$K$46,IF(BR45=Цены!$H$47,Цены!$K$47,IF(BR45=Цены!$H$48,Цены!$K$48,IF(BR45=Цены!$H$49,Цены!$K$49,IF(BR45=Цены!$H$50,Цены!$K$50,IF(BR45=Цены!$H$51,Цены!$K$51,IF(BR45=Цены!$H$52,Цены!$K$52,IF(BR45=Цены!$H$53,Цены!$K$53,IF(BR45=Цены!$H$54,Цены!$K$54,IF(BR45=Цены!$H$55,Цены!$K$55))))))))))))))))))))))))))))))))))))))))))))))))))))))</f>
        <v>0</v>
      </c>
      <c r="BW45" s="265"/>
      <c r="BX45" s="265"/>
      <c r="BY45" s="269"/>
      <c r="BZ45" s="286"/>
      <c r="CA45" s="286"/>
      <c r="CB45" s="268"/>
      <c r="CC45" s="269"/>
      <c r="CD45" s="287"/>
      <c r="CE45" s="117" t="s">
        <v>121</v>
      </c>
      <c r="CF45" s="43">
        <v>1</v>
      </c>
      <c r="CG45" s="33">
        <f>IF(CE45=Цены!$H$3,Цены!$L$3,IF(CE45=Цены!$H$4,Цены!$L$4,IF(CE45=Цены!$H$5,Цены!$L$5,IF(CE45=Цены!$H$6,Цены!$L$6,IF(CE45=Цены!$H$7,Цены!$L$7,IF(CE45=Цены!$H$8,Цены!$L$8,IF(CE45=Цены!$H$9,Цены!$L$9,IF(CE45=Цены!$H$10,Цены!$L$10,IF(CE45=Цены!$H$11,Цены!$L$11,IF(CE45=Цены!$H$12,Цены!$L$12,IF(CE45=Цены!$H$13,Цены!$L$13,IF(CE45=Цены!$H$14,Цены!$L$14,IF(CE45=Цены!$H$14,Цены!$L$14,IF(CE45=Цены!$H$15,Цены!$L$15,IF(CE45=Цены!$H$16,Цены!$L$16,IF(CE45=Цены!$H$17,Цены!$L$17,IF(CE45=Цены!$H$18,Цены!$L$18,IF(CE45=Цены!$H$19,Цены!$L$19,IF(CE45=Цены!$H$20,Цены!$L$20,IF(CE45=Цены!$H$21,Цены!$L$21,IF(CE45=Цены!$H$22,Цены!$L$22,IF(CE45=Цены!$H$23,Цены!$L$23,IF(CE45=Цены!$H$24,Цены!$L$24,IF(CE45=Цены!$H$25,Цены!$L$25,IF(CE45=Цены!$H$26,Цены!$L$26,IF(CE45=Цены!$H$27,Цены!$L$27,IF(CE45=Цены!$H$28,Цены!$L$28,IF(CE45=Цены!$H$29,Цены!$L$29,IF(CE45=Цены!$H$30,Цены!$L$30,IF(CE45=Цены!$H$31,Цены!$L$31,IF(CE45=Цены!$H$32,Цены!$L$32,IF(CE45=Цены!$H$33,Цены!$L$33,IF(CE45=Цены!$H$34,Цены!$L$34,IF(CE45=Цены!$H$35,Цены!$L$35,IF(CE45=Цены!$H$36,Цены!$L$36,IF(CE45=Цены!$H$37,Цены!$L$37,IF(CE45=Цены!$H$38,Цены!$L$38,IF(CE45=Цены!$H$39,Цены!$L$39,IF(CE45=Цены!$H$40,Цены!$L$40,IF(CE45=Цены!$H$41,Цены!$L$41,IF(CE45=Цены!$H$42,Цены!$L$42,IF(CE45=Цены!$H$43,Цены!$L$43,IF(CE45=Цены!$H$44,Цены!$L$44,IF(CE45=Цены!$H$45,Цены!$L$45,IF(CE45=Цены!$H$46,Цены!$L$46,IF(CE45=Цены!$H$47,Цены!$L$47,IF(CE45=Цены!$H$48,Цены!$L$48,IF(CE45=Цены!$H$49,Цены!$L$49,IF(CE45=Цены!$H$50,Цены!$L$50,IF(CE45=Цены!$H$51,Цены!$L$51,IF(CE45=Цены!$H$52,Цены!$L$52,IF(CE45=Цены!$H$53,Цены!$L$53,IF(CE45=Цены!$H$54,Цены!$L$54,IF(CE45=Цены!$H$55,Цены!$L$55))))))))))))))))))))))))))))))))))))))))))))))))))))))</f>
        <v>1.32E-2</v>
      </c>
      <c r="CH45" s="276"/>
      <c r="CI45" s="34">
        <f>IF(CE45=Цены!$H$3,Цены!$K$3,IF(CE45=Цены!$H$4,Цены!$K$4,IF(CE45=Цены!$H$5,Цены!$K$5,IF(CE45=Цены!$H$6,Цены!$K$6,IF(CE45=Цены!$H$7,Цены!$K$7,IF(CE45=Цены!$H$8,Цены!$K$8,IF(CE45=Цены!$H$9,Цены!$K$9,IF(CE45=Цены!$H$10,Цены!$K$10,IF(CE45=Цены!$H$11,Цены!$K$11,IF(CE45=Цены!$H$12,Цены!$K$12,IF(CE45=Цены!$H$13,Цены!$K$13,IF(CE45=Цены!$H$14,Цены!$K$14,IF(CE45=Цены!$H$14,Цены!$K$14,IF(CE45=Цены!$H$15,Цены!$K$15,IF(CE45=Цены!$H$16,Цены!$K$16,IF(CE45=Цены!$H$17,Цены!$K$17,IF(CE45=Цены!$H$18,Цены!$K$18,IF(CE45=Цены!$H$19,Цены!$K$19,IF(CE45=Цены!$H$20,Цены!$K$20,IF(CE45=Цены!$H$21,Цены!$K$21,IF(CE45=Цены!$H$22,Цены!$K$22,IF(CE45=Цены!$H$23,Цены!$K$23,IF(CE45=Цены!$H$24,Цены!$K$24,IF(CE45=Цены!$H$25,Цены!$K$25,IF(CE45=Цены!$H$26,Цены!$K$26,IF(CE45=Цены!$H$27,Цены!$K$27,IF(CE45=Цены!$H$28,Цены!$K$28,IF(CE45=Цены!$H$29,Цены!$K$29,IF(CE45=Цены!$H$30,Цены!$K$30,IF(CE45=Цены!$H$31,Цены!$K$31,IF(CE45=Цены!$H$32,Цены!$K$32,IF(CE45=Цены!$H$33,Цены!$K$33,IF(CE45=Цены!$H$34,Цены!$K$34,IF(CE45=Цены!$H$35,Цены!$K$35,IF(CE45=Цены!$H$36,Цены!$K$36,IF(CE45=Цены!$H$37,Цены!$K$37,IF(CE45=Цены!$H$38,Цены!$K$38,IF(CE45=Цены!$H$39,Цены!$K$39,IF(CE45=Цены!$H$40,Цены!$K$40,IF(CE45=Цены!$H$41,Цены!$K$41,IF(CE45=Цены!$H$42,Цены!$K$42,IF(CE45=Цены!$H$43,Цены!$K$43,IF(CE45=Цены!$H$44,Цены!$K$44,IF(CE45=Цены!$H$45,Цены!$K$45,IF(CE45=Цены!$H$46,Цены!$K$46,IF(CE45=Цены!$H$47,Цены!$K$47,IF(CE45=Цены!$H$48,Цены!$K$48,IF(CE45=Цены!$H$49,Цены!$K$49,IF(CE45=Цены!$H$50,Цены!$K$50,IF(CE45=Цены!$H$51,Цены!$K$51,IF(CE45=Цены!$H$52,Цены!$K$52,IF(CE45=Цены!$H$53,Цены!$K$53,IF(CE45=Цены!$H$54,Цены!$K$54,IF(CE45=Цены!$H$55,Цены!$K$55))))))))))))))))))))))))))))))))))))))))))))))))))))))</f>
        <v>54</v>
      </c>
      <c r="CJ45" s="265"/>
      <c r="CK45" s="265"/>
      <c r="CL45" s="269"/>
      <c r="CM45" s="286"/>
      <c r="CN45" s="286"/>
      <c r="CO45" s="268"/>
      <c r="CP45" s="269"/>
      <c r="CQ45" s="287"/>
    </row>
    <row r="46" spans="1:95" ht="15.75" hidden="1" customHeight="1" x14ac:dyDescent="0.25">
      <c r="A46" s="341"/>
      <c r="B46" s="265"/>
      <c r="C46" s="265"/>
      <c r="D46" s="26" t="s">
        <v>121</v>
      </c>
      <c r="E46" s="25">
        <v>4</v>
      </c>
      <c r="F46" s="27">
        <f>IF(D46=Цены!$H$3,Цены!$L$3,IF(D46=Цены!$H$4,Цены!$L$4,IF(D46=Цены!$H$5,Цены!$L$5,IF(D46=Цены!$H$6,Цены!$L$6,IF(D46=Цены!$H$7,Цены!$L$7,IF(D46=Цены!$H$8,Цены!$L$8,IF(D46=Цены!$H$9,Цены!$L$9,IF(D46=Цены!$H$10,Цены!$L$10,IF(D46=Цены!$H$11,Цены!$L$11,IF(D46=Цены!$H$12,Цены!$L$12,IF(D46=Цены!$H$13,Цены!$L$13,IF(D46=Цены!$H$14,Цены!$L$14,IF(D46=Цены!$H$14,Цены!$L$14,IF(D46=Цены!$H$15,Цены!$L$15,IF(D46=Цены!$H$16,Цены!$L$16,IF(D46=Цены!$H$17,Цены!$L$17,IF(D46=Цены!$H$18,Цены!$L$18,IF(D46=Цены!$H$19,Цены!$L$19,IF(D46=Цены!$H$20,Цены!$L$20,IF(D46=Цены!$H$21,Цены!$L$21,IF(D46=Цены!$H$22,Цены!$L$22,IF(D46=Цены!$H$23,Цены!$L$23,IF(D46=Цены!$H$24,Цены!$L$24,IF(D46=Цены!$H$25,Цены!$L$25,IF(D46=Цены!$H$26,Цены!$L$26,IF(D46=Цены!$H$27,Цены!$L$27,IF(D46=Цены!$H$28,Цены!$L$28,IF(D46=Цены!$H$29,Цены!$L$29,IF(D46=Цены!$H$30,Цены!$L$30,IF(D46=Цены!$H$31,Цены!$L$31,IF(D46=Цены!$H$32,Цены!$L$32,IF(D46=Цены!$H$33,Цены!$L$33,IF(D46=Цены!$H$34,Цены!$L$34,IF(D46=Цены!$H$35,Цены!$L$35,IF(D46=Цены!$H$36,Цены!$L$36,IF(D46=Цены!$H$37,Цены!$L$37,IF(D46=Цены!$H$38,Цены!$L$38,IF(D46=Цены!$H$39,Цены!$L$39,IF(D46=Цены!$H$40,Цены!$L$40,IF(D46=Цены!$H$41,Цены!$L$41,IF(D46=Цены!$H$42,Цены!$L$42,IF(D46=Цены!$H$43,Цены!$L$43,IF(D46=Цены!$H$44,Цены!$L$44,IF(D46=Цены!$H$45,Цены!$L$45,IF(D46=Цены!$H$46,Цены!$L$46,IF(D46=Цены!$H$47,Цены!$L$47,IF(D46=Цены!$H$48,Цены!$L$48,IF(D46=Цены!$H$49,Цены!$L$49,IF(D46=Цены!$H$50,Цены!$L$50,IF(D46=Цены!$H$51,Цены!$L$51,IF(D46=Цены!$H$52,Цены!$L$52,IF(D46=Цены!$H$53,Цены!$L$53,IF(D46=Цены!$H$54,Цены!$L$54,IF(D46=Цены!$H$55,Цены!$L$55))))))))))))))))))))))))))))))))))))))))))))))))))))))</f>
        <v>1.32E-2</v>
      </c>
      <c r="G46" s="309"/>
      <c r="H46" s="28">
        <f>IF(D46=Цены!$H$3,Цены!$K$3,IF(D46=Цены!$H$4,Цены!$K$4,IF(D46=Цены!$H$5,Цены!$K$5,IF(D46=Цены!$H$6,Цены!$K$6,IF(D46=Цены!$H$7,Цены!$K$7,IF(D46=Цены!$H$8,Цены!$K$8,IF(D46=Цены!$H$9,Цены!$K$9,IF(D46=Цены!$H$10,Цены!$K$10,IF(D46=Цены!$H$11,Цены!$K$11,IF(D46=Цены!$H$12,Цены!$K$12,IF(D46=Цены!$H$13,Цены!$K$13,IF(D46=Цены!$H$14,Цены!$K$14,IF(D46=Цены!$H$14,Цены!$K$14,IF(D46=Цены!$H$15,Цены!$K$15,IF(D46=Цены!$H$16,Цены!$K$16,IF(D46=Цены!$H$17,Цены!$K$17,IF(D46=Цены!$H$18,Цены!$K$18,IF(D46=Цены!$H$19,Цены!$K$19,IF(D46=Цены!$H$20,Цены!$K$20,IF(D46=Цены!$H$21,Цены!$K$21,IF(D46=Цены!$H$22,Цены!$K$22,IF(D46=Цены!$H$23,Цены!$K$23,IF(D46=Цены!$H$24,Цены!$K$24,IF(D46=Цены!$H$25,Цены!$K$25,IF(D46=Цены!$H$26,Цены!$K$26,IF(D46=Цены!$H$27,Цены!$K$27,IF(D46=Цены!$H$28,Цены!$K$28,IF(D46=Цены!$H$29,Цены!$K$29,IF(D46=Цены!$H$30,Цены!$K$30,IF(D46=Цены!$H$31,Цены!$K$31,IF(D46=Цены!$H$32,Цены!$K$32,IF(D46=Цены!$H$33,Цены!$K$33,IF(D46=Цены!$H$34,Цены!$K$34,IF(D46=Цены!$H$35,Цены!$K$35,IF(D46=Цены!$H$36,Цены!$K$36,IF(D46=Цены!$H$37,Цены!$K$37,IF(D46=Цены!$H$38,Цены!$K$38,IF(D46=Цены!$H$39,Цены!$K$39,IF(D46=Цены!$H$40,Цены!$K$40,IF(D46=Цены!$H$41,Цены!$K$41,IF(D46=Цены!$H$42,Цены!$K$42,IF(D46=Цены!$H$43,Цены!$K$43,IF(D46=Цены!$H$44,Цены!$K$44,IF(D46=Цены!$H$45,Цены!$K$45,IF(D46=Цены!$H$46,Цены!$K$46,IF(D46=Цены!$H$47,Цены!$K$47,IF(D46=Цены!$H$48,Цены!$K$48,IF(D46=Цены!$H$49,Цены!$K$49,IF(D46=Цены!$H$50,Цены!$K$50,IF(D46=Цены!$H$51,Цены!$K$51,IF(D46=Цены!$H$52,Цены!$K$52,IF(D46=Цены!$H$53,Цены!$K$53,IF(D46=Цены!$H$54,Цены!$K$54,IF(D46=Цены!$H$55,Цены!$K$55))))))))))))))))))))))))))))))))))))))))))))))))))))))</f>
        <v>54</v>
      </c>
      <c r="I46" s="265"/>
      <c r="J46" s="265"/>
      <c r="K46" s="310"/>
      <c r="L46" s="265"/>
      <c r="M46" s="265"/>
      <c r="N46" s="265"/>
      <c r="O46" s="310"/>
      <c r="P46" s="313"/>
      <c r="Q46" s="35"/>
      <c r="R46" s="30"/>
      <c r="S46" s="27" t="b">
        <f>IF(Q46=Цены!$H$3,Цены!$L$3,IF(Q46=Цены!$H$4,Цены!$L$4,IF(Q46=Цены!$H$5,Цены!$L$5,IF(Q46=Цены!$H$6,Цены!$L$6,IF(Q46=Цены!$H$7,Цены!$L$7,IF(Q46=Цены!$H$8,Цены!$L$8,IF(Q46=Цены!$H$9,Цены!$L$9,IF(Q46=Цены!$H$10,Цены!$L$10,IF(Q46=Цены!$H$11,Цены!$L$11,IF(Q46=Цены!$H$12,Цены!$L$12,IF(Q46=Цены!$H$13,Цены!$L$13,IF(Q46=Цены!$H$14,Цены!$L$14,IF(Q46=Цены!$H$14,Цены!$L$14,IF(Q46=Цены!$H$15,Цены!$L$15,IF(Q46=Цены!$H$16,Цены!$L$16,IF(Q46=Цены!$H$17,Цены!$L$17,IF(Q46=Цены!$H$18,Цены!$L$18,IF(Q46=Цены!$H$19,Цены!$L$19,IF(Q46=Цены!$H$20,Цены!$L$20,IF(Q46=Цены!$H$21,Цены!$L$21,IF(Q46=Цены!$H$22,Цены!$L$22,IF(Q46=Цены!$H$23,Цены!$L$23,IF(Q46=Цены!$H$24,Цены!$L$24,IF(Q46=Цены!$H$25,Цены!$L$25,IF(Q46=Цены!$H$26,Цены!$L$26,IF(Q46=Цены!$H$27,Цены!$L$27,IF(Q46=Цены!$H$28,Цены!$L$28,IF(Q46=Цены!$H$29,Цены!$L$29,IF(Q46=Цены!$H$30,Цены!$L$30,IF(Q46=Цены!$H$31,Цены!$L$31,IF(Q46=Цены!$H$32,Цены!$L$32,IF(Q46=Цены!$H$33,Цены!$L$33,IF(Q46=Цены!$H$34,Цены!$L$34,IF(Q46=Цены!$H$35,Цены!$L$35,IF(Q46=Цены!$H$36,Цены!$L$36,IF(Q46=Цены!$H$37,Цены!$L$37,IF(Q46=Цены!$H$38,Цены!$L$38,IF(Q46=Цены!$H$39,Цены!$L$39,IF(Q46=Цены!$H$40,Цены!$L$40,IF(Q46=Цены!$H$41,Цены!$L$41,IF(Q46=Цены!$H$42,Цены!$L$42,IF(Q46=Цены!$H$43,Цены!$L$43,IF(Q46=Цены!$H$44,Цены!$L$44,IF(Q46=Цены!$H$45,Цены!$L$45,IF(Q46=Цены!$H$46,Цены!$L$46,IF(Q46=Цены!$H$47,Цены!$L$47,IF(Q46=Цены!$H$48,Цены!$L$48,IF(Q46=Цены!$H$49,Цены!$L$49,IF(Q46=Цены!$H$50,Цены!$L$50,IF(Q46=Цены!$H$51,Цены!$L$51,IF(Q46=Цены!$H$52,Цены!$L$52,IF(Q46=Цены!$H$53,Цены!$L$53,IF(Q46=Цены!$H$54,Цены!$L$54,IF(Q46=Цены!$H$55,Цены!$L$55))))))))))))))))))))))))))))))))))))))))))))))))))))))</f>
        <v>0</v>
      </c>
      <c r="T46" s="309"/>
      <c r="U46" s="162" t="b">
        <f>IF(Q46=Цены!$H$3,Цены!$K$3,IF(Q46=Цены!$H$4,Цены!$K$4,IF(Q46=Цены!$H$5,Цены!$K$5,IF(Q46=Цены!$H$6,Цены!$K$6,IF(Q46=Цены!$H$7,Цены!$K$7,IF(Q46=Цены!$H$8,Цены!$K$8,IF(Q46=Цены!$H$9,Цены!$K$9,IF(Q46=Цены!$H$10,Цены!$K$10,IF(Q46=Цены!$H$11,Цены!$K$11,IF(Q46=Цены!$H$12,Цены!$K$12,IF(Q46=Цены!$H$13,Цены!$K$13,IF(Q46=Цены!$H$14,Цены!$K$14,IF(Q46=Цены!$H$14,Цены!$K$14,IF(Q46=Цены!$H$15,Цены!$K$15,IF(Q46=Цены!$H$16,Цены!$K$16,IF(Q46=Цены!$H$17,Цены!$K$17,IF(Q46=Цены!$H$18,Цены!$K$18,IF(Q46=Цены!$H$19,Цены!$K$19,IF(Q46=Цены!$H$20,Цены!$K$20,IF(Q46=Цены!$H$21,Цены!$K$21,IF(Q46=Цены!$H$22,Цены!$K$22,IF(Q46=Цены!$H$23,Цены!$K$23,IF(Q46=Цены!$H$24,Цены!$K$24,IF(Q46=Цены!$H$25,Цены!$K$25,IF(Q46=Цены!$H$26,Цены!$K$26,IF(Q46=Цены!$H$27,Цены!$K$27,IF(Q46=Цены!$H$28,Цены!$K$28,IF(Q46=Цены!$H$29,Цены!$K$29,IF(Q46=Цены!$H$30,Цены!$K$30,IF(Q46=Цены!$H$31,Цены!$K$31,IF(Q46=Цены!$H$32,Цены!$K$32,IF(Q46=Цены!$H$33,Цены!$K$33,IF(Q46=Цены!$H$34,Цены!$K$34,IF(Q46=Цены!$H$35,Цены!$K$35,IF(Q46=Цены!$H$36,Цены!$K$36,IF(Q46=Цены!$H$37,Цены!$K$37,IF(Q46=Цены!$H$38,Цены!$K$38,IF(Q46=Цены!$H$39,Цены!$K$39,IF(Q46=Цены!$H$40,Цены!$K$40,IF(Q46=Цены!$H$41,Цены!$K$41,IF(Q46=Цены!$H$42,Цены!$K$42,IF(Q46=Цены!$H$43,Цены!$K$43,IF(Q46=Цены!$H$44,Цены!$K$44,IF(Q46=Цены!$H$45,Цены!$K$45,IF(Q46=Цены!$H$46,Цены!$K$46,IF(Q46=Цены!$H$47,Цены!$K$47,IF(Q46=Цены!$H$48,Цены!$K$48,IF(Q46=Цены!$H$49,Цены!$K$49,IF(Q46=Цены!$H$50,Цены!$K$50,IF(Q46=Цены!$H$51,Цены!$K$51,IF(Q46=Цены!$H$52,Цены!$K$52,IF(Q46=Цены!$H$53,Цены!$K$53,IF(Q46=Цены!$H$54,Цены!$K$54,IF(Q46=Цены!$H$55,Цены!$K$55))))))))))))))))))))))))))))))))))))))))))))))))))))))</f>
        <v>0</v>
      </c>
      <c r="V46" s="265"/>
      <c r="W46" s="265"/>
      <c r="X46" s="310"/>
      <c r="Y46" s="265"/>
      <c r="Z46" s="265"/>
      <c r="AA46" s="265"/>
      <c r="AB46" s="310"/>
      <c r="AC46" s="313"/>
      <c r="AD46" s="123" t="s">
        <v>144</v>
      </c>
      <c r="AE46" s="128">
        <v>8</v>
      </c>
      <c r="AF46" s="27">
        <f>IF(AD46=Цены!$H$3,Цены!$L$3,IF(AD46=Цены!$H$4,Цены!$L$4,IF(AD46=Цены!$H$5,Цены!$L$5,IF(AD46=Цены!$H$6,Цены!$L$6,IF(AD46=Цены!$H$7,Цены!$L$7,IF(AD46=Цены!$H$8,Цены!$L$8,IF(AD46=Цены!$H$9,Цены!$L$9,IF(AD46=Цены!$H$10,Цены!$L$10,IF(AD46=Цены!$H$11,Цены!$L$11,IF(AD46=Цены!$H$12,Цены!$L$12,IF(AD46=Цены!$H$13,Цены!$L$13,IF(AD46=Цены!$H$14,Цены!$L$14,IF(AD46=Цены!$H$14,Цены!$L$14,IF(AD46=Цены!$H$15,Цены!$L$15,IF(AD46=Цены!$H$16,Цены!$L$16,IF(AD46=Цены!$H$17,Цены!$L$17,IF(AD46=Цены!$H$18,Цены!$L$18,IF(AD46=Цены!$H$19,Цены!$L$19,IF(AD46=Цены!$H$20,Цены!$L$20,IF(AD46=Цены!$H$21,Цены!$L$21,IF(AD46=Цены!$H$22,Цены!$L$22,IF(AD46=Цены!$H$23,Цены!$L$23,IF(AD46=Цены!$H$24,Цены!$L$24,IF(AD46=Цены!$H$25,Цены!$L$25,IF(AD46=Цены!$H$26,Цены!$L$26,IF(AD46=Цены!$H$27,Цены!$L$27,IF(AD46=Цены!$H$28,Цены!$L$28,IF(AD46=Цены!$H$29,Цены!$L$29,IF(AD46=Цены!$H$30,Цены!$L$30,IF(AD46=Цены!$H$31,Цены!$L$31,IF(AD46=Цены!$H$32,Цены!$L$32,IF(AD46=Цены!$H$33,Цены!$L$33,IF(AD46=Цены!$H$34,Цены!$L$34,IF(AD46=Цены!$H$35,Цены!$L$35,IF(AD46=Цены!$H$36,Цены!$L$36,IF(AD46=Цены!$H$37,Цены!$L$37,IF(AD46=Цены!$H$38,Цены!$L$38,IF(AD46=Цены!$H$39,Цены!$L$39,IF(AD46=Цены!$H$40,Цены!$L$40,IF(AD46=Цены!$H$41,Цены!$L$41,IF(AD46=Цены!$H$42,Цены!$L$42,IF(AD46=Цены!$H$43,Цены!$L$43,IF(AD46=Цены!$H$44,Цены!$L$44,IF(AD46=Цены!$H$45,Цены!$L$45,IF(AD46=Цены!$H$46,Цены!$L$46,IF(AD46=Цены!$H$47,Цены!$L$47,IF(AD46=Цены!$H$48,Цены!$L$48,IF(AD46=Цены!$H$49,Цены!$L$49,IF(AD46=Цены!$H$50,Цены!$L$50,IF(AD46=Цены!$H$51,Цены!$L$51,IF(AD46=Цены!$H$52,Цены!$L$52,IF(AD46=Цены!$H$53,Цены!$L$53,IF(AD46=Цены!$H$54,Цены!$L$54,IF(AD46=Цены!$H$55,Цены!$L$55))))))))))))))))))))))))))))))))))))))))))))))))))))))</f>
        <v>0.19</v>
      </c>
      <c r="AG46" s="309"/>
      <c r="AH46" s="28">
        <f>IF(AD46=Цены!$H$3,Цены!$K$3,IF(AD46=Цены!$H$4,Цены!$K$4,IF(AD46=Цены!$H$5,Цены!$K$5,IF(AD46=Цены!$H$6,Цены!$K$6,IF(AD46=Цены!$H$7,Цены!$K$7,IF(AD46=Цены!$H$8,Цены!$K$8,IF(AD46=Цены!$H$9,Цены!$K$9,IF(AD46=Цены!$H$10,Цены!$K$10,IF(AD46=Цены!$H$11,Цены!$K$11,IF(AD46=Цены!$H$12,Цены!$K$12,IF(AD46=Цены!$H$13,Цены!$K$13,IF(AD46=Цены!$H$14,Цены!$K$14,IF(AD46=Цены!$H$14,Цены!$K$14,IF(AD46=Цены!$H$15,Цены!$K$15,IF(AD46=Цены!$H$16,Цены!$K$16,IF(AD46=Цены!$H$17,Цены!$K$17,IF(AD46=Цены!$H$18,Цены!$K$18,IF(AD46=Цены!$H$19,Цены!$K$19,IF(AD46=Цены!$H$20,Цены!$K$20,IF(AD46=Цены!$H$21,Цены!$K$21,IF(AD46=Цены!$H$22,Цены!$K$22,IF(AD46=Цены!$H$23,Цены!$K$23,IF(AD46=Цены!$H$24,Цены!$K$24,IF(AD46=Цены!$H$25,Цены!$K$25,IF(AD46=Цены!$H$26,Цены!$K$26,IF(AD46=Цены!$H$27,Цены!$K$27,IF(AD46=Цены!$H$28,Цены!$K$28,IF(AD46=Цены!$H$29,Цены!$K$29,IF(AD46=Цены!$H$30,Цены!$K$30,IF(AD46=Цены!$H$31,Цены!$K$31,IF(AD46=Цены!$H$32,Цены!$K$32,IF(AD46=Цены!$H$33,Цены!$K$33,IF(AD46=Цены!$H$34,Цены!$K$34,IF(AD46=Цены!$H$35,Цены!$K$35,IF(AD46=Цены!$H$36,Цены!$K$36,IF(AD46=Цены!$H$37,Цены!$K$37,IF(AD46=Цены!$H$38,Цены!$K$38,IF(AD46=Цены!$H$39,Цены!$K$39,IF(AD46=Цены!$H$40,Цены!$K$40,IF(AD46=Цены!$H$41,Цены!$K$41,IF(AD46=Цены!$H$42,Цены!$K$42,IF(AD46=Цены!$H$43,Цены!$K$43,IF(AD46=Цены!$H$44,Цены!$K$44,IF(AD46=Цены!$H$45,Цены!$K$45,IF(AD46=Цены!$H$46,Цены!$K$46,IF(AD46=Цены!$H$47,Цены!$K$47,IF(AD46=Цены!$H$48,Цены!$K$48,IF(AD46=Цены!$H$49,Цены!$K$49,IF(AD46=Цены!$H$50,Цены!$K$50,IF(AD46=Цены!$H$51,Цены!$K$51,IF(AD46=Цены!$H$52,Цены!$K$52,IF(AD46=Цены!$H$53,Цены!$K$53,IF(AD46=Цены!$H$54,Цены!$K$54,IF(AD46=Цены!$H$55,Цены!$K$55))))))))))))))))))))))))))))))))))))))))))))))))))))))</f>
        <v>448</v>
      </c>
      <c r="AI46" s="265"/>
      <c r="AJ46" s="265"/>
      <c r="AK46" s="310"/>
      <c r="AL46" s="265"/>
      <c r="AM46" s="265"/>
      <c r="AN46" s="265"/>
      <c r="AO46" s="310"/>
      <c r="AP46" s="313"/>
      <c r="AQ46" s="117"/>
      <c r="AR46" s="129"/>
      <c r="AS46" s="33" t="b">
        <f>IF(AQ46=Цены!$H$3,Цены!$L$3,IF(AQ46=Цены!$H$4,Цены!$L$4,IF(AQ46=Цены!$H$5,Цены!$L$5,IF(AQ46=Цены!$H$6,Цены!$L$6,IF(AQ46=Цены!$H$7,Цены!$L$7,IF(AQ46=Цены!$H$8,Цены!$L$8,IF(AQ46=Цены!$H$9,Цены!$L$9,IF(AQ46=Цены!$H$10,Цены!$L$10,IF(AQ46=Цены!$H$11,Цены!$L$11,IF(AQ46=Цены!$H$12,Цены!$L$12,IF(AQ46=Цены!$H$13,Цены!$L$13,IF(AQ46=Цены!$H$14,Цены!$L$14,IF(AQ46=Цены!$H$14,Цены!$L$14,IF(AQ46=Цены!$H$15,Цены!$L$15,IF(AQ46=Цены!$H$16,Цены!$L$16,IF(AQ46=Цены!$H$17,Цены!$L$17,IF(AQ46=Цены!$H$18,Цены!$L$18,IF(AQ46=Цены!$H$19,Цены!$L$19,IF(AQ46=Цены!$H$20,Цены!$L$20,IF(AQ46=Цены!$H$21,Цены!$L$21,IF(AQ46=Цены!$H$22,Цены!$L$22,IF(AQ46=Цены!$H$23,Цены!$L$23,IF(AQ46=Цены!$H$24,Цены!$L$24,IF(AQ46=Цены!$H$25,Цены!$L$25,IF(AQ46=Цены!$H$26,Цены!$L$26,IF(AQ46=Цены!$H$27,Цены!$L$27,IF(AQ46=Цены!$H$28,Цены!$L$28,IF(AQ46=Цены!$H$29,Цены!$L$29,IF(AQ46=Цены!$H$30,Цены!$L$30,IF(AQ46=Цены!$H$31,Цены!$L$31,IF(AQ46=Цены!$H$32,Цены!$L$32,IF(AQ46=Цены!$H$33,Цены!$L$33,IF(AQ46=Цены!$H$34,Цены!$L$34,IF(AQ46=Цены!$H$35,Цены!$L$35,IF(AQ46=Цены!$H$36,Цены!$L$36,IF(AQ46=Цены!$H$37,Цены!$L$37,IF(AQ46=Цены!$H$38,Цены!$L$38,IF(AQ46=Цены!$H$39,Цены!$L$39,IF(AQ46=Цены!$H$40,Цены!$L$40,IF(AQ46=Цены!$H$41,Цены!$L$41,IF(AQ46=Цены!$H$42,Цены!$L$42,IF(AQ46=Цены!$H$43,Цены!$L$43,IF(AQ46=Цены!$H$44,Цены!$L$44,IF(AQ46=Цены!$H$45,Цены!$L$45,IF(AQ46=Цены!$H$46,Цены!$L$46,IF(AQ46=Цены!$H$47,Цены!$L$47,IF(AQ46=Цены!$H$48,Цены!$L$48,IF(AQ46=Цены!$H$49,Цены!$L$49,IF(AQ46=Цены!$H$50,Цены!$L$50,IF(AQ46=Цены!$H$51,Цены!$L$51,IF(AQ46=Цены!$H$52,Цены!$L$52,IF(AQ46=Цены!$H$53,Цены!$L$53,IF(AQ46=Цены!$H$54,Цены!$L$54,IF(AQ46=Цены!$H$55,Цены!$L$55))))))))))))))))))))))))))))))))))))))))))))))))))))))</f>
        <v>0</v>
      </c>
      <c r="AT46" s="276"/>
      <c r="AU46" s="34" t="b">
        <f>IF(AQ46=Цены!$H$3,Цены!$K$3,IF(AQ46=Цены!$H$4,Цены!$K$4,IF(AQ46=Цены!$H$5,Цены!$K$5,IF(AQ46=Цены!$H$6,Цены!$K$6,IF(AQ46=Цены!$H$7,Цены!$K$7,IF(AQ46=Цены!$H$8,Цены!$K$8,IF(AQ46=Цены!$H$9,Цены!$K$9,IF(AQ46=Цены!$H$10,Цены!$K$10,IF(AQ46=Цены!$H$11,Цены!$K$11,IF(AQ46=Цены!$H$12,Цены!$K$12,IF(AQ46=Цены!$H$13,Цены!$K$13,IF(AQ46=Цены!$H$14,Цены!$K$14,IF(AQ46=Цены!$H$14,Цены!$K$14,IF(AQ46=Цены!$H$15,Цены!$K$15,IF(AQ46=Цены!$H$16,Цены!$K$16,IF(AQ46=Цены!$H$17,Цены!$K$17,IF(AQ46=Цены!$H$18,Цены!$K$18,IF(AQ46=Цены!$H$19,Цены!$K$19,IF(AQ46=Цены!$H$20,Цены!$K$20,IF(AQ46=Цены!$H$21,Цены!$K$21,IF(AQ46=Цены!$H$22,Цены!$K$22,IF(AQ46=Цены!$H$23,Цены!$K$23,IF(AQ46=Цены!$H$24,Цены!$K$24,IF(AQ46=Цены!$H$25,Цены!$K$25,IF(AQ46=Цены!$H$26,Цены!$K$26,IF(AQ46=Цены!$H$27,Цены!$K$27,IF(AQ46=Цены!$H$28,Цены!$K$28,IF(AQ46=Цены!$H$29,Цены!$K$29,IF(AQ46=Цены!$H$30,Цены!$K$30,IF(AQ46=Цены!$H$31,Цены!$K$31,IF(AQ46=Цены!$H$32,Цены!$K$32,IF(AQ46=Цены!$H$33,Цены!$K$33,IF(AQ46=Цены!$H$34,Цены!$K$34,IF(AQ46=Цены!$H$35,Цены!$K$35,IF(AQ46=Цены!$H$36,Цены!$K$36,IF(AQ46=Цены!$H$37,Цены!$K$37,IF(AQ46=Цены!$H$38,Цены!$K$38,IF(AQ46=Цены!$H$39,Цены!$K$39,IF(AQ46=Цены!$H$40,Цены!$K$40,IF(AQ46=Цены!$H$41,Цены!$K$41,IF(AQ46=Цены!$H$42,Цены!$K$42,IF(AQ46=Цены!$H$43,Цены!$K$43,IF(AQ46=Цены!$H$44,Цены!$K$44,IF(AQ46=Цены!$H$45,Цены!$K$45,IF(AQ46=Цены!$H$46,Цены!$K$46,IF(AQ46=Цены!$H$47,Цены!$K$47,IF(AQ46=Цены!$H$48,Цены!$K$48,IF(AQ46=Цены!$H$49,Цены!$K$49,IF(AQ46=Цены!$H$50,Цены!$K$50,IF(AQ46=Цены!$H$51,Цены!$K$51,IF(AQ46=Цены!$H$52,Цены!$K$52,IF(AQ46=Цены!$H$53,Цены!$K$53,IF(AQ46=Цены!$H$54,Цены!$K$54,IF(AQ46=Цены!$H$55,Цены!$K$55))))))))))))))))))))))))))))))))))))))))))))))))))))))</f>
        <v>0</v>
      </c>
      <c r="AV46" s="265"/>
      <c r="AW46" s="265"/>
      <c r="AX46" s="269"/>
      <c r="AY46" s="286"/>
      <c r="AZ46" s="286"/>
      <c r="BA46" s="265"/>
      <c r="BB46" s="269"/>
      <c r="BC46" s="287"/>
      <c r="BD46" s="260"/>
      <c r="BE46" s="35"/>
      <c r="BF46" s="71"/>
      <c r="BG46" s="33" t="b">
        <f>IF(BE46=Цены!$H$3,Цены!$L$3,IF(BE46=Цены!$H$4,Цены!$L$4,IF(BE46=Цены!$H$5,Цены!$L$5,IF(BE46=Цены!$H$6,Цены!$L$6,IF(BE46=Цены!$H$7,Цены!$L$7,IF(BE46=Цены!$H$8,Цены!$L$8,IF(BE46=Цены!$H$9,Цены!$L$9,IF(BE46=Цены!$H$10,Цены!$L$10,IF(BE46=Цены!$H$11,Цены!$L$11,IF(BE46=Цены!$H$12,Цены!$L$12,IF(BE46=Цены!$H$13,Цены!$L$13,IF(BE46=Цены!$H$14,Цены!$L$14,IF(BE46=Цены!$H$14,Цены!$L$14,IF(BE46=Цены!$H$15,Цены!$L$15,IF(BE46=Цены!$H$16,Цены!$L$16,IF(BE46=Цены!$H$17,Цены!$L$17,IF(BE46=Цены!$H$18,Цены!$L$18,IF(BE46=Цены!$H$19,Цены!$L$19,IF(BE46=Цены!$H$20,Цены!$L$20,IF(BE46=Цены!$H$21,Цены!$L$21,IF(BE46=Цены!$H$22,Цены!$L$22,IF(BE46=Цены!$H$23,Цены!$L$23,IF(BE46=Цены!$H$24,Цены!$L$24,IF(BE46=Цены!$H$25,Цены!$L$25,IF(BE46=Цены!$H$26,Цены!$L$26,IF(BE46=Цены!$H$27,Цены!$L$27,IF(BE46=Цены!$H$28,Цены!$L$28,IF(BE46=Цены!$H$29,Цены!$L$29,IF(BE46=Цены!$H$30,Цены!$L$30,IF(BE46=Цены!$H$31,Цены!$L$31,IF(BE46=Цены!$H$32,Цены!$L$32,IF(BE46=Цены!$H$33,Цены!$L$33,IF(BE46=Цены!$H$34,Цены!$L$34,IF(BE46=Цены!$H$35,Цены!$L$35,IF(BE46=Цены!$H$36,Цены!$L$36,IF(BE46=Цены!$H$37,Цены!$L$37,IF(BE46=Цены!$H$38,Цены!$L$38,IF(BE46=Цены!$H$39,Цены!$L$39,IF(BE46=Цены!$H$40,Цены!$L$40,IF(BE46=Цены!$H$41,Цены!$L$41,IF(BE46=Цены!$H$42,Цены!$L$42,IF(BE46=Цены!$H$43,Цены!$L$43,IF(BE46=Цены!$H$44,Цены!$L$44,IF(BE46=Цены!$H$45,Цены!$L$45,IF(BE46=Цены!$H$46,Цены!$L$46,IF(BE46=Цены!$H$47,Цены!$L$47,IF(BE46=Цены!$H$48,Цены!$L$48,IF(BE46=Цены!$H$49,Цены!$L$49,IF(BE46=Цены!$H$50,Цены!$L$50,IF(BE46=Цены!$H$51,Цены!$L$51,IF(BE46=Цены!$H$52,Цены!$L$52,IF(BE46=Цены!$H$53,Цены!$L$53,IF(BE46=Цены!$H$54,Цены!$L$54,IF(BE46=Цены!$H$55,Цены!$L$55))))))))))))))))))))))))))))))))))))))))))))))))))))))</f>
        <v>0</v>
      </c>
      <c r="BH46" s="276"/>
      <c r="BI46" s="34" t="b">
        <f>IF(BE46=Цены!$H$3,Цены!$K$3,IF(BE46=Цены!$H$4,Цены!$K$4,IF(BE46=Цены!$H$5,Цены!$K$5,IF(BE46=Цены!$H$6,Цены!$K$6,IF(BE46=Цены!$H$7,Цены!$K$7,IF(BE46=Цены!$H$8,Цены!$K$8,IF(BE46=Цены!$H$9,Цены!$K$9,IF(BE46=Цены!$H$10,Цены!$K$10,IF(BE46=Цены!$H$11,Цены!$K$11,IF(BE46=Цены!$H$12,Цены!$K$12,IF(BE46=Цены!$H$13,Цены!$K$13,IF(BE46=Цены!$H$14,Цены!$K$14,IF(BE46=Цены!$H$14,Цены!$K$14,IF(BE46=Цены!$H$15,Цены!$K$15,IF(BE46=Цены!$H$16,Цены!$K$16,IF(BE46=Цены!$H$17,Цены!$K$17,IF(BE46=Цены!$H$18,Цены!$K$18,IF(BE46=Цены!$H$19,Цены!$K$19,IF(BE46=Цены!$H$20,Цены!$K$20,IF(BE46=Цены!$H$21,Цены!$K$21,IF(BE46=Цены!$H$22,Цены!$K$22,IF(BE46=Цены!$H$23,Цены!$K$23,IF(BE46=Цены!$H$24,Цены!$K$24,IF(BE46=Цены!$H$25,Цены!$K$25,IF(BE46=Цены!$H$26,Цены!$K$26,IF(BE46=Цены!$H$27,Цены!$K$27,IF(BE46=Цены!$H$28,Цены!$K$28,IF(BE46=Цены!$H$29,Цены!$K$29,IF(BE46=Цены!$H$30,Цены!$K$30,IF(BE46=Цены!$H$31,Цены!$K$31,IF(BE46=Цены!$H$32,Цены!$K$32,IF(BE46=Цены!$H$33,Цены!$K$33,IF(BE46=Цены!$H$34,Цены!$K$34,IF(BE46=Цены!$H$35,Цены!$K$35,IF(BE46=Цены!$H$36,Цены!$K$36,IF(BE46=Цены!$H$37,Цены!$K$37,IF(BE46=Цены!$H$38,Цены!$K$38,IF(BE46=Цены!$H$39,Цены!$K$39,IF(BE46=Цены!$H$40,Цены!$K$40,IF(BE46=Цены!$H$41,Цены!$K$41,IF(BE46=Цены!$H$42,Цены!$K$42,IF(BE46=Цены!$H$43,Цены!$K$43,IF(BE46=Цены!$H$44,Цены!$K$44,IF(BE46=Цены!$H$45,Цены!$K$45,IF(BE46=Цены!$H$46,Цены!$K$46,IF(BE46=Цены!$H$47,Цены!$K$47,IF(BE46=Цены!$H$48,Цены!$K$48,IF(BE46=Цены!$H$49,Цены!$K$49,IF(BE46=Цены!$H$50,Цены!$K$50,IF(BE46=Цены!$H$51,Цены!$K$51,IF(BE46=Цены!$H$52,Цены!$K$52,IF(BE46=Цены!$H$53,Цены!$K$53,IF(BE46=Цены!$H$54,Цены!$K$54,IF(BE46=Цены!$H$55,Цены!$K$55))))))))))))))))))))))))))))))))))))))))))))))))))))))</f>
        <v>0</v>
      </c>
      <c r="BJ46" s="265"/>
      <c r="BK46" s="265"/>
      <c r="BL46" s="269"/>
      <c r="BM46" s="286"/>
      <c r="BN46" s="286"/>
      <c r="BO46" s="268"/>
      <c r="BP46" s="269"/>
      <c r="BQ46" s="287"/>
      <c r="BR46" s="35"/>
      <c r="BS46" s="43"/>
      <c r="BT46" s="33" t="b">
        <f>IF(BR46=Цены!$H$3,Цены!$L$3,IF(BR46=Цены!$H$4,Цены!$L$4,IF(BR46=Цены!$H$5,Цены!$L$5,IF(BR46=Цены!$H$6,Цены!$L$6,IF(BR46=Цены!$H$7,Цены!$L$7,IF(BR46=Цены!$H$8,Цены!$L$8,IF(BR46=Цены!$H$9,Цены!$L$9,IF(BR46=Цены!$H$10,Цены!$L$10,IF(BR46=Цены!$H$11,Цены!$L$11,IF(BR46=Цены!$H$12,Цены!$L$12,IF(BR46=Цены!$H$13,Цены!$L$13,IF(BR46=Цены!$H$14,Цены!$L$14,IF(BR46=Цены!$H$14,Цены!$L$14,IF(BR46=Цены!$H$15,Цены!$L$15,IF(BR46=Цены!$H$16,Цены!$L$16,IF(BR46=Цены!$H$17,Цены!$L$17,IF(BR46=Цены!$H$18,Цены!$L$18,IF(BR46=Цены!$H$19,Цены!$L$19,IF(BR46=Цены!$H$20,Цены!$L$20,IF(BR46=Цены!$H$21,Цены!$L$21,IF(BR46=Цены!$H$22,Цены!$L$22,IF(BR46=Цены!$H$23,Цены!$L$23,IF(BR46=Цены!$H$24,Цены!$L$24,IF(BR46=Цены!$H$25,Цены!$L$25,IF(BR46=Цены!$H$26,Цены!$L$26,IF(BR46=Цены!$H$27,Цены!$L$27,IF(BR46=Цены!$H$28,Цены!$L$28,IF(BR46=Цены!$H$29,Цены!$L$29,IF(BR46=Цены!$H$30,Цены!$L$30,IF(BR46=Цены!$H$31,Цены!$L$31,IF(BR46=Цены!$H$32,Цены!$L$32,IF(BR46=Цены!$H$33,Цены!$L$33,IF(BR46=Цены!$H$34,Цены!$L$34,IF(BR46=Цены!$H$35,Цены!$L$35,IF(BR46=Цены!$H$36,Цены!$L$36,IF(BR46=Цены!$H$37,Цены!$L$37,IF(BR46=Цены!$H$38,Цены!$L$38,IF(BR46=Цены!$H$39,Цены!$L$39,IF(BR46=Цены!$H$40,Цены!$L$40,IF(BR46=Цены!$H$41,Цены!$L$41,IF(BR46=Цены!$H$42,Цены!$L$42,IF(BR46=Цены!$H$43,Цены!$L$43,IF(BR46=Цены!$H$44,Цены!$L$44,IF(BR46=Цены!$H$45,Цены!$L$45,IF(BR46=Цены!$H$46,Цены!$L$46,IF(BR46=Цены!$H$47,Цены!$L$47,IF(BR46=Цены!$H$48,Цены!$L$48,IF(BR46=Цены!$H$49,Цены!$L$49,IF(BR46=Цены!$H$50,Цены!$L$50,IF(BR46=Цены!$H$51,Цены!$L$51,IF(BR46=Цены!$H$52,Цены!$L$52,IF(BR46=Цены!$H$53,Цены!$L$53,IF(BR46=Цены!$H$54,Цены!$L$54,IF(BR46=Цены!$H$55,Цены!$L$55))))))))))))))))))))))))))))))))))))))))))))))))))))))</f>
        <v>0</v>
      </c>
      <c r="BU46" s="276"/>
      <c r="BV46" s="34" t="b">
        <f>IF(BR46=Цены!$H$3,Цены!$K$3,IF(BR46=Цены!$H$4,Цены!$K$4,IF(BR46=Цены!$H$5,Цены!$K$5,IF(BR46=Цены!$H$6,Цены!$K$6,IF(BR46=Цены!$H$7,Цены!$K$7,IF(BR46=Цены!$H$8,Цены!$K$8,IF(BR46=Цены!$H$9,Цены!$K$9,IF(BR46=Цены!$H$10,Цены!$K$10,IF(BR46=Цены!$H$11,Цены!$K$11,IF(BR46=Цены!$H$12,Цены!$K$12,IF(BR46=Цены!$H$13,Цены!$K$13,IF(BR46=Цены!$H$14,Цены!$K$14,IF(BR46=Цены!$H$14,Цены!$K$14,IF(BR46=Цены!$H$15,Цены!$K$15,IF(BR46=Цены!$H$16,Цены!$K$16,IF(BR46=Цены!$H$17,Цены!$K$17,IF(BR46=Цены!$H$18,Цены!$K$18,IF(BR46=Цены!$H$19,Цены!$K$19,IF(BR46=Цены!$H$20,Цены!$K$20,IF(BR46=Цены!$H$21,Цены!$K$21,IF(BR46=Цены!$H$22,Цены!$K$22,IF(BR46=Цены!$H$23,Цены!$K$23,IF(BR46=Цены!$H$24,Цены!$K$24,IF(BR46=Цены!$H$25,Цены!$K$25,IF(BR46=Цены!$H$26,Цены!$K$26,IF(BR46=Цены!$H$27,Цены!$K$27,IF(BR46=Цены!$H$28,Цены!$K$28,IF(BR46=Цены!$H$29,Цены!$K$29,IF(BR46=Цены!$H$30,Цены!$K$30,IF(BR46=Цены!$H$31,Цены!$K$31,IF(BR46=Цены!$H$32,Цены!$K$32,IF(BR46=Цены!$H$33,Цены!$K$33,IF(BR46=Цены!$H$34,Цены!$K$34,IF(BR46=Цены!$H$35,Цены!$K$35,IF(BR46=Цены!$H$36,Цены!$K$36,IF(BR46=Цены!$H$37,Цены!$K$37,IF(BR46=Цены!$H$38,Цены!$K$38,IF(BR46=Цены!$H$39,Цены!$K$39,IF(BR46=Цены!$H$40,Цены!$K$40,IF(BR46=Цены!$H$41,Цены!$K$41,IF(BR46=Цены!$H$42,Цены!$K$42,IF(BR46=Цены!$H$43,Цены!$K$43,IF(BR46=Цены!$H$44,Цены!$K$44,IF(BR46=Цены!$H$45,Цены!$K$45,IF(BR46=Цены!$H$46,Цены!$K$46,IF(BR46=Цены!$H$47,Цены!$K$47,IF(BR46=Цены!$H$48,Цены!$K$48,IF(BR46=Цены!$H$49,Цены!$K$49,IF(BR46=Цены!$H$50,Цены!$K$50,IF(BR46=Цены!$H$51,Цены!$K$51,IF(BR46=Цены!$H$52,Цены!$K$52,IF(BR46=Цены!$H$53,Цены!$K$53,IF(BR46=Цены!$H$54,Цены!$K$54,IF(BR46=Цены!$H$55,Цены!$K$55))))))))))))))))))))))))))))))))))))))))))))))))))))))</f>
        <v>0</v>
      </c>
      <c r="BW46" s="265"/>
      <c r="BX46" s="265"/>
      <c r="BY46" s="269"/>
      <c r="BZ46" s="286"/>
      <c r="CA46" s="286"/>
      <c r="CB46" s="268"/>
      <c r="CC46" s="269"/>
      <c r="CD46" s="287"/>
      <c r="CE46" s="117"/>
      <c r="CF46" s="43"/>
      <c r="CG46" s="33" t="b">
        <f>IF(CE46=Цены!$H$3,Цены!$L$3,IF(CE46=Цены!$H$4,Цены!$L$4,IF(CE46=Цены!$H$5,Цены!$L$5,IF(CE46=Цены!$H$6,Цены!$L$6,IF(CE46=Цены!$H$7,Цены!$L$7,IF(CE46=Цены!$H$8,Цены!$L$8,IF(CE46=Цены!$H$9,Цены!$L$9,IF(CE46=Цены!$H$10,Цены!$L$10,IF(CE46=Цены!$H$11,Цены!$L$11,IF(CE46=Цены!$H$12,Цены!$L$12,IF(CE46=Цены!$H$13,Цены!$L$13,IF(CE46=Цены!$H$14,Цены!$L$14,IF(CE46=Цены!$H$14,Цены!$L$14,IF(CE46=Цены!$H$15,Цены!$L$15,IF(CE46=Цены!$H$16,Цены!$L$16,IF(CE46=Цены!$H$17,Цены!$L$17,IF(CE46=Цены!$H$18,Цены!$L$18,IF(CE46=Цены!$H$19,Цены!$L$19,IF(CE46=Цены!$H$20,Цены!$L$20,IF(CE46=Цены!$H$21,Цены!$L$21,IF(CE46=Цены!$H$22,Цены!$L$22,IF(CE46=Цены!$H$23,Цены!$L$23,IF(CE46=Цены!$H$24,Цены!$L$24,IF(CE46=Цены!$H$25,Цены!$L$25,IF(CE46=Цены!$H$26,Цены!$L$26,IF(CE46=Цены!$H$27,Цены!$L$27,IF(CE46=Цены!$H$28,Цены!$L$28,IF(CE46=Цены!$H$29,Цены!$L$29,IF(CE46=Цены!$H$30,Цены!$L$30,IF(CE46=Цены!$H$31,Цены!$L$31,IF(CE46=Цены!$H$32,Цены!$L$32,IF(CE46=Цены!$H$33,Цены!$L$33,IF(CE46=Цены!$H$34,Цены!$L$34,IF(CE46=Цены!$H$35,Цены!$L$35,IF(CE46=Цены!$H$36,Цены!$L$36,IF(CE46=Цены!$H$37,Цены!$L$37,IF(CE46=Цены!$H$38,Цены!$L$38,IF(CE46=Цены!$H$39,Цены!$L$39,IF(CE46=Цены!$H$40,Цены!$L$40,IF(CE46=Цены!$H$41,Цены!$L$41,IF(CE46=Цены!$H$42,Цены!$L$42,IF(CE46=Цены!$H$43,Цены!$L$43,IF(CE46=Цены!$H$44,Цены!$L$44,IF(CE46=Цены!$H$45,Цены!$L$45,IF(CE46=Цены!$H$46,Цены!$L$46,IF(CE46=Цены!$H$47,Цены!$L$47,IF(CE46=Цены!$H$48,Цены!$L$48,IF(CE46=Цены!$H$49,Цены!$L$49,IF(CE46=Цены!$H$50,Цены!$L$50,IF(CE46=Цены!$H$51,Цены!$L$51,IF(CE46=Цены!$H$52,Цены!$L$52,IF(CE46=Цены!$H$53,Цены!$L$53,IF(CE46=Цены!$H$54,Цены!$L$54,IF(CE46=Цены!$H$55,Цены!$L$55))))))))))))))))))))))))))))))))))))))))))))))))))))))</f>
        <v>0</v>
      </c>
      <c r="CH46" s="276"/>
      <c r="CI46" s="34" t="b">
        <f>IF(CE46=Цены!$H$3,Цены!$K$3,IF(CE46=Цены!$H$4,Цены!$K$4,IF(CE46=Цены!$H$5,Цены!$K$5,IF(CE46=Цены!$H$6,Цены!$K$6,IF(CE46=Цены!$H$7,Цены!$K$7,IF(CE46=Цены!$H$8,Цены!$K$8,IF(CE46=Цены!$H$9,Цены!$K$9,IF(CE46=Цены!$H$10,Цены!$K$10,IF(CE46=Цены!$H$11,Цены!$K$11,IF(CE46=Цены!$H$12,Цены!$K$12,IF(CE46=Цены!$H$13,Цены!$K$13,IF(CE46=Цены!$H$14,Цены!$K$14,IF(CE46=Цены!$H$14,Цены!$K$14,IF(CE46=Цены!$H$15,Цены!$K$15,IF(CE46=Цены!$H$16,Цены!$K$16,IF(CE46=Цены!$H$17,Цены!$K$17,IF(CE46=Цены!$H$18,Цены!$K$18,IF(CE46=Цены!$H$19,Цены!$K$19,IF(CE46=Цены!$H$20,Цены!$K$20,IF(CE46=Цены!$H$21,Цены!$K$21,IF(CE46=Цены!$H$22,Цены!$K$22,IF(CE46=Цены!$H$23,Цены!$K$23,IF(CE46=Цены!$H$24,Цены!$K$24,IF(CE46=Цены!$H$25,Цены!$K$25,IF(CE46=Цены!$H$26,Цены!$K$26,IF(CE46=Цены!$H$27,Цены!$K$27,IF(CE46=Цены!$H$28,Цены!$K$28,IF(CE46=Цены!$H$29,Цены!$K$29,IF(CE46=Цены!$H$30,Цены!$K$30,IF(CE46=Цены!$H$31,Цены!$K$31,IF(CE46=Цены!$H$32,Цены!$K$32,IF(CE46=Цены!$H$33,Цены!$K$33,IF(CE46=Цены!$H$34,Цены!$K$34,IF(CE46=Цены!$H$35,Цены!$K$35,IF(CE46=Цены!$H$36,Цены!$K$36,IF(CE46=Цены!$H$37,Цены!$K$37,IF(CE46=Цены!$H$38,Цены!$K$38,IF(CE46=Цены!$H$39,Цены!$K$39,IF(CE46=Цены!$H$40,Цены!$K$40,IF(CE46=Цены!$H$41,Цены!$K$41,IF(CE46=Цены!$H$42,Цены!$K$42,IF(CE46=Цены!$H$43,Цены!$K$43,IF(CE46=Цены!$H$44,Цены!$K$44,IF(CE46=Цены!$H$45,Цены!$K$45,IF(CE46=Цены!$H$46,Цены!$K$46,IF(CE46=Цены!$H$47,Цены!$K$47,IF(CE46=Цены!$H$48,Цены!$K$48,IF(CE46=Цены!$H$49,Цены!$K$49,IF(CE46=Цены!$H$50,Цены!$K$50,IF(CE46=Цены!$H$51,Цены!$K$51,IF(CE46=Цены!$H$52,Цены!$K$52,IF(CE46=Цены!$H$53,Цены!$K$53,IF(CE46=Цены!$H$54,Цены!$K$54,IF(CE46=Цены!$H$55,Цены!$K$55))))))))))))))))))))))))))))))))))))))))))))))))))))))</f>
        <v>0</v>
      </c>
      <c r="CJ46" s="265"/>
      <c r="CK46" s="265"/>
      <c r="CL46" s="269"/>
      <c r="CM46" s="286"/>
      <c r="CN46" s="286"/>
      <c r="CO46" s="268"/>
      <c r="CP46" s="269"/>
      <c r="CQ46" s="287"/>
    </row>
    <row r="47" spans="1:95" s="40" customFormat="1" ht="15.75" hidden="1" customHeight="1" x14ac:dyDescent="0.25">
      <c r="A47" s="341"/>
      <c r="B47" s="265"/>
      <c r="C47" s="336" t="s">
        <v>120</v>
      </c>
      <c r="D47" s="44" t="s">
        <v>67</v>
      </c>
      <c r="E47" s="45">
        <v>8</v>
      </c>
      <c r="F47" s="46">
        <f>IF(D47=Цены!$H$3,Цены!$L$3,IF(D47=Цены!$H$4,Цены!$L$4,IF(D47=Цены!$H$5,Цены!$L$5,IF(D47=Цены!$H$6,Цены!$L$6,IF(D47=Цены!$H$7,Цены!$L$7,IF(D47=Цены!$H$8,Цены!$L$8,IF(D47=Цены!$H$9,Цены!$L$9,IF(D47=Цены!$H$10,Цены!$L$10,IF(D47=Цены!$H$11,Цены!$L$11,IF(D47=Цены!$H$12,Цены!$L$12,IF(D47=Цены!$H$13,Цены!$L$13,IF(D47=Цены!$H$14,Цены!$L$14,IF(D47=Цены!$H$14,Цены!$L$14,IF(D47=Цены!$H$15,Цены!$L$15,IF(D47=Цены!$H$16,Цены!$L$16,IF(D47=Цены!$H$17,Цены!$L$17,IF(D47=Цены!$H$18,Цены!$L$18,IF(D47=Цены!$H$19,Цены!$L$19,IF(D47=Цены!$H$20,Цены!$L$20,IF(D47=Цены!$H$21,Цены!$L$21,IF(D47=Цены!$H$22,Цены!$L$22,IF(D47=Цены!$H$23,Цены!$L$23,IF(D47=Цены!$H$24,Цены!$L$24,IF(D47=Цены!$H$25,Цены!$L$25,IF(D47=Цены!$H$26,Цены!$L$26,IF(D47=Цены!$H$27,Цены!$L$27,IF(D47=Цены!$H$28,Цены!$L$28,IF(D47=Цены!$H$29,Цены!$L$29,IF(D47=Цены!$H$30,Цены!$L$30,IF(D47=Цены!$H$31,Цены!$L$31,IF(D47=Цены!$H$32,Цены!$L$32,IF(D47=Цены!$H$33,Цены!$L$33,IF(D47=Цены!$H$34,Цены!$L$34,IF(D47=Цены!$H$35,Цены!$L$35,IF(D47=Цены!$H$36,Цены!$L$36,IF(D47=Цены!$H$37,Цены!$L$37,IF(D47=Цены!$H$38,Цены!$L$38,IF(D47=Цены!$H$39,Цены!$L$39,IF(D47=Цены!$H$40,Цены!$L$40,IF(D47=Цены!$H$41,Цены!$L$41,IF(D47=Цены!$H$42,Цены!$L$42,IF(D47=Цены!$H$43,Цены!$L$43,IF(D47=Цены!$H$44,Цены!$L$44,IF(D47=Цены!$H$45,Цены!$L$45,IF(D47=Цены!$H$46,Цены!$L$46,IF(D47=Цены!$H$47,Цены!$L$47,IF(D47=Цены!$H$48,Цены!$L$48,IF(D47=Цены!$H$49,Цены!$L$49,IF(D47=Цены!$H$50,Цены!$L$50,IF(D47=Цены!$H$51,Цены!$L$51,IF(D47=Цены!$H$52,Цены!$L$52,IF(D47=Цены!$H$53,Цены!$L$53,IF(D47=Цены!$H$54,Цены!$L$54,IF(D47=Цены!$H$55,Цены!$L$55))))))))))))))))))))))))))))))))))))))))))))))))))))))</f>
        <v>0.9</v>
      </c>
      <c r="G47" s="339">
        <f>E47*F47+E48*F48+E49*F49+E50*F50</f>
        <v>17.212800000000001</v>
      </c>
      <c r="H47" s="47">
        <f>IF(D47=Цены!$H$3,Цены!$K$3,IF(D47=Цены!$H$4,Цены!$K$4,IF(D47=Цены!$H$5,Цены!$K$5,IF(D47=Цены!$H$6,Цены!$K$6,IF(D47=Цены!$H$7,Цены!$K$7,IF(D47=Цены!$H$8,Цены!$K$8,IF(D47=Цены!$H$9,Цены!$K$9,IF(D47=Цены!$H$10,Цены!$K$10,IF(D47=Цены!$H$11,Цены!$K$11,IF(D47=Цены!$H$12,Цены!$K$12,IF(D47=Цены!$H$13,Цены!$K$13,IF(D47=Цены!$H$14,Цены!$K$14,IF(D47=Цены!$H$14,Цены!$K$14,IF(D47=Цены!$H$15,Цены!$K$15,IF(D47=Цены!$H$16,Цены!$K$16,IF(D47=Цены!$H$17,Цены!$K$17,IF(D47=Цены!$H$18,Цены!$K$18,IF(D47=Цены!$H$19,Цены!$K$19,IF(D47=Цены!$H$20,Цены!$K$20,IF(D47=Цены!$H$21,Цены!$K$21,IF(D47=Цены!$H$22,Цены!$K$22,IF(D47=Цены!$H$23,Цены!$K$23,IF(D47=Цены!$H$24,Цены!$K$24,IF(D47=Цены!$H$25,Цены!$K$25,IF(D47=Цены!$H$26,Цены!$K$26,IF(D47=Цены!$H$27,Цены!$K$27,IF(D47=Цены!$H$28,Цены!$K$28,IF(D47=Цены!$H$29,Цены!$K$29,IF(D47=Цены!$H$30,Цены!$K$30,IF(D47=Цены!$H$31,Цены!$K$31,IF(D47=Цены!$H$32,Цены!$K$32,IF(D47=Цены!$H$33,Цены!$K$33,IF(D47=Цены!$H$34,Цены!$K$34,IF(D47=Цены!$H$35,Цены!$K$35,IF(D47=Цены!$H$36,Цены!$K$36,IF(D47=Цены!$H$37,Цены!$K$37,IF(D47=Цены!$H$38,Цены!$K$38,IF(D47=Цены!$H$39,Цены!$K$39,IF(D47=Цены!$H$40,Цены!$K$40,IF(D47=Цены!$H$41,Цены!$K$41,IF(D47=Цены!$H$42,Цены!$K$42,IF(D47=Цены!$H$43,Цены!$K$43,IF(D47=Цены!$H$44,Цены!$K$44,IF(D47=Цены!$H$45,Цены!$K$45,IF(D47=Цены!$H$46,Цены!$K$46,IF(D47=Цены!$H$47,Цены!$K$47,IF(D47=Цены!$H$48,Цены!$K$48,IF(D47=Цены!$H$49,Цены!$K$49,IF(D47=Цены!$H$50,Цены!$K$50,IF(D47=Цены!$H$51,Цены!$K$51,IF(D47=Цены!$H$52,Цены!$K$52,IF(D47=Цены!$H$53,Цены!$K$53,IF(D47=Цены!$H$54,Цены!$K$54,IF(D47=Цены!$H$55,Цены!$K$55))))))))))))))))))))))))))))))))))))))))))))))))))))))</f>
        <v>338</v>
      </c>
      <c r="I47" s="265"/>
      <c r="J47" s="265"/>
      <c r="K47" s="332">
        <f t="shared" ref="K47" si="74">E47*H47+E48*H48+E49*H49+E50*H50</f>
        <v>8854</v>
      </c>
      <c r="L47" s="334">
        <f>$I$43*$J$43</f>
        <v>3200</v>
      </c>
      <c r="M47" s="332">
        <f t="shared" ref="M47" si="75">K47+L47</f>
        <v>12054</v>
      </c>
      <c r="N47" s="265"/>
      <c r="O47" s="332">
        <f>N43/M47*100</f>
        <v>29.20192467230795</v>
      </c>
      <c r="P47" s="331">
        <f>MROUND(M47+N43,500)</f>
        <v>15500</v>
      </c>
      <c r="Q47" s="124" t="s">
        <v>143</v>
      </c>
      <c r="R47" s="37">
        <v>9</v>
      </c>
      <c r="S47" s="38">
        <f>IF(Q47=Цены!$H$3,Цены!$L$3,IF(Q47=Цены!$H$4,Цены!$L$4,IF(Q47=Цены!$H$5,Цены!$L$5,IF(Q47=Цены!$H$6,Цены!$L$6,IF(Q47=Цены!$H$7,Цены!$L$7,IF(Q47=Цены!$H$8,Цены!$L$8,IF(Q47=Цены!$H$9,Цены!$L$9,IF(Q47=Цены!$H$10,Цены!$L$10,IF(Q47=Цены!$H$11,Цены!$L$11,IF(Q47=Цены!$H$12,Цены!$L$12,IF(Q47=Цены!$H$13,Цены!$L$13,IF(Q47=Цены!$H$14,Цены!$L$14,IF(Q47=Цены!$H$14,Цены!$L$14,IF(Q47=Цены!$H$15,Цены!$L$15,IF(Q47=Цены!$H$16,Цены!$L$16,IF(Q47=Цены!$H$17,Цены!$L$17,IF(Q47=Цены!$H$18,Цены!$L$18,IF(Q47=Цены!$H$19,Цены!$L$19,IF(Q47=Цены!$H$20,Цены!$L$20,IF(Q47=Цены!$H$21,Цены!$L$21,IF(Q47=Цены!$H$22,Цены!$L$22,IF(Q47=Цены!$H$23,Цены!$L$23,IF(Q47=Цены!$H$24,Цены!$L$24,IF(Q47=Цены!$H$25,Цены!$L$25,IF(Q47=Цены!$H$26,Цены!$L$26,IF(Q47=Цены!$H$27,Цены!$L$27,IF(Q47=Цены!$H$28,Цены!$L$28,IF(Q47=Цены!$H$29,Цены!$L$29,IF(Q47=Цены!$H$30,Цены!$L$30,IF(Q47=Цены!$H$31,Цены!$L$31,IF(Q47=Цены!$H$32,Цены!$L$32,IF(Q47=Цены!$H$33,Цены!$L$33,IF(Q47=Цены!$H$34,Цены!$L$34,IF(Q47=Цены!$H$35,Цены!$L$35,IF(Q47=Цены!$H$36,Цены!$L$36,IF(Q47=Цены!$H$37,Цены!$L$37,IF(Q47=Цены!$H$38,Цены!$L$38,IF(Q47=Цены!$H$39,Цены!$L$39,IF(Q47=Цены!$H$40,Цены!$L$40,IF(Q47=Цены!$H$41,Цены!$L$41,IF(Q47=Цены!$H$42,Цены!$L$42,IF(Q47=Цены!$H$43,Цены!$L$43,IF(Q47=Цены!$H$44,Цены!$L$44,IF(Q47=Цены!$H$45,Цены!$L$45,IF(Q47=Цены!$H$46,Цены!$L$46,IF(Q47=Цены!$H$47,Цены!$L$47,IF(Q47=Цены!$H$48,Цены!$L$48,IF(Q47=Цены!$H$49,Цены!$L$49,IF(Q47=Цены!$H$50,Цены!$L$50,IF(Q47=Цены!$H$51,Цены!$L$51,IF(Q47=Цены!$H$52,Цены!$L$52,IF(Q47=Цены!$H$53,Цены!$L$53,IF(Q47=Цены!$H$54,Цены!$L$54,IF(Q47=Цены!$H$55,Цены!$L$55))))))))))))))))))))))))))))))))))))))))))))))))))))))</f>
        <v>2.4</v>
      </c>
      <c r="T47" s="322">
        <f>R47*S47+R48*S48+R49*S49+R50*S50</f>
        <v>27.349999999999998</v>
      </c>
      <c r="U47" s="161">
        <f>IF(Q47=Цены!$H$3,Цены!$K$3,IF(Q47=Цены!$H$4,Цены!$K$4,IF(Q47=Цены!$H$5,Цены!$K$5,IF(Q47=Цены!$H$6,Цены!$K$6,IF(Q47=Цены!$H$7,Цены!$K$7,IF(Q47=Цены!$H$8,Цены!$K$8,IF(Q47=Цены!$H$9,Цены!$K$9,IF(Q47=Цены!$H$10,Цены!$K$10,IF(Q47=Цены!$H$11,Цены!$K$11,IF(Q47=Цены!$H$12,Цены!$K$12,IF(Q47=Цены!$H$13,Цены!$K$13,IF(Q47=Цены!$H$14,Цены!$K$14,IF(Q47=Цены!$H$14,Цены!$K$14,IF(Q47=Цены!$H$15,Цены!$K$15,IF(Q47=Цены!$H$16,Цены!$K$16,IF(Q47=Цены!$H$17,Цены!$K$17,IF(Q47=Цены!$H$18,Цены!$K$18,IF(Q47=Цены!$H$19,Цены!$K$19,IF(Q47=Цены!$H$20,Цены!$K$20,IF(Q47=Цены!$H$21,Цены!$K$21,IF(Q47=Цены!$H$22,Цены!$K$22,IF(Q47=Цены!$H$23,Цены!$K$23,IF(Q47=Цены!$H$24,Цены!$K$24,IF(Q47=Цены!$H$25,Цены!$K$25,IF(Q47=Цены!$H$26,Цены!$K$26,IF(Q47=Цены!$H$27,Цены!$K$27,IF(Q47=Цены!$H$28,Цены!$K$28,IF(Q47=Цены!$H$29,Цены!$K$29,IF(Q47=Цены!$H$30,Цены!$K$30,IF(Q47=Цены!$H$31,Цены!$K$31,IF(Q47=Цены!$H$32,Цены!$K$32,IF(Q47=Цены!$H$33,Цены!$K$33,IF(Q47=Цены!$H$34,Цены!$K$34,IF(Q47=Цены!$H$35,Цены!$K$35,IF(Q47=Цены!$H$36,Цены!$K$36,IF(Q47=Цены!$H$37,Цены!$K$37,IF(Q47=Цены!$H$38,Цены!$K$38,IF(Q47=Цены!$H$39,Цены!$K$39,IF(Q47=Цены!$H$40,Цены!$K$40,IF(Q47=Цены!$H$41,Цены!$K$41,IF(Q47=Цены!$H$42,Цены!$K$42,IF(Q47=Цены!$H$43,Цены!$K$43,IF(Q47=Цены!$H$44,Цены!$K$44,IF(Q47=Цены!$H$45,Цены!$K$45,IF(Q47=Цены!$H$46,Цены!$K$46,IF(Q47=Цены!$H$47,Цены!$K$47,IF(Q47=Цены!$H$48,Цены!$K$48,IF(Q47=Цены!$H$49,Цены!$K$49,IF(Q47=Цены!$H$50,Цены!$K$50,IF(Q47=Цены!$H$51,Цены!$K$51,IF(Q47=Цены!$H$52,Цены!$K$52,IF(Q47=Цены!$H$53,Цены!$K$53,IF(Q47=Цены!$H$54,Цены!$K$54,IF(Q47=Цены!$H$55,Цены!$K$55))))))))))))))))))))))))))))))))))))))))))))))))))))))</f>
        <v>469</v>
      </c>
      <c r="V47" s="265"/>
      <c r="W47" s="265"/>
      <c r="X47" s="323">
        <f t="shared" ref="X47" si="76">R47*U47+R48*U48+R49*U49+R50*U50</f>
        <v>6221</v>
      </c>
      <c r="Y47" s="324">
        <f>V43*W43</f>
        <v>3200</v>
      </c>
      <c r="Z47" s="323">
        <f t="shared" ref="Z47" si="77">X47+Y47</f>
        <v>9421</v>
      </c>
      <c r="AA47" s="265"/>
      <c r="AB47" s="323">
        <f>AA43/Z47*100</f>
        <v>37.363337225347628</v>
      </c>
      <c r="AC47" s="325">
        <f>MROUND(Z47+AA43,500)</f>
        <v>13000</v>
      </c>
      <c r="AD47" s="66" t="s">
        <v>69</v>
      </c>
      <c r="AE47" s="130">
        <v>7</v>
      </c>
      <c r="AF47" s="68">
        <f>IF(AD47=Цены!$H$3,Цены!$L$3,IF(AD47=Цены!$H$4,Цены!$L$4,IF(AD47=Цены!$H$5,Цены!$L$5,IF(AD47=Цены!$H$6,Цены!$L$6,IF(AD47=Цены!$H$7,Цены!$L$7,IF(AD47=Цены!$H$8,Цены!$L$8,IF(AD47=Цены!$H$9,Цены!$L$9,IF(AD47=Цены!$H$10,Цены!$L$10,IF(AD47=Цены!$H$11,Цены!$L$11,IF(AD47=Цены!$H$12,Цены!$L$12,IF(AD47=Цены!$H$13,Цены!$L$13,IF(AD47=Цены!$H$14,Цены!$L$14,IF(AD47=Цены!$H$14,Цены!$L$14,IF(AD47=Цены!$H$15,Цены!$L$15,IF(AD47=Цены!$H$16,Цены!$L$16,IF(AD47=Цены!$H$17,Цены!$L$17,IF(AD47=Цены!$H$18,Цены!$L$18,IF(AD47=Цены!$H$19,Цены!$L$19,IF(AD47=Цены!$H$20,Цены!$L$20,IF(AD47=Цены!$H$21,Цены!$L$21,IF(AD47=Цены!$H$22,Цены!$L$22,IF(AD47=Цены!$H$23,Цены!$L$23,IF(AD47=Цены!$H$24,Цены!$L$24,IF(AD47=Цены!$H$25,Цены!$L$25,IF(AD47=Цены!$H$26,Цены!$L$26,IF(AD47=Цены!$H$27,Цены!$L$27,IF(AD47=Цены!$H$28,Цены!$L$28,IF(AD47=Цены!$H$29,Цены!$L$29,IF(AD47=Цены!$H$30,Цены!$L$30,IF(AD47=Цены!$H$31,Цены!$L$31,IF(AD47=Цены!$H$32,Цены!$L$32,IF(AD47=Цены!$H$33,Цены!$L$33,IF(AD47=Цены!$H$34,Цены!$L$34,IF(AD47=Цены!$H$35,Цены!$L$35,IF(AD47=Цены!$H$36,Цены!$L$36,IF(AD47=Цены!$H$37,Цены!$L$37,IF(AD47=Цены!$H$38,Цены!$L$38,IF(AD47=Цены!$H$39,Цены!$L$39,IF(AD47=Цены!$H$40,Цены!$L$40,IF(AD47=Цены!$H$41,Цены!$L$41,IF(AD47=Цены!$H$42,Цены!$L$42,IF(AD47=Цены!$H$43,Цены!$L$43,IF(AD47=Цены!$H$44,Цены!$L$44,IF(AD47=Цены!$H$45,Цены!$L$45,IF(AD47=Цены!$H$46,Цены!$L$46,IF(AD47=Цены!$H$47,Цены!$L$47,IF(AD47=Цены!$H$48,Цены!$L$48,IF(AD47=Цены!$H$49,Цены!$L$49,IF(AD47=Цены!$H$50,Цены!$L$50,IF(AD47=Цены!$H$51,Цены!$L$51,IF(AD47=Цены!$H$52,Цены!$L$52,IF(AD47=Цены!$H$53,Цены!$L$53,IF(AD47=Цены!$H$54,Цены!$L$54,IF(AD47=Цены!$H$55,Цены!$L$55))))))))))))))))))))))))))))))))))))))))))))))))))))))</f>
        <v>1.19</v>
      </c>
      <c r="AG47" s="311">
        <f>AE47*AF47+AE48*AF48+AE49*AF49+AE50*AF50</f>
        <v>45.33</v>
      </c>
      <c r="AH47" s="69">
        <f>IF(AD47=Цены!$H$3,Цены!$K$3,IF(AD47=Цены!$H$4,Цены!$K$4,IF(AD47=Цены!$H$5,Цены!$K$5,IF(AD47=Цены!$H$6,Цены!$K$6,IF(AD47=Цены!$H$7,Цены!$K$7,IF(AD47=Цены!$H$8,Цены!$K$8,IF(AD47=Цены!$H$9,Цены!$K$9,IF(AD47=Цены!$H$10,Цены!$K$10,IF(AD47=Цены!$H$11,Цены!$K$11,IF(AD47=Цены!$H$12,Цены!$K$12,IF(AD47=Цены!$H$13,Цены!$K$13,IF(AD47=Цены!$H$14,Цены!$K$14,IF(AD47=Цены!$H$14,Цены!$K$14,IF(AD47=Цены!$H$15,Цены!$K$15,IF(AD47=Цены!$H$16,Цены!$K$16,IF(AD47=Цены!$H$17,Цены!$K$17,IF(AD47=Цены!$H$18,Цены!$K$18,IF(AD47=Цены!$H$19,Цены!$K$19,IF(AD47=Цены!$H$20,Цены!$K$20,IF(AD47=Цены!$H$21,Цены!$K$21,IF(AD47=Цены!$H$22,Цены!$K$22,IF(AD47=Цены!$H$23,Цены!$K$23,IF(AD47=Цены!$H$24,Цены!$K$24,IF(AD47=Цены!$H$25,Цены!$K$25,IF(AD47=Цены!$H$26,Цены!$K$26,IF(AD47=Цены!$H$27,Цены!$K$27,IF(AD47=Цены!$H$28,Цены!$K$28,IF(AD47=Цены!$H$29,Цены!$K$29,IF(AD47=Цены!$H$30,Цены!$K$30,IF(AD47=Цены!$H$31,Цены!$K$31,IF(AD47=Цены!$H$32,Цены!$K$32,IF(AD47=Цены!$H$33,Цены!$K$33,IF(AD47=Цены!$H$34,Цены!$K$34,IF(AD47=Цены!$H$35,Цены!$K$35,IF(AD47=Цены!$H$36,Цены!$K$36,IF(AD47=Цены!$H$37,Цены!$K$37,IF(AD47=Цены!$H$38,Цены!$K$38,IF(AD47=Цены!$H$39,Цены!$K$39,IF(AD47=Цены!$H$40,Цены!$K$40,IF(AD47=Цены!$H$41,Цены!$K$41,IF(AD47=Цены!$H$42,Цены!$K$42,IF(AD47=Цены!$H$43,Цены!$K$43,IF(AD47=Цены!$H$44,Цены!$K$44,IF(AD47=Цены!$H$45,Цены!$K$45,IF(AD47=Цены!$H$46,Цены!$K$46,IF(AD47=Цены!$H$47,Цены!$K$47,IF(AD47=Цены!$H$48,Цены!$K$48,IF(AD47=Цены!$H$49,Цены!$K$49,IF(AD47=Цены!$H$50,Цены!$K$50,IF(AD47=Цены!$H$51,Цены!$K$51,IF(AD47=Цены!$H$52,Цены!$K$52,IF(AD47=Цены!$H$53,Цены!$K$53,IF(AD47=Цены!$H$54,Цены!$K$54,IF(AD47=Цены!$H$55,Цены!$K$55))))))))))))))))))))))))))))))))))))))))))))))))))))))</f>
        <v>398</v>
      </c>
      <c r="AI47" s="265"/>
      <c r="AJ47" s="265"/>
      <c r="AK47" s="312">
        <f t="shared" ref="AK47" si="78">AE47*AH47+AE48*AH48+AE49*AH49+AE50*AH50</f>
        <v>10526</v>
      </c>
      <c r="AL47" s="314">
        <f>AI43*AJ43</f>
        <v>5200</v>
      </c>
      <c r="AM47" s="312">
        <f t="shared" ref="AM47" si="79">AK47+AL47</f>
        <v>15726</v>
      </c>
      <c r="AN47" s="265"/>
      <c r="AO47" s="312">
        <f>AN43/AM47*100</f>
        <v>36.372885667048202</v>
      </c>
      <c r="AP47" s="315">
        <f>MROUND(AM47+AN43,500)</f>
        <v>21500</v>
      </c>
      <c r="AQ47" s="125" t="s">
        <v>146</v>
      </c>
      <c r="AR47" s="131">
        <v>4</v>
      </c>
      <c r="AS47" s="80">
        <f>IF(AQ47=Цены!$H$3,Цены!$L$3,IF(AQ47=Цены!$H$4,Цены!$L$4,IF(AQ47=Цены!$H$5,Цены!$L$5,IF(AQ47=Цены!$H$6,Цены!$L$6,IF(AQ47=Цены!$H$7,Цены!$L$7,IF(AQ47=Цены!$H$8,Цены!$L$8,IF(AQ47=Цены!$H$9,Цены!$L$9,IF(AQ47=Цены!$H$10,Цены!$L$10,IF(AQ47=Цены!$H$11,Цены!$L$11,IF(AQ47=Цены!$H$12,Цены!$L$12,IF(AQ47=Цены!$H$13,Цены!$L$13,IF(AQ47=Цены!$H$14,Цены!$L$14,IF(AQ47=Цены!$H$14,Цены!$L$14,IF(AQ47=Цены!$H$15,Цены!$L$15,IF(AQ47=Цены!$H$16,Цены!$L$16,IF(AQ47=Цены!$H$17,Цены!$L$17,IF(AQ47=Цены!$H$18,Цены!$L$18,IF(AQ47=Цены!$H$19,Цены!$L$19,IF(AQ47=Цены!$H$20,Цены!$L$20,IF(AQ47=Цены!$H$21,Цены!$L$21,IF(AQ47=Цены!$H$22,Цены!$L$22,IF(AQ47=Цены!$H$23,Цены!$L$23,IF(AQ47=Цены!$H$24,Цены!$L$24,IF(AQ47=Цены!$H$25,Цены!$L$25,IF(AQ47=Цены!$H$26,Цены!$L$26,IF(AQ47=Цены!$H$27,Цены!$L$27,IF(AQ47=Цены!$H$28,Цены!$L$28,IF(AQ47=Цены!$H$29,Цены!$L$29,IF(AQ47=Цены!$H$30,Цены!$L$30,IF(AQ47=Цены!$H$31,Цены!$L$31,IF(AQ47=Цены!$H$32,Цены!$L$32,IF(AQ47=Цены!$H$33,Цены!$L$33,IF(AQ47=Цены!$H$34,Цены!$L$34,IF(AQ47=Цены!$H$35,Цены!$L$35,IF(AQ47=Цены!$H$36,Цены!$L$36,IF(AQ47=Цены!$H$37,Цены!$L$37,IF(AQ47=Цены!$H$38,Цены!$L$38,IF(AQ47=Цены!$H$39,Цены!$L$39,IF(AQ47=Цены!$H$40,Цены!$L$40,IF(AQ47=Цены!$H$41,Цены!$L$41,IF(AQ47=Цены!$H$42,Цены!$L$42,IF(AQ47=Цены!$H$43,Цены!$L$43,IF(AQ47=Цены!$H$44,Цены!$L$44,IF(AQ47=Цены!$H$45,Цены!$L$45,IF(AQ47=Цены!$H$46,Цены!$L$46,IF(AQ47=Цены!$H$47,Цены!$L$47,IF(AQ47=Цены!$H$48,Цены!$L$48,IF(AQ47=Цены!$H$49,Цены!$L$49,IF(AQ47=Цены!$H$50,Цены!$L$50,IF(AQ47=Цены!$H$51,Цены!$L$51,IF(AQ47=Цены!$H$52,Цены!$L$52,IF(AQ47=Цены!$H$53,Цены!$L$53,IF(AQ47=Цены!$H$54,Цены!$L$54,IF(AQ47=Цены!$H$55,Цены!$L$55))))))))))))))))))))))))))))))))))))))))))))))))))))))</f>
        <v>1.19</v>
      </c>
      <c r="AT47" s="271">
        <f>AR47*AS47+AR48*AS48+AR49*AS49+AR50*AS50</f>
        <v>13.67</v>
      </c>
      <c r="AU47" s="81">
        <f>IF(AQ47=Цены!$H$3,Цены!$K$3,IF(AQ47=Цены!$H$4,Цены!$K$4,IF(AQ47=Цены!$H$5,Цены!$K$5,IF(AQ47=Цены!$H$6,Цены!$K$6,IF(AQ47=Цены!$H$7,Цены!$K$7,IF(AQ47=Цены!$H$8,Цены!$K$8,IF(AQ47=Цены!$H$9,Цены!$K$9,IF(AQ47=Цены!$H$10,Цены!$K$10,IF(AQ47=Цены!$H$11,Цены!$K$11,IF(AQ47=Цены!$H$12,Цены!$K$12,IF(AQ47=Цены!$H$13,Цены!$K$13,IF(AQ47=Цены!$H$14,Цены!$K$14,IF(AQ47=Цены!$H$14,Цены!$K$14,IF(AQ47=Цены!$H$15,Цены!$K$15,IF(AQ47=Цены!$H$16,Цены!$K$16,IF(AQ47=Цены!$H$17,Цены!$K$17,IF(AQ47=Цены!$H$18,Цены!$K$18,IF(AQ47=Цены!$H$19,Цены!$K$19,IF(AQ47=Цены!$H$20,Цены!$K$20,IF(AQ47=Цены!$H$21,Цены!$K$21,IF(AQ47=Цены!$H$22,Цены!$K$22,IF(AQ47=Цены!$H$23,Цены!$K$23,IF(AQ47=Цены!$H$24,Цены!$K$24,IF(AQ47=Цены!$H$25,Цены!$K$25,IF(AQ47=Цены!$H$26,Цены!$K$26,IF(AQ47=Цены!$H$27,Цены!$K$27,IF(AQ47=Цены!$H$28,Цены!$K$28,IF(AQ47=Цены!$H$29,Цены!$K$29,IF(AQ47=Цены!$H$30,Цены!$K$30,IF(AQ47=Цены!$H$31,Цены!$K$31,IF(AQ47=Цены!$H$32,Цены!$K$32,IF(AQ47=Цены!$H$33,Цены!$K$33,IF(AQ47=Цены!$H$34,Цены!$K$34,IF(AQ47=Цены!$H$35,Цены!$K$35,IF(AQ47=Цены!$H$36,Цены!$K$36,IF(AQ47=Цены!$H$37,Цены!$K$37,IF(AQ47=Цены!$H$38,Цены!$K$38,IF(AQ47=Цены!$H$39,Цены!$K$39,IF(AQ47=Цены!$H$40,Цены!$K$40,IF(AQ47=Цены!$H$41,Цены!$K$41,IF(AQ47=Цены!$H$42,Цены!$K$42,IF(AQ47=Цены!$H$43,Цены!$K$43,IF(AQ47=Цены!$H$44,Цены!$K$44,IF(AQ47=Цены!$H$45,Цены!$K$45,IF(AQ47=Цены!$H$46,Цены!$K$46,IF(AQ47=Цены!$H$47,Цены!$K$47,IF(AQ47=Цены!$H$48,Цены!$K$48,IF(AQ47=Цены!$H$49,Цены!$K$49,IF(AQ47=Цены!$H$50,Цены!$K$50,IF(AQ47=Цены!$H$51,Цены!$K$51,IF(AQ47=Цены!$H$52,Цены!$K$52,IF(AQ47=Цены!$H$53,Цены!$K$53,IF(AQ47=Цены!$H$54,Цены!$K$54,IF(AQ47=Цены!$H$55,Цены!$K$55))))))))))))))))))))))))))))))))))))))))))))))))))))))</f>
        <v>398</v>
      </c>
      <c r="AV47" s="265"/>
      <c r="AW47" s="265"/>
      <c r="AX47" s="274">
        <f t="shared" ref="AX47" si="80">AR47*AU47+AR48*AU48+AR49*AU49+AR50*AU50</f>
        <v>5438</v>
      </c>
      <c r="AY47" s="304">
        <f>AV43*AW43</f>
        <v>4400</v>
      </c>
      <c r="AZ47" s="274">
        <f t="shared" ref="AZ47" si="81">AX47+AY47</f>
        <v>9838</v>
      </c>
      <c r="BA47" s="265"/>
      <c r="BB47" s="274">
        <f>BA43/AZ47*100</f>
        <v>49.19699125838585</v>
      </c>
      <c r="BC47" s="305">
        <f>MROUND(AZ47+BA43,500)</f>
        <v>14500</v>
      </c>
      <c r="BD47" s="258">
        <f t="shared" ref="BD47" si="82">BC47+CQ47</f>
        <v>19500</v>
      </c>
      <c r="BE47" s="127" t="s">
        <v>141</v>
      </c>
      <c r="BF47" s="106">
        <v>3</v>
      </c>
      <c r="BG47" s="103">
        <f>IF(BE47=Цены!$H$3,Цены!$L$3,IF(BE47=Цены!$H$4,Цены!$L$4,IF(BE47=Цены!$H$5,Цены!$L$5,IF(BE47=Цены!$H$6,Цены!$L$6,IF(BE47=Цены!$H$7,Цены!$L$7,IF(BE47=Цены!$H$8,Цены!$L$8,IF(BE47=Цены!$H$9,Цены!$L$9,IF(BE47=Цены!$H$10,Цены!$L$10,IF(BE47=Цены!$H$11,Цены!$L$11,IF(BE47=Цены!$H$12,Цены!$L$12,IF(BE47=Цены!$H$13,Цены!$L$13,IF(BE47=Цены!$H$14,Цены!$L$14,IF(BE47=Цены!$H$14,Цены!$L$14,IF(BE47=Цены!$H$15,Цены!$L$15,IF(BE47=Цены!$H$16,Цены!$L$16,IF(BE47=Цены!$H$17,Цены!$L$17,IF(BE47=Цены!$H$18,Цены!$L$18,IF(BE47=Цены!$H$19,Цены!$L$19,IF(BE47=Цены!$H$20,Цены!$L$20,IF(BE47=Цены!$H$21,Цены!$L$21,IF(BE47=Цены!$H$22,Цены!$L$22,IF(BE47=Цены!$H$23,Цены!$L$23,IF(BE47=Цены!$H$24,Цены!$L$24,IF(BE47=Цены!$H$25,Цены!$L$25,IF(BE47=Цены!$H$26,Цены!$L$26,IF(BE47=Цены!$H$27,Цены!$L$27,IF(BE47=Цены!$H$28,Цены!$L$28,IF(BE47=Цены!$H$29,Цены!$L$29,IF(BE47=Цены!$H$30,Цены!$L$30,IF(BE47=Цены!$H$31,Цены!$L$31,IF(BE47=Цены!$H$32,Цены!$L$32,IF(BE47=Цены!$H$33,Цены!$L$33,IF(BE47=Цены!$H$34,Цены!$L$34,IF(BE47=Цены!$H$35,Цены!$L$35,IF(BE47=Цены!$H$36,Цены!$L$36,IF(BE47=Цены!$H$37,Цены!$L$37,IF(BE47=Цены!$H$38,Цены!$L$38,IF(BE47=Цены!$H$39,Цены!$L$39,IF(BE47=Цены!$H$40,Цены!$L$40,IF(BE47=Цены!$H$41,Цены!$L$41,IF(BE47=Цены!$H$42,Цены!$L$42,IF(BE47=Цены!$H$43,Цены!$L$43,IF(BE47=Цены!$H$44,Цены!$L$44,IF(BE47=Цены!$H$45,Цены!$L$45,IF(BE47=Цены!$H$46,Цены!$L$46,IF(BE47=Цены!$H$47,Цены!$L$47,IF(BE47=Цены!$H$48,Цены!$L$48,IF(BE47=Цены!$H$49,Цены!$L$49,IF(BE47=Цены!$H$50,Цены!$L$50,IF(BE47=Цены!$H$51,Цены!$L$51,IF(BE47=Цены!$H$52,Цены!$L$52,IF(BE47=Цены!$H$53,Цены!$L$53,IF(BE47=Цены!$H$54,Цены!$L$54,IF(BE47=Цены!$H$55,Цены!$L$55))))))))))))))))))))))))))))))))))))))))))))))))))))))</f>
        <v>0.9</v>
      </c>
      <c r="BH47" s="280">
        <f>BF47*BG47+BF48*BG48+BF49*BG49+BF50*BG50</f>
        <v>4.26</v>
      </c>
      <c r="BI47" s="104">
        <f>IF(BE47=Цены!$H$3,Цены!$K$3,IF(BE47=Цены!$H$4,Цены!$K$4,IF(BE47=Цены!$H$5,Цены!$K$5,IF(BE47=Цены!$H$6,Цены!$K$6,IF(BE47=Цены!$H$7,Цены!$K$7,IF(BE47=Цены!$H$8,Цены!$K$8,IF(BE47=Цены!$H$9,Цены!$K$9,IF(BE47=Цены!$H$10,Цены!$K$10,IF(BE47=Цены!$H$11,Цены!$K$11,IF(BE47=Цены!$H$12,Цены!$K$12,IF(BE47=Цены!$H$13,Цены!$K$13,IF(BE47=Цены!$H$14,Цены!$K$14,IF(BE47=Цены!$H$14,Цены!$K$14,IF(BE47=Цены!$H$15,Цены!$K$15,IF(BE47=Цены!$H$16,Цены!$K$16,IF(BE47=Цены!$H$17,Цены!$K$17,IF(BE47=Цены!$H$18,Цены!$K$18,IF(BE47=Цены!$H$19,Цены!$K$19,IF(BE47=Цены!$H$20,Цены!$K$20,IF(BE47=Цены!$H$21,Цены!$K$21,IF(BE47=Цены!$H$22,Цены!$K$22,IF(BE47=Цены!$H$23,Цены!$K$23,IF(BE47=Цены!$H$24,Цены!$K$24,IF(BE47=Цены!$H$25,Цены!$K$25,IF(BE47=Цены!$H$26,Цены!$K$26,IF(BE47=Цены!$H$27,Цены!$K$27,IF(BE47=Цены!$H$28,Цены!$K$28,IF(BE47=Цены!$H$29,Цены!$K$29,IF(BE47=Цены!$H$30,Цены!$K$30,IF(BE47=Цены!$H$31,Цены!$K$31,IF(BE47=Цены!$H$32,Цены!$K$32,IF(BE47=Цены!$H$33,Цены!$K$33,IF(BE47=Цены!$H$34,Цены!$K$34,IF(BE47=Цены!$H$35,Цены!$K$35,IF(BE47=Цены!$H$36,Цены!$K$36,IF(BE47=Цены!$H$37,Цены!$K$37,IF(BE47=Цены!$H$38,Цены!$K$38,IF(BE47=Цены!$H$39,Цены!$K$39,IF(BE47=Цены!$H$40,Цены!$K$40,IF(BE47=Цены!$H$41,Цены!$K$41,IF(BE47=Цены!$H$42,Цены!$K$42,IF(BE47=Цены!$H$43,Цены!$K$43,IF(BE47=Цены!$H$44,Цены!$K$44,IF(BE47=Цены!$H$45,Цены!$K$45,IF(BE47=Цены!$H$46,Цены!$K$46,IF(BE47=Цены!$H$47,Цены!$K$47,IF(BE47=Цены!$H$48,Цены!$K$48,IF(BE47=Цены!$H$49,Цены!$K$49,IF(BE47=Цены!$H$50,Цены!$K$50,IF(BE47=Цены!$H$51,Цены!$K$51,IF(BE47=Цены!$H$52,Цены!$K$52,IF(BE47=Цены!$H$53,Цены!$K$53,IF(BE47=Цены!$H$54,Цены!$K$54,IF(BE47=Цены!$H$55,Цены!$K$55))))))))))))))))))))))))))))))))))))))))))))))))))))))</f>
        <v>338</v>
      </c>
      <c r="BJ47" s="265"/>
      <c r="BK47" s="265"/>
      <c r="BL47" s="281">
        <f t="shared" ref="BL47" si="83">BF47*BI47+BF48*BI48+BF49*BI49+BF50*BI50</f>
        <v>1908</v>
      </c>
      <c r="BM47" s="292">
        <f>BJ43*BK43</f>
        <v>3200</v>
      </c>
      <c r="BN47" s="281">
        <f t="shared" ref="BN47" si="84">BL47+BM47</f>
        <v>5108</v>
      </c>
      <c r="BO47" s="268"/>
      <c r="BP47" s="281">
        <f>BO43/BN47*100</f>
        <v>68.911511354737669</v>
      </c>
      <c r="BQ47" s="293">
        <f>MROUND(BN47+BO43,500)</f>
        <v>8500</v>
      </c>
      <c r="BR47" s="133" t="s">
        <v>67</v>
      </c>
      <c r="BS47" s="108">
        <v>3</v>
      </c>
      <c r="BT47" s="109">
        <f>IF(BR47=Цены!$H$3,Цены!$L$3,IF(BR47=Цены!$H$4,Цены!$L$4,IF(BR47=Цены!$H$5,Цены!$L$5,IF(BR47=Цены!$H$6,Цены!$L$6,IF(BR47=Цены!$H$7,Цены!$L$7,IF(BR47=Цены!$H$8,Цены!$L$8,IF(BR47=Цены!$H$9,Цены!$L$9,IF(BR47=Цены!$H$10,Цены!$L$10,IF(BR47=Цены!$H$11,Цены!$L$11,IF(BR47=Цены!$H$12,Цены!$L$12,IF(BR47=Цены!$H$13,Цены!$L$13,IF(BR47=Цены!$H$14,Цены!$L$14,IF(BR47=Цены!$H$14,Цены!$L$14,IF(BR47=Цены!$H$15,Цены!$L$15,IF(BR47=Цены!$H$16,Цены!$L$16,IF(BR47=Цены!$H$17,Цены!$L$17,IF(BR47=Цены!$H$18,Цены!$L$18,IF(BR47=Цены!$H$19,Цены!$L$19,IF(BR47=Цены!$H$20,Цены!$L$20,IF(BR47=Цены!$H$21,Цены!$L$21,IF(BR47=Цены!$H$22,Цены!$L$22,IF(BR47=Цены!$H$23,Цены!$L$23,IF(BR47=Цены!$H$24,Цены!$L$24,IF(BR47=Цены!$H$25,Цены!$L$25,IF(BR47=Цены!$H$26,Цены!$L$26,IF(BR47=Цены!$H$27,Цены!$L$27,IF(BR47=Цены!$H$28,Цены!$L$28,IF(BR47=Цены!$H$29,Цены!$L$29,IF(BR47=Цены!$H$30,Цены!$L$30,IF(BR47=Цены!$H$31,Цены!$L$31,IF(BR47=Цены!$H$32,Цены!$L$32,IF(BR47=Цены!$H$33,Цены!$L$33,IF(BR47=Цены!$H$34,Цены!$L$34,IF(BR47=Цены!$H$35,Цены!$L$35,IF(BR47=Цены!$H$36,Цены!$L$36,IF(BR47=Цены!$H$37,Цены!$L$37,IF(BR47=Цены!$H$38,Цены!$L$38,IF(BR47=Цены!$H$39,Цены!$L$39,IF(BR47=Цены!$H$40,Цены!$L$40,IF(BR47=Цены!$H$41,Цены!$L$41,IF(BR47=Цены!$H$42,Цены!$L$42,IF(BR47=Цены!$H$43,Цены!$L$43,IF(BR47=Цены!$H$44,Цены!$L$44,IF(BR47=Цены!$H$45,Цены!$L$45,IF(BR47=Цены!$H$46,Цены!$L$46,IF(BR47=Цены!$H$47,Цены!$L$47,IF(BR47=Цены!$H$48,Цены!$L$48,IF(BR47=Цены!$H$49,Цены!$L$49,IF(BR47=Цены!$H$50,Цены!$L$50,IF(BR47=Цены!$H$51,Цены!$L$51,IF(BR47=Цены!$H$52,Цены!$L$52,IF(BR47=Цены!$H$53,Цены!$L$53,IF(BR47=Цены!$H$54,Цены!$L$54,IF(BR47=Цены!$H$55,Цены!$L$55))))))))))))))))))))))))))))))))))))))))))))))))))))))</f>
        <v>0.9</v>
      </c>
      <c r="BU47" s="284">
        <f>BS47*BT47+BS48*BT48+BS49*BT49+BS50*BT50</f>
        <v>5.04</v>
      </c>
      <c r="BV47" s="110">
        <f>IF(BR47=Цены!$H$3,Цены!$K$3,IF(BR47=Цены!$H$4,Цены!$K$4,IF(BR47=Цены!$H$5,Цены!$K$5,IF(BR47=Цены!$H$6,Цены!$K$6,IF(BR47=Цены!$H$7,Цены!$K$7,IF(BR47=Цены!$H$8,Цены!$K$8,IF(BR47=Цены!$H$9,Цены!$K$9,IF(BR47=Цены!$H$10,Цены!$K$10,IF(BR47=Цены!$H$11,Цены!$K$11,IF(BR47=Цены!$H$12,Цены!$K$12,IF(BR47=Цены!$H$13,Цены!$K$13,IF(BR47=Цены!$H$14,Цены!$K$14,IF(BR47=Цены!$H$14,Цены!$K$14,IF(BR47=Цены!$H$15,Цены!$K$15,IF(BR47=Цены!$H$16,Цены!$K$16,IF(BR47=Цены!$H$17,Цены!$K$17,IF(BR47=Цены!$H$18,Цены!$K$18,IF(BR47=Цены!$H$19,Цены!$K$19,IF(BR47=Цены!$H$20,Цены!$K$20,IF(BR47=Цены!$H$21,Цены!$K$21,IF(BR47=Цены!$H$22,Цены!$K$22,IF(BR47=Цены!$H$23,Цены!$K$23,IF(BR47=Цены!$H$24,Цены!$K$24,IF(BR47=Цены!$H$25,Цены!$K$25,IF(BR47=Цены!$H$26,Цены!$K$26,IF(BR47=Цены!$H$27,Цены!$K$27,IF(BR47=Цены!$H$28,Цены!$K$28,IF(BR47=Цены!$H$29,Цены!$K$29,IF(BR47=Цены!$H$30,Цены!$K$30,IF(BR47=Цены!$H$31,Цены!$K$31,IF(BR47=Цены!$H$32,Цены!$K$32,IF(BR47=Цены!$H$33,Цены!$K$33,IF(BR47=Цены!$H$34,Цены!$K$34,IF(BR47=Цены!$H$35,Цены!$K$35,IF(BR47=Цены!$H$36,Цены!$K$36,IF(BR47=Цены!$H$37,Цены!$K$37,IF(BR47=Цены!$H$38,Цены!$K$38,IF(BR47=Цены!$H$39,Цены!$K$39,IF(BR47=Цены!$H$40,Цены!$K$40,IF(BR47=Цены!$H$41,Цены!$K$41,IF(BR47=Цены!$H$42,Цены!$K$42,IF(BR47=Цены!$H$43,Цены!$K$43,IF(BR47=Цены!$H$44,Цены!$K$44,IF(BR47=Цены!$H$45,Цены!$K$45,IF(BR47=Цены!$H$46,Цены!$K$46,IF(BR47=Цены!$H$47,Цены!$K$47,IF(BR47=Цены!$H$48,Цены!$K$48,IF(BR47=Цены!$H$49,Цены!$K$49,IF(BR47=Цены!$H$50,Цены!$K$50,IF(BR47=Цены!$H$51,Цены!$K$51,IF(BR47=Цены!$H$52,Цены!$K$52,IF(BR47=Цены!$H$53,Цены!$K$53,IF(BR47=Цены!$H$54,Цены!$K$54,IF(BR47=Цены!$H$55,Цены!$K$55))))))))))))))))))))))))))))))))))))))))))))))))))))))</f>
        <v>338</v>
      </c>
      <c r="BW47" s="265"/>
      <c r="BX47" s="265"/>
      <c r="BY47" s="285">
        <f t="shared" ref="BY47" si="85">BS47*BV47+BS48*BV48+BS49*BV49+BS50*BV50</f>
        <v>2355</v>
      </c>
      <c r="BZ47" s="290">
        <f>BW43*BX43</f>
        <v>800</v>
      </c>
      <c r="CA47" s="285">
        <f t="shared" ref="CA47" si="86">BY47+BZ47</f>
        <v>3155</v>
      </c>
      <c r="CB47" s="268"/>
      <c r="CC47" s="285">
        <f>CB43/CA47*100</f>
        <v>27.892234548335974</v>
      </c>
      <c r="CD47" s="291">
        <f>MROUND(CA47+CB43,500)</f>
        <v>4000</v>
      </c>
      <c r="CE47" s="119" t="s">
        <v>67</v>
      </c>
      <c r="CF47" s="112">
        <v>3</v>
      </c>
      <c r="CG47" s="113">
        <f>IF(CE47=Цены!$H$3,Цены!$L$3,IF(CE47=Цены!$H$4,Цены!$L$4,IF(CE47=Цены!$H$5,Цены!$L$5,IF(CE47=Цены!$H$6,Цены!$L$6,IF(CE47=Цены!$H$7,Цены!$L$7,IF(CE47=Цены!$H$8,Цены!$L$8,IF(CE47=Цены!$H$9,Цены!$L$9,IF(CE47=Цены!$H$10,Цены!$L$10,IF(CE47=Цены!$H$11,Цены!$L$11,IF(CE47=Цены!$H$12,Цены!$L$12,IF(CE47=Цены!$H$13,Цены!$L$13,IF(CE47=Цены!$H$14,Цены!$L$14,IF(CE47=Цены!$H$14,Цены!$L$14,IF(CE47=Цены!$H$15,Цены!$L$15,IF(CE47=Цены!$H$16,Цены!$L$16,IF(CE47=Цены!$H$17,Цены!$L$17,IF(CE47=Цены!$H$18,Цены!$L$18,IF(CE47=Цены!$H$19,Цены!$L$19,IF(CE47=Цены!$H$20,Цены!$L$20,IF(CE47=Цены!$H$21,Цены!$L$21,IF(CE47=Цены!$H$22,Цены!$L$22,IF(CE47=Цены!$H$23,Цены!$L$23,IF(CE47=Цены!$H$24,Цены!$L$24,IF(CE47=Цены!$H$25,Цены!$L$25,IF(CE47=Цены!$H$26,Цены!$L$26,IF(CE47=Цены!$H$27,Цены!$L$27,IF(CE47=Цены!$H$28,Цены!$L$28,IF(CE47=Цены!$H$29,Цены!$L$29,IF(CE47=Цены!$H$30,Цены!$L$30,IF(CE47=Цены!$H$31,Цены!$L$31,IF(CE47=Цены!$H$32,Цены!$L$32,IF(CE47=Цены!$H$33,Цены!$L$33,IF(CE47=Цены!$H$34,Цены!$L$34,IF(CE47=Цены!$H$35,Цены!$L$35,IF(CE47=Цены!$H$36,Цены!$L$36,IF(CE47=Цены!$H$37,Цены!$L$37,IF(CE47=Цены!$H$38,Цены!$L$38,IF(CE47=Цены!$H$39,Цены!$L$39,IF(CE47=Цены!$H$40,Цены!$L$40,IF(CE47=Цены!$H$41,Цены!$L$41,IF(CE47=Цены!$H$42,Цены!$L$42,IF(CE47=Цены!$H$43,Цены!$L$43,IF(CE47=Цены!$H$44,Цены!$L$44,IF(CE47=Цены!$H$45,Цены!$L$45,IF(CE47=Цены!$H$46,Цены!$L$46,IF(CE47=Цены!$H$47,Цены!$L$47,IF(CE47=Цены!$H$48,Цены!$L$48,IF(CE47=Цены!$H$49,Цены!$L$49,IF(CE47=Цены!$H$50,Цены!$L$50,IF(CE47=Цены!$H$51,Цены!$L$51,IF(CE47=Цены!$H$52,Цены!$L$52,IF(CE47=Цены!$H$53,Цены!$L$53,IF(CE47=Цены!$H$54,Цены!$L$54,IF(CE47=Цены!$H$55,Цены!$L$55))))))))))))))))))))))))))))))))))))))))))))))))))))))</f>
        <v>0.9</v>
      </c>
      <c r="CH47" s="282">
        <f>CF47*CG47+CF48*CG48+CF49*CG49+CF50*CG50</f>
        <v>5.0532000000000004</v>
      </c>
      <c r="CI47" s="114">
        <f>IF(CE47=Цены!$H$3,Цены!$K$3,IF(CE47=Цены!$H$4,Цены!$K$4,IF(CE47=Цены!$H$5,Цены!$K$5,IF(CE47=Цены!$H$6,Цены!$K$6,IF(CE47=Цены!$H$7,Цены!$K$7,IF(CE47=Цены!$H$8,Цены!$K$8,IF(CE47=Цены!$H$9,Цены!$K$9,IF(CE47=Цены!$H$10,Цены!$K$10,IF(CE47=Цены!$H$11,Цены!$K$11,IF(CE47=Цены!$H$12,Цены!$K$12,IF(CE47=Цены!$H$13,Цены!$K$13,IF(CE47=Цены!$H$14,Цены!$K$14,IF(CE47=Цены!$H$14,Цены!$K$14,IF(CE47=Цены!$H$15,Цены!$K$15,IF(CE47=Цены!$H$16,Цены!$K$16,IF(CE47=Цены!$H$17,Цены!$K$17,IF(CE47=Цены!$H$18,Цены!$K$18,IF(CE47=Цены!$H$19,Цены!$K$19,IF(CE47=Цены!$H$20,Цены!$K$20,IF(CE47=Цены!$H$21,Цены!$K$21,IF(CE47=Цены!$H$22,Цены!$K$22,IF(CE47=Цены!$H$23,Цены!$K$23,IF(CE47=Цены!$H$24,Цены!$K$24,IF(CE47=Цены!$H$25,Цены!$K$25,IF(CE47=Цены!$H$26,Цены!$K$26,IF(CE47=Цены!$H$27,Цены!$K$27,IF(CE47=Цены!$H$28,Цены!$K$28,IF(CE47=Цены!$H$29,Цены!$K$29,IF(CE47=Цены!$H$30,Цены!$K$30,IF(CE47=Цены!$H$31,Цены!$K$31,IF(CE47=Цены!$H$32,Цены!$K$32,IF(CE47=Цены!$H$33,Цены!$K$33,IF(CE47=Цены!$H$34,Цены!$K$34,IF(CE47=Цены!$H$35,Цены!$K$35,IF(CE47=Цены!$H$36,Цены!$K$36,IF(CE47=Цены!$H$37,Цены!$K$37,IF(CE47=Цены!$H$38,Цены!$K$38,IF(CE47=Цены!$H$39,Цены!$K$39,IF(CE47=Цены!$H$40,Цены!$K$40,IF(CE47=Цены!$H$41,Цены!$K$41,IF(CE47=Цены!$H$42,Цены!$K$42,IF(CE47=Цены!$H$43,Цены!$K$43,IF(CE47=Цены!$H$44,Цены!$K$44,IF(CE47=Цены!$H$45,Цены!$K$45,IF(CE47=Цены!$H$46,Цены!$K$46,IF(CE47=Цены!$H$47,Цены!$K$47,IF(CE47=Цены!$H$48,Цены!$K$48,IF(CE47=Цены!$H$49,Цены!$K$49,IF(CE47=Цены!$H$50,Цены!$K$50,IF(CE47=Цены!$H$51,Цены!$K$51,IF(CE47=Цены!$H$52,Цены!$K$52,IF(CE47=Цены!$H$53,Цены!$K$53,IF(CE47=Цены!$H$54,Цены!$K$54,IF(CE47=Цены!$H$55,Цены!$K$55))))))))))))))))))))))))))))))))))))))))))))))))))))))</f>
        <v>338</v>
      </c>
      <c r="CJ47" s="265"/>
      <c r="CK47" s="265"/>
      <c r="CL47" s="283">
        <f t="shared" ref="CL47" si="87">CF47*CI47+CF48*CI48+CF49*CI49+CF50*CI50</f>
        <v>2409</v>
      </c>
      <c r="CM47" s="288">
        <f>CJ43*CK43</f>
        <v>1200</v>
      </c>
      <c r="CN47" s="283">
        <f t="shared" ref="CN47" si="88">CL47+CM47</f>
        <v>3609</v>
      </c>
      <c r="CO47" s="268"/>
      <c r="CP47" s="283">
        <f>CO43/CN47*100</f>
        <v>36.575228595178721</v>
      </c>
      <c r="CQ47" s="289">
        <f>MROUND(CN47+CO43,500)</f>
        <v>5000</v>
      </c>
    </row>
    <row r="48" spans="1:95" s="40" customFormat="1" ht="15.75" hidden="1" customHeight="1" x14ac:dyDescent="0.25">
      <c r="A48" s="341"/>
      <c r="B48" s="265"/>
      <c r="C48" s="336"/>
      <c r="D48" s="44" t="s">
        <v>87</v>
      </c>
      <c r="E48" s="45">
        <v>7</v>
      </c>
      <c r="F48" s="46">
        <f>IF(D48=Цены!$H$3,Цены!$L$3,IF(D48=Цены!$H$4,Цены!$L$4,IF(D48=Цены!$H$5,Цены!$L$5,IF(D48=Цены!$H$6,Цены!$L$6,IF(D48=Цены!$H$7,Цены!$L$7,IF(D48=Цены!$H$8,Цены!$L$8,IF(D48=Цены!$H$9,Цены!$L$9,IF(D48=Цены!$H$10,Цены!$L$10,IF(D48=Цены!$H$11,Цены!$L$11,IF(D48=Цены!$H$12,Цены!$L$12,IF(D48=Цены!$H$13,Цены!$L$13,IF(D48=Цены!$H$14,Цены!$L$14,IF(D48=Цены!$H$14,Цены!$L$14,IF(D48=Цены!$H$15,Цены!$L$15,IF(D48=Цены!$H$16,Цены!$L$16,IF(D48=Цены!$H$17,Цены!$L$17,IF(D48=Цены!$H$18,Цены!$L$18,IF(D48=Цены!$H$19,Цены!$L$19,IF(D48=Цены!$H$20,Цены!$L$20,IF(D48=Цены!$H$21,Цены!$L$21,IF(D48=Цены!$H$22,Цены!$L$22,IF(D48=Цены!$H$23,Цены!$L$23,IF(D48=Цены!$H$24,Цены!$L$24,IF(D48=Цены!$H$25,Цены!$L$25,IF(D48=Цены!$H$26,Цены!$L$26,IF(D48=Цены!$H$27,Цены!$L$27,IF(D48=Цены!$H$28,Цены!$L$28,IF(D48=Цены!$H$29,Цены!$L$29,IF(D48=Цены!$H$30,Цены!$L$30,IF(D48=Цены!$H$31,Цены!$L$31,IF(D48=Цены!$H$32,Цены!$L$32,IF(D48=Цены!$H$33,Цены!$L$33,IF(D48=Цены!$H$34,Цены!$L$34,IF(D48=Цены!$H$35,Цены!$L$35,IF(D48=Цены!$H$36,Цены!$L$36,IF(D48=Цены!$H$37,Цены!$L$37,IF(D48=Цены!$H$38,Цены!$L$38,IF(D48=Цены!$H$39,Цены!$L$39,IF(D48=Цены!$H$40,Цены!$L$40,IF(D48=Цены!$H$41,Цены!$L$41,IF(D48=Цены!$H$42,Цены!$L$42,IF(D48=Цены!$H$43,Цены!$L$43,IF(D48=Цены!$H$44,Цены!$L$44,IF(D48=Цены!$H$45,Цены!$L$45,IF(D48=Цены!$H$46,Цены!$L$46,IF(D48=Цены!$H$47,Цены!$L$47,IF(D48=Цены!$H$48,Цены!$L$48,IF(D48=Цены!$H$49,Цены!$L$49,IF(D48=Цены!$H$50,Цены!$L$50,IF(D48=Цены!$H$51,Цены!$L$51,IF(D48=Цены!$H$52,Цены!$L$52,IF(D48=Цены!$H$53,Цены!$L$53,IF(D48=Цены!$H$54,Цены!$L$54,IF(D48=Цены!$H$55,Цены!$L$55))))))))))))))))))))))))))))))))))))))))))))))))))))))</f>
        <v>1.2</v>
      </c>
      <c r="G48" s="339"/>
      <c r="H48" s="47">
        <f>IF(D48=Цены!$H$3,Цены!$K$3,IF(D48=Цены!$H$4,Цены!$K$4,IF(D48=Цены!$H$5,Цены!$K$5,IF(D48=Цены!$H$6,Цены!$K$6,IF(D48=Цены!$H$7,Цены!$K$7,IF(D48=Цены!$H$8,Цены!$K$8,IF(D48=Цены!$H$9,Цены!$K$9,IF(D48=Цены!$H$10,Цены!$K$10,IF(D48=Цены!$H$11,Цены!$K$11,IF(D48=Цены!$H$12,Цены!$K$12,IF(D48=Цены!$H$13,Цены!$K$13,IF(D48=Цены!$H$14,Цены!$K$14,IF(D48=Цены!$H$14,Цены!$K$14,IF(D48=Цены!$H$15,Цены!$K$15,IF(D48=Цены!$H$16,Цены!$K$16,IF(D48=Цены!$H$17,Цены!$K$17,IF(D48=Цены!$H$18,Цены!$K$18,IF(D48=Цены!$H$19,Цены!$K$19,IF(D48=Цены!$H$20,Цены!$K$20,IF(D48=Цены!$H$21,Цены!$K$21,IF(D48=Цены!$H$22,Цены!$K$22,IF(D48=Цены!$H$23,Цены!$K$23,IF(D48=Цены!$H$24,Цены!$K$24,IF(D48=Цены!$H$25,Цены!$K$25,IF(D48=Цены!$H$26,Цены!$K$26,IF(D48=Цены!$H$27,Цены!$K$27,IF(D48=Цены!$H$28,Цены!$K$28,IF(D48=Цены!$H$29,Цены!$K$29,IF(D48=Цены!$H$30,Цены!$K$30,IF(D48=Цены!$H$31,Цены!$K$31,IF(D48=Цены!$H$32,Цены!$K$32,IF(D48=Цены!$H$33,Цены!$K$33,IF(D48=Цены!$H$34,Цены!$K$34,IF(D48=Цены!$H$35,Цены!$K$35,IF(D48=Цены!$H$36,Цены!$K$36,IF(D48=Цены!$H$37,Цены!$K$37,IF(D48=Цены!$H$38,Цены!$K$38,IF(D48=Цены!$H$39,Цены!$K$39,IF(D48=Цены!$H$40,Цены!$K$40,IF(D48=Цены!$H$41,Цены!$K$41,IF(D48=Цены!$H$42,Цены!$K$42,IF(D48=Цены!$H$43,Цены!$K$43,IF(D48=Цены!$H$44,Цены!$K$44,IF(D48=Цены!$H$45,Цены!$K$45,IF(D48=Цены!$H$46,Цены!$K$46,IF(D48=Цены!$H$47,Цены!$K$47,IF(D48=Цены!$H$48,Цены!$K$48,IF(D48=Цены!$H$49,Цены!$K$49,IF(D48=Цены!$H$50,Цены!$K$50,IF(D48=Цены!$H$51,Цены!$K$51,IF(D48=Цены!$H$52,Цены!$K$52,IF(D48=Цены!$H$53,Цены!$K$53,IF(D48=Цены!$H$54,Цены!$K$54,IF(D48=Цены!$H$55,Цены!$K$55))))))))))))))))))))))))))))))))))))))))))))))))))))))</f>
        <v>378</v>
      </c>
      <c r="I48" s="265"/>
      <c r="J48" s="265"/>
      <c r="K48" s="332"/>
      <c r="L48" s="334"/>
      <c r="M48" s="334"/>
      <c r="N48" s="265"/>
      <c r="O48" s="332"/>
      <c r="P48" s="331"/>
      <c r="Q48" s="132" t="s">
        <v>148</v>
      </c>
      <c r="R48" s="37">
        <v>5</v>
      </c>
      <c r="S48" s="38">
        <f>IF(Q48=Цены!$H$3,Цены!$L$3,IF(Q48=Цены!$H$4,Цены!$L$4,IF(Q48=Цены!$H$5,Цены!$L$5,IF(Q48=Цены!$H$6,Цены!$L$6,IF(Q48=Цены!$H$7,Цены!$L$7,IF(Q48=Цены!$H$8,Цены!$L$8,IF(Q48=Цены!$H$9,Цены!$L$9,IF(Q48=Цены!$H$10,Цены!$L$10,IF(Q48=Цены!$H$11,Цены!$L$11,IF(Q48=Цены!$H$12,Цены!$L$12,IF(Q48=Цены!$H$13,Цены!$L$13,IF(Q48=Цены!$H$14,Цены!$L$14,IF(Q48=Цены!$H$14,Цены!$L$14,IF(Q48=Цены!$H$15,Цены!$L$15,IF(Q48=Цены!$H$16,Цены!$L$16,IF(Q48=Цены!$H$17,Цены!$L$17,IF(Q48=Цены!$H$18,Цены!$L$18,IF(Q48=Цены!$H$19,Цены!$L$19,IF(Q48=Цены!$H$20,Цены!$L$20,IF(Q48=Цены!$H$21,Цены!$L$21,IF(Q48=Цены!$H$22,Цены!$L$22,IF(Q48=Цены!$H$23,Цены!$L$23,IF(Q48=Цены!$H$24,Цены!$L$24,IF(Q48=Цены!$H$25,Цены!$L$25,IF(Q48=Цены!$H$26,Цены!$L$26,IF(Q48=Цены!$H$27,Цены!$L$27,IF(Q48=Цены!$H$28,Цены!$L$28,IF(Q48=Цены!$H$29,Цены!$L$29,IF(Q48=Цены!$H$30,Цены!$L$30,IF(Q48=Цены!$H$31,Цены!$L$31,IF(Q48=Цены!$H$32,Цены!$L$32,IF(Q48=Цены!$H$33,Цены!$L$33,IF(Q48=Цены!$H$34,Цены!$L$34,IF(Q48=Цены!$H$35,Цены!$L$35,IF(Q48=Цены!$H$36,Цены!$L$36,IF(Q48=Цены!$H$37,Цены!$L$37,IF(Q48=Цены!$H$38,Цены!$L$38,IF(Q48=Цены!$H$39,Цены!$L$39,IF(Q48=Цены!$H$40,Цены!$L$40,IF(Q48=Цены!$H$41,Цены!$L$41,IF(Q48=Цены!$H$42,Цены!$L$42,IF(Q48=Цены!$H$43,Цены!$L$43,IF(Q48=Цены!$H$44,Цены!$L$44,IF(Q48=Цены!$H$45,Цены!$L$45,IF(Q48=Цены!$H$46,Цены!$L$46,IF(Q48=Цены!$H$47,Цены!$L$47,IF(Q48=Цены!$H$48,Цены!$L$48,IF(Q48=Цены!$H$49,Цены!$L$49,IF(Q48=Цены!$H$50,Цены!$L$50,IF(Q48=Цены!$H$51,Цены!$L$51,IF(Q48=Цены!$H$52,Цены!$L$52,IF(Q48=Цены!$H$53,Цены!$L$53,IF(Q48=Цены!$H$54,Цены!$L$54,IF(Q48=Цены!$H$55,Цены!$L$55))))))))))))))))))))))))))))))))))))))))))))))))))))))</f>
        <v>1.1499999999999999</v>
      </c>
      <c r="T48" s="322"/>
      <c r="U48" s="161">
        <f>IF(Q48=Цены!$H$3,Цены!$K$3,IF(Q48=Цены!$H$4,Цены!$K$4,IF(Q48=Цены!$H$5,Цены!$K$5,IF(Q48=Цены!$H$6,Цены!$K$6,IF(Q48=Цены!$H$7,Цены!$K$7,IF(Q48=Цены!$H$8,Цены!$K$8,IF(Q48=Цены!$H$9,Цены!$K$9,IF(Q48=Цены!$H$10,Цены!$K$10,IF(Q48=Цены!$H$11,Цены!$K$11,IF(Q48=Цены!$H$12,Цены!$K$12,IF(Q48=Цены!$H$13,Цены!$K$13,IF(Q48=Цены!$H$14,Цены!$K$14,IF(Q48=Цены!$H$14,Цены!$K$14,IF(Q48=Цены!$H$15,Цены!$K$15,IF(Q48=Цены!$H$16,Цены!$K$16,IF(Q48=Цены!$H$17,Цены!$K$17,IF(Q48=Цены!$H$18,Цены!$K$18,IF(Q48=Цены!$H$19,Цены!$K$19,IF(Q48=Цены!$H$20,Цены!$K$20,IF(Q48=Цены!$H$21,Цены!$K$21,IF(Q48=Цены!$H$22,Цены!$K$22,IF(Q48=Цены!$H$23,Цены!$K$23,IF(Q48=Цены!$H$24,Цены!$K$24,IF(Q48=Цены!$H$25,Цены!$K$25,IF(Q48=Цены!$H$26,Цены!$K$26,IF(Q48=Цены!$H$27,Цены!$K$27,IF(Q48=Цены!$H$28,Цены!$K$28,IF(Q48=Цены!$H$29,Цены!$K$29,IF(Q48=Цены!$H$30,Цены!$K$30,IF(Q48=Цены!$H$31,Цены!$K$31,IF(Q48=Цены!$H$32,Цены!$K$32,IF(Q48=Цены!$H$33,Цены!$K$33,IF(Q48=Цены!$H$34,Цены!$K$34,IF(Q48=Цены!$H$35,Цены!$K$35,IF(Q48=Цены!$H$36,Цены!$K$36,IF(Q48=Цены!$H$37,Цены!$K$37,IF(Q48=Цены!$H$38,Цены!$K$38,IF(Q48=Цены!$H$39,Цены!$K$39,IF(Q48=Цены!$H$40,Цены!$K$40,IF(Q48=Цены!$H$41,Цены!$K$41,IF(Q48=Цены!$H$42,Цены!$K$42,IF(Q48=Цены!$H$43,Цены!$K$43,IF(Q48=Цены!$H$44,Цены!$K$44,IF(Q48=Цены!$H$45,Цены!$K$45,IF(Q48=Цены!$H$46,Цены!$K$46,IF(Q48=Цены!$H$47,Цены!$K$47,IF(Q48=Цены!$H$48,Цены!$K$48,IF(Q48=Цены!$H$49,Цены!$K$49,IF(Q48=Цены!$H$50,Цены!$K$50,IF(Q48=Цены!$H$51,Цены!$K$51,IF(Q48=Цены!$H$52,Цены!$K$52,IF(Q48=Цены!$H$53,Цены!$K$53,IF(Q48=Цены!$H$54,Цены!$K$54,IF(Q48=Цены!$H$55,Цены!$K$55))))))))))))))))))))))))))))))))))))))))))))))))))))))</f>
        <v>400</v>
      </c>
      <c r="V48" s="265"/>
      <c r="W48" s="265"/>
      <c r="X48" s="323"/>
      <c r="Y48" s="324"/>
      <c r="Z48" s="324"/>
      <c r="AA48" s="265"/>
      <c r="AB48" s="323"/>
      <c r="AC48" s="325"/>
      <c r="AD48" s="66" t="s">
        <v>70</v>
      </c>
      <c r="AE48" s="130">
        <v>4</v>
      </c>
      <c r="AF48" s="68">
        <f>IF(AD48=Цены!$H$3,Цены!$L$3,IF(AD48=Цены!$H$4,Цены!$L$4,IF(AD48=Цены!$H$5,Цены!$L$5,IF(AD48=Цены!$H$6,Цены!$L$6,IF(AD48=Цены!$H$7,Цены!$L$7,IF(AD48=Цены!$H$8,Цены!$L$8,IF(AD48=Цены!$H$9,Цены!$L$9,IF(AD48=Цены!$H$10,Цены!$L$10,IF(AD48=Цены!$H$11,Цены!$L$11,IF(AD48=Цены!$H$12,Цены!$L$12,IF(AD48=Цены!$H$13,Цены!$L$13,IF(AD48=Цены!$H$14,Цены!$L$14,IF(AD48=Цены!$H$14,Цены!$L$14,IF(AD48=Цены!$H$15,Цены!$L$15,IF(AD48=Цены!$H$16,Цены!$L$16,IF(AD48=Цены!$H$17,Цены!$L$17,IF(AD48=Цены!$H$18,Цены!$L$18,IF(AD48=Цены!$H$19,Цены!$L$19,IF(AD48=Цены!$H$20,Цены!$L$20,IF(AD48=Цены!$H$21,Цены!$L$21,IF(AD48=Цены!$H$22,Цены!$L$22,IF(AD48=Цены!$H$23,Цены!$L$23,IF(AD48=Цены!$H$24,Цены!$L$24,IF(AD48=Цены!$H$25,Цены!$L$25,IF(AD48=Цены!$H$26,Цены!$L$26,IF(AD48=Цены!$H$27,Цены!$L$27,IF(AD48=Цены!$H$28,Цены!$L$28,IF(AD48=Цены!$H$29,Цены!$L$29,IF(AD48=Цены!$H$30,Цены!$L$30,IF(AD48=Цены!$H$31,Цены!$L$31,IF(AD48=Цены!$H$32,Цены!$L$32,IF(AD48=Цены!$H$33,Цены!$L$33,IF(AD48=Цены!$H$34,Цены!$L$34,IF(AD48=Цены!$H$35,Цены!$L$35,IF(AD48=Цены!$H$36,Цены!$L$36,IF(AD48=Цены!$H$37,Цены!$L$37,IF(AD48=Цены!$H$38,Цены!$L$38,IF(AD48=Цены!$H$39,Цены!$L$39,IF(AD48=Цены!$H$40,Цены!$L$40,IF(AD48=Цены!$H$41,Цены!$L$41,IF(AD48=Цены!$H$42,Цены!$L$42,IF(AD48=Цены!$H$43,Цены!$L$43,IF(AD48=Цены!$H$44,Цены!$L$44,IF(AD48=Цены!$H$45,Цены!$L$45,IF(AD48=Цены!$H$46,Цены!$L$46,IF(AD48=Цены!$H$47,Цены!$L$47,IF(AD48=Цены!$H$48,Цены!$L$48,IF(AD48=Цены!$H$49,Цены!$L$49,IF(AD48=Цены!$H$50,Цены!$L$50,IF(AD48=Цены!$H$51,Цены!$L$51,IF(AD48=Цены!$H$52,Цены!$L$52,IF(AD48=Цены!$H$53,Цены!$L$53,IF(AD48=Цены!$H$54,Цены!$L$54,IF(AD48=Цены!$H$55,Цены!$L$55))))))))))))))))))))))))))))))))))))))))))))))))))))))</f>
        <v>2.4</v>
      </c>
      <c r="AG48" s="311"/>
      <c r="AH48" s="69">
        <f>IF(AD48=Цены!$H$3,Цены!$K$3,IF(AD48=Цены!$H$4,Цены!$K$4,IF(AD48=Цены!$H$5,Цены!$K$5,IF(AD48=Цены!$H$6,Цены!$K$6,IF(AD48=Цены!$H$7,Цены!$K$7,IF(AD48=Цены!$H$8,Цены!$K$8,IF(AD48=Цены!$H$9,Цены!$K$9,IF(AD48=Цены!$H$10,Цены!$K$10,IF(AD48=Цены!$H$11,Цены!$K$11,IF(AD48=Цены!$H$12,Цены!$K$12,IF(AD48=Цены!$H$13,Цены!$K$13,IF(AD48=Цены!$H$14,Цены!$K$14,IF(AD48=Цены!$H$14,Цены!$K$14,IF(AD48=Цены!$H$15,Цены!$K$15,IF(AD48=Цены!$H$16,Цены!$K$16,IF(AD48=Цены!$H$17,Цены!$K$17,IF(AD48=Цены!$H$18,Цены!$K$18,IF(AD48=Цены!$H$19,Цены!$K$19,IF(AD48=Цены!$H$20,Цены!$K$20,IF(AD48=Цены!$H$21,Цены!$K$21,IF(AD48=Цены!$H$22,Цены!$K$22,IF(AD48=Цены!$H$23,Цены!$K$23,IF(AD48=Цены!$H$24,Цены!$K$24,IF(AD48=Цены!$H$25,Цены!$K$25,IF(AD48=Цены!$H$26,Цены!$K$26,IF(AD48=Цены!$H$27,Цены!$K$27,IF(AD48=Цены!$H$28,Цены!$K$28,IF(AD48=Цены!$H$29,Цены!$K$29,IF(AD48=Цены!$H$30,Цены!$K$30,IF(AD48=Цены!$H$31,Цены!$K$31,IF(AD48=Цены!$H$32,Цены!$K$32,IF(AD48=Цены!$H$33,Цены!$K$33,IF(AD48=Цены!$H$34,Цены!$K$34,IF(AD48=Цены!$H$35,Цены!$K$35,IF(AD48=Цены!$H$36,Цены!$K$36,IF(AD48=Цены!$H$37,Цены!$K$37,IF(AD48=Цены!$H$38,Цены!$K$38,IF(AD48=Цены!$H$39,Цены!$K$39,IF(AD48=Цены!$H$40,Цены!$K$40,IF(AD48=Цены!$H$41,Цены!$K$41,IF(AD48=Цены!$H$42,Цены!$K$42,IF(AD48=Цены!$H$43,Цены!$K$43,IF(AD48=Цены!$H$44,Цены!$K$44,IF(AD48=Цены!$H$45,Цены!$K$45,IF(AD48=Цены!$H$46,Цены!$K$46,IF(AD48=Цены!$H$47,Цены!$K$47,IF(AD48=Цены!$H$48,Цены!$K$48,IF(AD48=Цены!$H$49,Цены!$K$49,IF(AD48=Цены!$H$50,Цены!$K$50,IF(AD48=Цены!$H$51,Цены!$K$51,IF(AD48=Цены!$H$52,Цены!$K$52,IF(AD48=Цены!$H$53,Цены!$K$53,IF(AD48=Цены!$H$54,Цены!$K$54,IF(AD48=Цены!$H$55,Цены!$K$55))))))))))))))))))))))))))))))))))))))))))))))))))))))</f>
        <v>469</v>
      </c>
      <c r="AI48" s="265"/>
      <c r="AJ48" s="265"/>
      <c r="AK48" s="312"/>
      <c r="AL48" s="314"/>
      <c r="AM48" s="314"/>
      <c r="AN48" s="265"/>
      <c r="AO48" s="312"/>
      <c r="AP48" s="315"/>
      <c r="AQ48" s="125" t="s">
        <v>140</v>
      </c>
      <c r="AR48" s="131">
        <v>3</v>
      </c>
      <c r="AS48" s="80">
        <f>IF(AQ48=Цены!$H$3,Цены!$L$3,IF(AQ48=Цены!$H$4,Цены!$L$4,IF(AQ48=Цены!$H$5,Цены!$L$5,IF(AQ48=Цены!$H$6,Цены!$L$6,IF(AQ48=Цены!$H$7,Цены!$L$7,IF(AQ48=Цены!$H$8,Цены!$L$8,IF(AQ48=Цены!$H$9,Цены!$L$9,IF(AQ48=Цены!$H$10,Цены!$L$10,IF(AQ48=Цены!$H$11,Цены!$L$11,IF(AQ48=Цены!$H$12,Цены!$L$12,IF(AQ48=Цены!$H$13,Цены!$L$13,IF(AQ48=Цены!$H$14,Цены!$L$14,IF(AQ48=Цены!$H$14,Цены!$L$14,IF(AQ48=Цены!$H$15,Цены!$L$15,IF(AQ48=Цены!$H$16,Цены!$L$16,IF(AQ48=Цены!$H$17,Цены!$L$17,IF(AQ48=Цены!$H$18,Цены!$L$18,IF(AQ48=Цены!$H$19,Цены!$L$19,IF(AQ48=Цены!$H$20,Цены!$L$20,IF(AQ48=Цены!$H$21,Цены!$L$21,IF(AQ48=Цены!$H$22,Цены!$L$22,IF(AQ48=Цены!$H$23,Цены!$L$23,IF(AQ48=Цены!$H$24,Цены!$L$24,IF(AQ48=Цены!$H$25,Цены!$L$25,IF(AQ48=Цены!$H$26,Цены!$L$26,IF(AQ48=Цены!$H$27,Цены!$L$27,IF(AQ48=Цены!$H$28,Цены!$L$28,IF(AQ48=Цены!$H$29,Цены!$L$29,IF(AQ48=Цены!$H$30,Цены!$L$30,IF(AQ48=Цены!$H$31,Цены!$L$31,IF(AQ48=Цены!$H$32,Цены!$L$32,IF(AQ48=Цены!$H$33,Цены!$L$33,IF(AQ48=Цены!$H$34,Цены!$L$34,IF(AQ48=Цены!$H$35,Цены!$L$35,IF(AQ48=Цены!$H$36,Цены!$L$36,IF(AQ48=Цены!$H$37,Цены!$L$37,IF(AQ48=Цены!$H$38,Цены!$L$38,IF(AQ48=Цены!$H$39,Цены!$L$39,IF(AQ48=Цены!$H$40,Цены!$L$40,IF(AQ48=Цены!$H$41,Цены!$L$41,IF(AQ48=Цены!$H$42,Цены!$L$42,IF(AQ48=Цены!$H$43,Цены!$L$43,IF(AQ48=Цены!$H$44,Цены!$L$44,IF(AQ48=Цены!$H$45,Цены!$L$45,IF(AQ48=Цены!$H$46,Цены!$L$46,IF(AQ48=Цены!$H$47,Цены!$L$47,IF(AQ48=Цены!$H$48,Цены!$L$48,IF(AQ48=Цены!$H$49,Цены!$L$49,IF(AQ48=Цены!$H$50,Цены!$L$50,IF(AQ48=Цены!$H$51,Цены!$L$51,IF(AQ48=Цены!$H$52,Цены!$L$52,IF(AQ48=Цены!$H$53,Цены!$L$53,IF(AQ48=Цены!$H$54,Цены!$L$54,IF(AQ48=Цены!$H$55,Цены!$L$55))))))))))))))))))))))))))))))))))))))))))))))))))))))</f>
        <v>0.37</v>
      </c>
      <c r="AT48" s="271"/>
      <c r="AU48" s="81">
        <f>IF(AQ48=Цены!$H$3,Цены!$K$3,IF(AQ48=Цены!$H$4,Цены!$K$4,IF(AQ48=Цены!$H$5,Цены!$K$5,IF(AQ48=Цены!$H$6,Цены!$K$6,IF(AQ48=Цены!$H$7,Цены!$K$7,IF(AQ48=Цены!$H$8,Цены!$K$8,IF(AQ48=Цены!$H$9,Цены!$K$9,IF(AQ48=Цены!$H$10,Цены!$K$10,IF(AQ48=Цены!$H$11,Цены!$K$11,IF(AQ48=Цены!$H$12,Цены!$K$12,IF(AQ48=Цены!$H$13,Цены!$K$13,IF(AQ48=Цены!$H$14,Цены!$K$14,IF(AQ48=Цены!$H$14,Цены!$K$14,IF(AQ48=Цены!$H$15,Цены!$K$15,IF(AQ48=Цены!$H$16,Цены!$K$16,IF(AQ48=Цены!$H$17,Цены!$K$17,IF(AQ48=Цены!$H$18,Цены!$K$18,IF(AQ48=Цены!$H$19,Цены!$K$19,IF(AQ48=Цены!$H$20,Цены!$K$20,IF(AQ48=Цены!$H$21,Цены!$K$21,IF(AQ48=Цены!$H$22,Цены!$K$22,IF(AQ48=Цены!$H$23,Цены!$K$23,IF(AQ48=Цены!$H$24,Цены!$K$24,IF(AQ48=Цены!$H$25,Цены!$K$25,IF(AQ48=Цены!$H$26,Цены!$K$26,IF(AQ48=Цены!$H$27,Цены!$K$27,IF(AQ48=Цены!$H$28,Цены!$K$28,IF(AQ48=Цены!$H$29,Цены!$K$29,IF(AQ48=Цены!$H$30,Цены!$K$30,IF(AQ48=Цены!$H$31,Цены!$K$31,IF(AQ48=Цены!$H$32,Цены!$K$32,IF(AQ48=Цены!$H$33,Цены!$K$33,IF(AQ48=Цены!$H$34,Цены!$K$34,IF(AQ48=Цены!$H$35,Цены!$K$35,IF(AQ48=Цены!$H$36,Цены!$K$36,IF(AQ48=Цены!$H$37,Цены!$K$37,IF(AQ48=Цены!$H$38,Цены!$K$38,IF(AQ48=Цены!$H$39,Цены!$K$39,IF(AQ48=Цены!$H$40,Цены!$K$40,IF(AQ48=Цены!$H$41,Цены!$K$41,IF(AQ48=Цены!$H$42,Цены!$K$42,IF(AQ48=Цены!$H$43,Цены!$K$43,IF(AQ48=Цены!$H$44,Цены!$K$44,IF(AQ48=Цены!$H$45,Цены!$K$45,IF(AQ48=Цены!$H$46,Цены!$K$46,IF(AQ48=Цены!$H$47,Цены!$K$47,IF(AQ48=Цены!$H$48,Цены!$K$48,IF(AQ48=Цены!$H$49,Цены!$K$49,IF(AQ48=Цены!$H$50,Цены!$K$50,IF(AQ48=Цены!$H$51,Цены!$K$51,IF(AQ48=Цены!$H$52,Цены!$K$52,IF(AQ48=Цены!$H$53,Цены!$K$53,IF(AQ48=Цены!$H$54,Цены!$K$54,IF(AQ48=Цены!$H$55,Цены!$K$55))))))))))))))))))))))))))))))))))))))))))))))))))))))</f>
        <v>730</v>
      </c>
      <c r="AV48" s="265"/>
      <c r="AW48" s="265"/>
      <c r="AX48" s="274"/>
      <c r="AY48" s="304"/>
      <c r="AZ48" s="304"/>
      <c r="BA48" s="265"/>
      <c r="BB48" s="274"/>
      <c r="BC48" s="305"/>
      <c r="BD48" s="259"/>
      <c r="BE48" s="116" t="s">
        <v>96</v>
      </c>
      <c r="BF48" s="106">
        <v>2</v>
      </c>
      <c r="BG48" s="103">
        <f>IF(BE48=Цены!$H$3,Цены!$L$3,IF(BE48=Цены!$H$4,Цены!$L$4,IF(BE48=Цены!$H$5,Цены!$L$5,IF(BE48=Цены!$H$6,Цены!$L$6,IF(BE48=Цены!$H$7,Цены!$L$7,IF(BE48=Цены!$H$8,Цены!$L$8,IF(BE48=Цены!$H$9,Цены!$L$9,IF(BE48=Цены!$H$10,Цены!$L$10,IF(BE48=Цены!$H$11,Цены!$L$11,IF(BE48=Цены!$H$12,Цены!$L$12,IF(BE48=Цены!$H$13,Цены!$L$13,IF(BE48=Цены!$H$14,Цены!$L$14,IF(BE48=Цены!$H$14,Цены!$L$14,IF(BE48=Цены!$H$15,Цены!$L$15,IF(BE48=Цены!$H$16,Цены!$L$16,IF(BE48=Цены!$H$17,Цены!$L$17,IF(BE48=Цены!$H$18,Цены!$L$18,IF(BE48=Цены!$H$19,Цены!$L$19,IF(BE48=Цены!$H$20,Цены!$L$20,IF(BE48=Цены!$H$21,Цены!$L$21,IF(BE48=Цены!$H$22,Цены!$L$22,IF(BE48=Цены!$H$23,Цены!$L$23,IF(BE48=Цены!$H$24,Цены!$L$24,IF(BE48=Цены!$H$25,Цены!$L$25,IF(BE48=Цены!$H$26,Цены!$L$26,IF(BE48=Цены!$H$27,Цены!$L$27,IF(BE48=Цены!$H$28,Цены!$L$28,IF(BE48=Цены!$H$29,Цены!$L$29,IF(BE48=Цены!$H$30,Цены!$L$30,IF(BE48=Цены!$H$31,Цены!$L$31,IF(BE48=Цены!$H$32,Цены!$L$32,IF(BE48=Цены!$H$33,Цены!$L$33,IF(BE48=Цены!$H$34,Цены!$L$34,IF(BE48=Цены!$H$35,Цены!$L$35,IF(BE48=Цены!$H$36,Цены!$L$36,IF(BE48=Цены!$H$37,Цены!$L$37,IF(BE48=Цены!$H$38,Цены!$L$38,IF(BE48=Цены!$H$39,Цены!$L$39,IF(BE48=Цены!$H$40,Цены!$L$40,IF(BE48=Цены!$H$41,Цены!$L$41,IF(BE48=Цены!$H$42,Цены!$L$42,IF(BE48=Цены!$H$43,Цены!$L$43,IF(BE48=Цены!$H$44,Цены!$L$44,IF(BE48=Цены!$H$45,Цены!$L$45,IF(BE48=Цены!$H$46,Цены!$L$46,IF(BE48=Цены!$H$47,Цены!$L$47,IF(BE48=Цены!$H$48,Цены!$L$48,IF(BE48=Цены!$H$49,Цены!$L$49,IF(BE48=Цены!$H$50,Цены!$L$50,IF(BE48=Цены!$H$51,Цены!$L$51,IF(BE48=Цены!$H$52,Цены!$L$52,IF(BE48=Цены!$H$53,Цены!$L$53,IF(BE48=Цены!$H$54,Цены!$L$54,IF(BE48=Цены!$H$55,Цены!$L$55))))))))))))))))))))))))))))))))))))))))))))))))))))))</f>
        <v>0.78</v>
      </c>
      <c r="BH48" s="280"/>
      <c r="BI48" s="104">
        <f>IF(BE48=Цены!$H$3,Цены!$K$3,IF(BE48=Цены!$H$4,Цены!$K$4,IF(BE48=Цены!$H$5,Цены!$K$5,IF(BE48=Цены!$H$6,Цены!$K$6,IF(BE48=Цены!$H$7,Цены!$K$7,IF(BE48=Цены!$H$8,Цены!$K$8,IF(BE48=Цены!$H$9,Цены!$K$9,IF(BE48=Цены!$H$10,Цены!$K$10,IF(BE48=Цены!$H$11,Цены!$K$11,IF(BE48=Цены!$H$12,Цены!$K$12,IF(BE48=Цены!$H$13,Цены!$K$13,IF(BE48=Цены!$H$14,Цены!$K$14,IF(BE48=Цены!$H$14,Цены!$K$14,IF(BE48=Цены!$H$15,Цены!$K$15,IF(BE48=Цены!$H$16,Цены!$K$16,IF(BE48=Цены!$H$17,Цены!$K$17,IF(BE48=Цены!$H$18,Цены!$K$18,IF(BE48=Цены!$H$19,Цены!$K$19,IF(BE48=Цены!$H$20,Цены!$K$20,IF(BE48=Цены!$H$21,Цены!$K$21,IF(BE48=Цены!$H$22,Цены!$K$22,IF(BE48=Цены!$H$23,Цены!$K$23,IF(BE48=Цены!$H$24,Цены!$K$24,IF(BE48=Цены!$H$25,Цены!$K$25,IF(BE48=Цены!$H$26,Цены!$K$26,IF(BE48=Цены!$H$27,Цены!$K$27,IF(BE48=Цены!$H$28,Цены!$K$28,IF(BE48=Цены!$H$29,Цены!$K$29,IF(BE48=Цены!$H$30,Цены!$K$30,IF(BE48=Цены!$H$31,Цены!$K$31,IF(BE48=Цены!$H$32,Цены!$K$32,IF(BE48=Цены!$H$33,Цены!$K$33,IF(BE48=Цены!$H$34,Цены!$K$34,IF(BE48=Цены!$H$35,Цены!$K$35,IF(BE48=Цены!$H$36,Цены!$K$36,IF(BE48=Цены!$H$37,Цены!$K$37,IF(BE48=Цены!$H$38,Цены!$K$38,IF(BE48=Цены!$H$39,Цены!$K$39,IF(BE48=Цены!$H$40,Цены!$K$40,IF(BE48=Цены!$H$41,Цены!$K$41,IF(BE48=Цены!$H$42,Цены!$K$42,IF(BE48=Цены!$H$43,Цены!$K$43,IF(BE48=Цены!$H$44,Цены!$K$44,IF(BE48=Цены!$H$45,Цены!$K$45,IF(BE48=Цены!$H$46,Цены!$K$46,IF(BE48=Цены!$H$47,Цены!$K$47,IF(BE48=Цены!$H$48,Цены!$K$48,IF(BE48=Цены!$H$49,Цены!$K$49,IF(BE48=Цены!$H$50,Цены!$K$50,IF(BE48=Цены!$H$51,Цены!$K$51,IF(BE48=Цены!$H$52,Цены!$K$52,IF(BE48=Цены!$H$53,Цены!$K$53,IF(BE48=Цены!$H$54,Цены!$K$54,IF(BE48=Цены!$H$55,Цены!$K$55))))))))))))))))))))))))))))))))))))))))))))))))))))))</f>
        <v>447</v>
      </c>
      <c r="BJ48" s="265"/>
      <c r="BK48" s="265"/>
      <c r="BL48" s="281"/>
      <c r="BM48" s="292"/>
      <c r="BN48" s="292"/>
      <c r="BO48" s="268"/>
      <c r="BP48" s="281"/>
      <c r="BQ48" s="293"/>
      <c r="BR48" s="118" t="s">
        <v>96</v>
      </c>
      <c r="BS48" s="108">
        <v>3</v>
      </c>
      <c r="BT48" s="109">
        <f>IF(BR48=Цены!$H$3,Цены!$L$3,IF(BR48=Цены!$H$4,Цены!$L$4,IF(BR48=Цены!$H$5,Цены!$L$5,IF(BR48=Цены!$H$6,Цены!$L$6,IF(BR48=Цены!$H$7,Цены!$L$7,IF(BR48=Цены!$H$8,Цены!$L$8,IF(BR48=Цены!$H$9,Цены!$L$9,IF(BR48=Цены!$H$10,Цены!$L$10,IF(BR48=Цены!$H$11,Цены!$L$11,IF(BR48=Цены!$H$12,Цены!$L$12,IF(BR48=Цены!$H$13,Цены!$L$13,IF(BR48=Цены!$H$14,Цены!$L$14,IF(BR48=Цены!$H$14,Цены!$L$14,IF(BR48=Цены!$H$15,Цены!$L$15,IF(BR48=Цены!$H$16,Цены!$L$16,IF(BR48=Цены!$H$17,Цены!$L$17,IF(BR48=Цены!$H$18,Цены!$L$18,IF(BR48=Цены!$H$19,Цены!$L$19,IF(BR48=Цены!$H$20,Цены!$L$20,IF(BR48=Цены!$H$21,Цены!$L$21,IF(BR48=Цены!$H$22,Цены!$L$22,IF(BR48=Цены!$H$23,Цены!$L$23,IF(BR48=Цены!$H$24,Цены!$L$24,IF(BR48=Цены!$H$25,Цены!$L$25,IF(BR48=Цены!$H$26,Цены!$L$26,IF(BR48=Цены!$H$27,Цены!$L$27,IF(BR48=Цены!$H$28,Цены!$L$28,IF(BR48=Цены!$H$29,Цены!$L$29,IF(BR48=Цены!$H$30,Цены!$L$30,IF(BR48=Цены!$H$31,Цены!$L$31,IF(BR48=Цены!$H$32,Цены!$L$32,IF(BR48=Цены!$H$33,Цены!$L$33,IF(BR48=Цены!$H$34,Цены!$L$34,IF(BR48=Цены!$H$35,Цены!$L$35,IF(BR48=Цены!$H$36,Цены!$L$36,IF(BR48=Цены!$H$37,Цены!$L$37,IF(BR48=Цены!$H$38,Цены!$L$38,IF(BR48=Цены!$H$39,Цены!$L$39,IF(BR48=Цены!$H$40,Цены!$L$40,IF(BR48=Цены!$H$41,Цены!$L$41,IF(BR48=Цены!$H$42,Цены!$L$42,IF(BR48=Цены!$H$43,Цены!$L$43,IF(BR48=Цены!$H$44,Цены!$L$44,IF(BR48=Цены!$H$45,Цены!$L$45,IF(BR48=Цены!$H$46,Цены!$L$46,IF(BR48=Цены!$H$47,Цены!$L$47,IF(BR48=Цены!$H$48,Цены!$L$48,IF(BR48=Цены!$H$49,Цены!$L$49,IF(BR48=Цены!$H$50,Цены!$L$50,IF(BR48=Цены!$H$51,Цены!$L$51,IF(BR48=Цены!$H$52,Цены!$L$52,IF(BR48=Цены!$H$53,Цены!$L$53,IF(BR48=Цены!$H$54,Цены!$L$54,IF(BR48=Цены!$H$55,Цены!$L$55))))))))))))))))))))))))))))))))))))))))))))))))))))))</f>
        <v>0.78</v>
      </c>
      <c r="BU48" s="284"/>
      <c r="BV48" s="110">
        <f>IF(BR48=Цены!$H$3,Цены!$K$3,IF(BR48=Цены!$H$4,Цены!$K$4,IF(BR48=Цены!$H$5,Цены!$K$5,IF(BR48=Цены!$H$6,Цены!$K$6,IF(BR48=Цены!$H$7,Цены!$K$7,IF(BR48=Цены!$H$8,Цены!$K$8,IF(BR48=Цены!$H$9,Цены!$K$9,IF(BR48=Цены!$H$10,Цены!$K$10,IF(BR48=Цены!$H$11,Цены!$K$11,IF(BR48=Цены!$H$12,Цены!$K$12,IF(BR48=Цены!$H$13,Цены!$K$13,IF(BR48=Цены!$H$14,Цены!$K$14,IF(BR48=Цены!$H$14,Цены!$K$14,IF(BR48=Цены!$H$15,Цены!$K$15,IF(BR48=Цены!$H$16,Цены!$K$16,IF(BR48=Цены!$H$17,Цены!$K$17,IF(BR48=Цены!$H$18,Цены!$K$18,IF(BR48=Цены!$H$19,Цены!$K$19,IF(BR48=Цены!$H$20,Цены!$K$20,IF(BR48=Цены!$H$21,Цены!$K$21,IF(BR48=Цены!$H$22,Цены!$K$22,IF(BR48=Цены!$H$23,Цены!$K$23,IF(BR48=Цены!$H$24,Цены!$K$24,IF(BR48=Цены!$H$25,Цены!$K$25,IF(BR48=Цены!$H$26,Цены!$K$26,IF(BR48=Цены!$H$27,Цены!$K$27,IF(BR48=Цены!$H$28,Цены!$K$28,IF(BR48=Цены!$H$29,Цены!$K$29,IF(BR48=Цены!$H$30,Цены!$K$30,IF(BR48=Цены!$H$31,Цены!$K$31,IF(BR48=Цены!$H$32,Цены!$K$32,IF(BR48=Цены!$H$33,Цены!$K$33,IF(BR48=Цены!$H$34,Цены!$K$34,IF(BR48=Цены!$H$35,Цены!$K$35,IF(BR48=Цены!$H$36,Цены!$K$36,IF(BR48=Цены!$H$37,Цены!$K$37,IF(BR48=Цены!$H$38,Цены!$K$38,IF(BR48=Цены!$H$39,Цены!$K$39,IF(BR48=Цены!$H$40,Цены!$K$40,IF(BR48=Цены!$H$41,Цены!$K$41,IF(BR48=Цены!$H$42,Цены!$K$42,IF(BR48=Цены!$H$43,Цены!$K$43,IF(BR48=Цены!$H$44,Цены!$K$44,IF(BR48=Цены!$H$45,Цены!$K$45,IF(BR48=Цены!$H$46,Цены!$K$46,IF(BR48=Цены!$H$47,Цены!$K$47,IF(BR48=Цены!$H$48,Цены!$K$48,IF(BR48=Цены!$H$49,Цены!$K$49,IF(BR48=Цены!$H$50,Цены!$K$50,IF(BR48=Цены!$H$51,Цены!$K$51,IF(BR48=Цены!$H$52,Цены!$K$52,IF(BR48=Цены!$H$53,Цены!$K$53,IF(BR48=Цены!$H$54,Цены!$K$54,IF(BR48=Цены!$H$55,Цены!$K$55))))))))))))))))))))))))))))))))))))))))))))))))))))))</f>
        <v>447</v>
      </c>
      <c r="BW48" s="265"/>
      <c r="BX48" s="265"/>
      <c r="BY48" s="285"/>
      <c r="BZ48" s="290"/>
      <c r="CA48" s="290"/>
      <c r="CB48" s="268"/>
      <c r="CC48" s="285"/>
      <c r="CD48" s="291"/>
      <c r="CE48" s="119" t="s">
        <v>96</v>
      </c>
      <c r="CF48" s="112">
        <v>3</v>
      </c>
      <c r="CG48" s="113">
        <f>IF(CE48=Цены!$H$3,Цены!$L$3,IF(CE48=Цены!$H$4,Цены!$L$4,IF(CE48=Цены!$H$5,Цены!$L$5,IF(CE48=Цены!$H$6,Цены!$L$6,IF(CE48=Цены!$H$7,Цены!$L$7,IF(CE48=Цены!$H$8,Цены!$L$8,IF(CE48=Цены!$H$9,Цены!$L$9,IF(CE48=Цены!$H$10,Цены!$L$10,IF(CE48=Цены!$H$11,Цены!$L$11,IF(CE48=Цены!$H$12,Цены!$L$12,IF(CE48=Цены!$H$13,Цены!$L$13,IF(CE48=Цены!$H$14,Цены!$L$14,IF(CE48=Цены!$H$14,Цены!$L$14,IF(CE48=Цены!$H$15,Цены!$L$15,IF(CE48=Цены!$H$16,Цены!$L$16,IF(CE48=Цены!$H$17,Цены!$L$17,IF(CE48=Цены!$H$18,Цены!$L$18,IF(CE48=Цены!$H$19,Цены!$L$19,IF(CE48=Цены!$H$20,Цены!$L$20,IF(CE48=Цены!$H$21,Цены!$L$21,IF(CE48=Цены!$H$22,Цены!$L$22,IF(CE48=Цены!$H$23,Цены!$L$23,IF(CE48=Цены!$H$24,Цены!$L$24,IF(CE48=Цены!$H$25,Цены!$L$25,IF(CE48=Цены!$H$26,Цены!$L$26,IF(CE48=Цены!$H$27,Цены!$L$27,IF(CE48=Цены!$H$28,Цены!$L$28,IF(CE48=Цены!$H$29,Цены!$L$29,IF(CE48=Цены!$H$30,Цены!$L$30,IF(CE48=Цены!$H$31,Цены!$L$31,IF(CE48=Цены!$H$32,Цены!$L$32,IF(CE48=Цены!$H$33,Цены!$L$33,IF(CE48=Цены!$H$34,Цены!$L$34,IF(CE48=Цены!$H$35,Цены!$L$35,IF(CE48=Цены!$H$36,Цены!$L$36,IF(CE48=Цены!$H$37,Цены!$L$37,IF(CE48=Цены!$H$38,Цены!$L$38,IF(CE48=Цены!$H$39,Цены!$L$39,IF(CE48=Цены!$H$40,Цены!$L$40,IF(CE48=Цены!$H$41,Цены!$L$41,IF(CE48=Цены!$H$42,Цены!$L$42,IF(CE48=Цены!$H$43,Цены!$L$43,IF(CE48=Цены!$H$44,Цены!$L$44,IF(CE48=Цены!$H$45,Цены!$L$45,IF(CE48=Цены!$H$46,Цены!$L$46,IF(CE48=Цены!$H$47,Цены!$L$47,IF(CE48=Цены!$H$48,Цены!$L$48,IF(CE48=Цены!$H$49,Цены!$L$49,IF(CE48=Цены!$H$50,Цены!$L$50,IF(CE48=Цены!$H$51,Цены!$L$51,IF(CE48=Цены!$H$52,Цены!$L$52,IF(CE48=Цены!$H$53,Цены!$L$53,IF(CE48=Цены!$H$54,Цены!$L$54,IF(CE48=Цены!$H$55,Цены!$L$55))))))))))))))))))))))))))))))))))))))))))))))))))))))</f>
        <v>0.78</v>
      </c>
      <c r="CH48" s="282"/>
      <c r="CI48" s="114">
        <f>IF(CE48=Цены!$H$3,Цены!$K$3,IF(CE48=Цены!$H$4,Цены!$K$4,IF(CE48=Цены!$H$5,Цены!$K$5,IF(CE48=Цены!$H$6,Цены!$K$6,IF(CE48=Цены!$H$7,Цены!$K$7,IF(CE48=Цены!$H$8,Цены!$K$8,IF(CE48=Цены!$H$9,Цены!$K$9,IF(CE48=Цены!$H$10,Цены!$K$10,IF(CE48=Цены!$H$11,Цены!$K$11,IF(CE48=Цены!$H$12,Цены!$K$12,IF(CE48=Цены!$H$13,Цены!$K$13,IF(CE48=Цены!$H$14,Цены!$K$14,IF(CE48=Цены!$H$14,Цены!$K$14,IF(CE48=Цены!$H$15,Цены!$K$15,IF(CE48=Цены!$H$16,Цены!$K$16,IF(CE48=Цены!$H$17,Цены!$K$17,IF(CE48=Цены!$H$18,Цены!$K$18,IF(CE48=Цены!$H$19,Цены!$K$19,IF(CE48=Цены!$H$20,Цены!$K$20,IF(CE48=Цены!$H$21,Цены!$K$21,IF(CE48=Цены!$H$22,Цены!$K$22,IF(CE48=Цены!$H$23,Цены!$K$23,IF(CE48=Цены!$H$24,Цены!$K$24,IF(CE48=Цены!$H$25,Цены!$K$25,IF(CE48=Цены!$H$26,Цены!$K$26,IF(CE48=Цены!$H$27,Цены!$K$27,IF(CE48=Цены!$H$28,Цены!$K$28,IF(CE48=Цены!$H$29,Цены!$K$29,IF(CE48=Цены!$H$30,Цены!$K$30,IF(CE48=Цены!$H$31,Цены!$K$31,IF(CE48=Цены!$H$32,Цены!$K$32,IF(CE48=Цены!$H$33,Цены!$K$33,IF(CE48=Цены!$H$34,Цены!$K$34,IF(CE48=Цены!$H$35,Цены!$K$35,IF(CE48=Цены!$H$36,Цены!$K$36,IF(CE48=Цены!$H$37,Цены!$K$37,IF(CE48=Цены!$H$38,Цены!$K$38,IF(CE48=Цены!$H$39,Цены!$K$39,IF(CE48=Цены!$H$40,Цены!$K$40,IF(CE48=Цены!$H$41,Цены!$K$41,IF(CE48=Цены!$H$42,Цены!$K$42,IF(CE48=Цены!$H$43,Цены!$K$43,IF(CE48=Цены!$H$44,Цены!$K$44,IF(CE48=Цены!$H$45,Цены!$K$45,IF(CE48=Цены!$H$46,Цены!$K$46,IF(CE48=Цены!$H$47,Цены!$K$47,IF(CE48=Цены!$H$48,Цены!$K$48,IF(CE48=Цены!$H$49,Цены!$K$49,IF(CE48=Цены!$H$50,Цены!$K$50,IF(CE48=Цены!$H$51,Цены!$K$51,IF(CE48=Цены!$H$52,Цены!$K$52,IF(CE48=Цены!$H$53,Цены!$K$53,IF(CE48=Цены!$H$54,Цены!$K$54,IF(CE48=Цены!$H$55,Цены!$K$55))))))))))))))))))))))))))))))))))))))))))))))))))))))</f>
        <v>447</v>
      </c>
      <c r="CJ48" s="265"/>
      <c r="CK48" s="265"/>
      <c r="CL48" s="283"/>
      <c r="CM48" s="288"/>
      <c r="CN48" s="288"/>
      <c r="CO48" s="268"/>
      <c r="CP48" s="283"/>
      <c r="CQ48" s="289"/>
    </row>
    <row r="49" spans="1:95" s="40" customFormat="1" ht="15.75" hidden="1" customHeight="1" x14ac:dyDescent="0.25">
      <c r="A49" s="341"/>
      <c r="B49" s="265"/>
      <c r="C49" s="336"/>
      <c r="D49" s="48" t="s">
        <v>125</v>
      </c>
      <c r="E49" s="45">
        <v>4</v>
      </c>
      <c r="F49" s="46">
        <f>IF(D49=Цены!$H$3,Цены!$L$3,IF(D49=Цены!$H$4,Цены!$L$4,IF(D49=Цены!$H$5,Цены!$L$5,IF(D49=Цены!$H$6,Цены!$L$6,IF(D49=Цены!$H$7,Цены!$L$7,IF(D49=Цены!$H$8,Цены!$L$8,IF(D49=Цены!$H$9,Цены!$L$9,IF(D49=Цены!$H$10,Цены!$L$10,IF(D49=Цены!$H$11,Цены!$L$11,IF(D49=Цены!$H$12,Цены!$L$12,IF(D49=Цены!$H$13,Цены!$L$13,IF(D49=Цены!$H$14,Цены!$L$14,IF(D49=Цены!$H$14,Цены!$L$14,IF(D49=Цены!$H$15,Цены!$L$15,IF(D49=Цены!$H$16,Цены!$L$16,IF(D49=Цены!$H$17,Цены!$L$17,IF(D49=Цены!$H$18,Цены!$L$18,IF(D49=Цены!$H$19,Цены!$L$19,IF(D49=Цены!$H$20,Цены!$L$20,IF(D49=Цены!$H$21,Цены!$L$21,IF(D49=Цены!$H$22,Цены!$L$22,IF(D49=Цены!$H$23,Цены!$L$23,IF(D49=Цены!$H$24,Цены!$L$24,IF(D49=Цены!$H$25,Цены!$L$25,IF(D49=Цены!$H$26,Цены!$L$26,IF(D49=Цены!$H$27,Цены!$L$27,IF(D49=Цены!$H$28,Цены!$L$28,IF(D49=Цены!$H$29,Цены!$L$29,IF(D49=Цены!$H$30,Цены!$L$30,IF(D49=Цены!$H$31,Цены!$L$31,IF(D49=Цены!$H$32,Цены!$L$32,IF(D49=Цены!$H$33,Цены!$L$33,IF(D49=Цены!$H$34,Цены!$L$34,IF(D49=Цены!$H$35,Цены!$L$35,IF(D49=Цены!$H$36,Цены!$L$36,IF(D49=Цены!$H$37,Цены!$L$37,IF(D49=Цены!$H$38,Цены!$L$38,IF(D49=Цены!$H$39,Цены!$L$39,IF(D49=Цены!$H$40,Цены!$L$40,IF(D49=Цены!$H$41,Цены!$L$41,IF(D49=Цены!$H$42,Цены!$L$42,IF(D49=Цены!$H$43,Цены!$L$43,IF(D49=Цены!$H$44,Цены!$L$44,IF(D49=Цены!$H$45,Цены!$L$45,IF(D49=Цены!$H$46,Цены!$L$46,IF(D49=Цены!$H$47,Цены!$L$47,IF(D49=Цены!$H$48,Цены!$L$48,IF(D49=Цены!$H$49,Цены!$L$49,IF(D49=Цены!$H$50,Цены!$L$50,IF(D49=Цены!$H$51,Цены!$L$51,IF(D49=Цены!$H$52,Цены!$L$52,IF(D49=Цены!$H$53,Цены!$L$53,IF(D49=Цены!$H$54,Цены!$L$54,IF(D49=Цены!$H$55,Цены!$L$55))))))))))))))))))))))))))))))))))))))))))))))))))))))</f>
        <v>0.39</v>
      </c>
      <c r="G49" s="339"/>
      <c r="H49" s="47">
        <f>IF(D49=Цены!$H$3,Цены!$K$3,IF(D49=Цены!$H$4,Цены!$K$4,IF(D49=Цены!$H$5,Цены!$K$5,IF(D49=Цены!$H$6,Цены!$K$6,IF(D49=Цены!$H$7,Цены!$K$7,IF(D49=Цены!$H$8,Цены!$K$8,IF(D49=Цены!$H$9,Цены!$K$9,IF(D49=Цены!$H$10,Цены!$K$10,IF(D49=Цены!$H$11,Цены!$K$11,IF(D49=Цены!$H$12,Цены!$K$12,IF(D49=Цены!$H$13,Цены!$K$13,IF(D49=Цены!$H$14,Цены!$K$14,IF(D49=Цены!$H$14,Цены!$K$14,IF(D49=Цены!$H$15,Цены!$K$15,IF(D49=Цены!$H$16,Цены!$K$16,IF(D49=Цены!$H$17,Цены!$K$17,IF(D49=Цены!$H$18,Цены!$K$18,IF(D49=Цены!$H$19,Цены!$K$19,IF(D49=Цены!$H$20,Цены!$K$20,IF(D49=Цены!$H$21,Цены!$K$21,IF(D49=Цены!$H$22,Цены!$K$22,IF(D49=Цены!$H$23,Цены!$K$23,IF(D49=Цены!$H$24,Цены!$K$24,IF(D49=Цены!$H$25,Цены!$K$25,IF(D49=Цены!$H$26,Цены!$K$26,IF(D49=Цены!$H$27,Цены!$K$27,IF(D49=Цены!$H$28,Цены!$K$28,IF(D49=Цены!$H$29,Цены!$K$29,IF(D49=Цены!$H$30,Цены!$K$30,IF(D49=Цены!$H$31,Цены!$K$31,IF(D49=Цены!$H$32,Цены!$K$32,IF(D49=Цены!$H$33,Цены!$K$33,IF(D49=Цены!$H$34,Цены!$K$34,IF(D49=Цены!$H$35,Цены!$K$35,IF(D49=Цены!$H$36,Цены!$K$36,IF(D49=Цены!$H$37,Цены!$K$37,IF(D49=Цены!$H$38,Цены!$K$38,IF(D49=Цены!$H$39,Цены!$K$39,IF(D49=Цены!$H$40,Цены!$K$40,IF(D49=Цены!$H$41,Цены!$K$41,IF(D49=Цены!$H$42,Цены!$K$42,IF(D49=Цены!$H$43,Цены!$K$43,IF(D49=Цены!$H$44,Цены!$K$44,IF(D49=Цены!$H$45,Цены!$K$45,IF(D49=Цены!$H$46,Цены!$K$46,IF(D49=Цены!$H$47,Цены!$K$47,IF(D49=Цены!$H$48,Цены!$K$48,IF(D49=Цены!$H$49,Цены!$K$49,IF(D49=Цены!$H$50,Цены!$K$50,IF(D49=Цены!$H$51,Цены!$K$51,IF(D49=Цены!$H$52,Цены!$K$52,IF(D49=Цены!$H$53,Цены!$K$53,IF(D49=Цены!$H$54,Цены!$K$54,IF(D49=Цены!$H$55,Цены!$K$55))))))))))))))))))))))))))))))))))))))))))))))))))))))</f>
        <v>822</v>
      </c>
      <c r="I49" s="265"/>
      <c r="J49" s="265"/>
      <c r="K49" s="332"/>
      <c r="L49" s="334"/>
      <c r="M49" s="334"/>
      <c r="N49" s="265"/>
      <c r="O49" s="332"/>
      <c r="P49" s="331"/>
      <c r="Q49" s="41"/>
      <c r="R49" s="37"/>
      <c r="S49" s="38" t="b">
        <f>IF(Q49=Цены!$H$3,Цены!$L$3,IF(Q49=Цены!$H$4,Цены!$L$4,IF(Q49=Цены!$H$5,Цены!$L$5,IF(Q49=Цены!$H$6,Цены!$L$6,IF(Q49=Цены!$H$7,Цены!$L$7,IF(Q49=Цены!$H$8,Цены!$L$8,IF(Q49=Цены!$H$9,Цены!$L$9,IF(Q49=Цены!$H$10,Цены!$L$10,IF(Q49=Цены!$H$11,Цены!$L$11,IF(Q49=Цены!$H$12,Цены!$L$12,IF(Q49=Цены!$H$13,Цены!$L$13,IF(Q49=Цены!$H$14,Цены!$L$14,IF(Q49=Цены!$H$14,Цены!$L$14,IF(Q49=Цены!$H$15,Цены!$L$15,IF(Q49=Цены!$H$16,Цены!$L$16,IF(Q49=Цены!$H$17,Цены!$L$17,IF(Q49=Цены!$H$18,Цены!$L$18,IF(Q49=Цены!$H$19,Цены!$L$19,IF(Q49=Цены!$H$20,Цены!$L$20,IF(Q49=Цены!$H$21,Цены!$L$21,IF(Q49=Цены!$H$22,Цены!$L$22,IF(Q49=Цены!$H$23,Цены!$L$23,IF(Q49=Цены!$H$24,Цены!$L$24,IF(Q49=Цены!$H$25,Цены!$L$25,IF(Q49=Цены!$H$26,Цены!$L$26,IF(Q49=Цены!$H$27,Цены!$L$27,IF(Q49=Цены!$H$28,Цены!$L$28,IF(Q49=Цены!$H$29,Цены!$L$29,IF(Q49=Цены!$H$30,Цены!$L$30,IF(Q49=Цены!$H$31,Цены!$L$31,IF(Q49=Цены!$H$32,Цены!$L$32,IF(Q49=Цены!$H$33,Цены!$L$33,IF(Q49=Цены!$H$34,Цены!$L$34,IF(Q49=Цены!$H$35,Цены!$L$35,IF(Q49=Цены!$H$36,Цены!$L$36,IF(Q49=Цены!$H$37,Цены!$L$37,IF(Q49=Цены!$H$38,Цены!$L$38,IF(Q49=Цены!$H$39,Цены!$L$39,IF(Q49=Цены!$H$40,Цены!$L$40,IF(Q49=Цены!$H$41,Цены!$L$41,IF(Q49=Цены!$H$42,Цены!$L$42,IF(Q49=Цены!$H$43,Цены!$L$43,IF(Q49=Цены!$H$44,Цены!$L$44,IF(Q49=Цены!$H$45,Цены!$L$45,IF(Q49=Цены!$H$46,Цены!$L$46,IF(Q49=Цены!$H$47,Цены!$L$47,IF(Q49=Цены!$H$48,Цены!$L$48,IF(Q49=Цены!$H$49,Цены!$L$49,IF(Q49=Цены!$H$50,Цены!$L$50,IF(Q49=Цены!$H$51,Цены!$L$51,IF(Q49=Цены!$H$52,Цены!$L$52,IF(Q49=Цены!$H$53,Цены!$L$53,IF(Q49=Цены!$H$54,Цены!$L$54,IF(Q49=Цены!$H$55,Цены!$L$55))))))))))))))))))))))))))))))))))))))))))))))))))))))</f>
        <v>0</v>
      </c>
      <c r="T49" s="322"/>
      <c r="U49" s="161" t="b">
        <f>IF(Q49=Цены!$H$3,Цены!$K$3,IF(Q49=Цены!$H$4,Цены!$K$4,IF(Q49=Цены!$H$5,Цены!$K$5,IF(Q49=Цены!$H$6,Цены!$K$6,IF(Q49=Цены!$H$7,Цены!$K$7,IF(Q49=Цены!$H$8,Цены!$K$8,IF(Q49=Цены!$H$9,Цены!$K$9,IF(Q49=Цены!$H$10,Цены!$K$10,IF(Q49=Цены!$H$11,Цены!$K$11,IF(Q49=Цены!$H$12,Цены!$K$12,IF(Q49=Цены!$H$13,Цены!$K$13,IF(Q49=Цены!$H$14,Цены!$K$14,IF(Q49=Цены!$H$14,Цены!$K$14,IF(Q49=Цены!$H$15,Цены!$K$15,IF(Q49=Цены!$H$16,Цены!$K$16,IF(Q49=Цены!$H$17,Цены!$K$17,IF(Q49=Цены!$H$18,Цены!$K$18,IF(Q49=Цены!$H$19,Цены!$K$19,IF(Q49=Цены!$H$20,Цены!$K$20,IF(Q49=Цены!$H$21,Цены!$K$21,IF(Q49=Цены!$H$22,Цены!$K$22,IF(Q49=Цены!$H$23,Цены!$K$23,IF(Q49=Цены!$H$24,Цены!$K$24,IF(Q49=Цены!$H$25,Цены!$K$25,IF(Q49=Цены!$H$26,Цены!$K$26,IF(Q49=Цены!$H$27,Цены!$K$27,IF(Q49=Цены!$H$28,Цены!$K$28,IF(Q49=Цены!$H$29,Цены!$K$29,IF(Q49=Цены!$H$30,Цены!$K$30,IF(Q49=Цены!$H$31,Цены!$K$31,IF(Q49=Цены!$H$32,Цены!$K$32,IF(Q49=Цены!$H$33,Цены!$K$33,IF(Q49=Цены!$H$34,Цены!$K$34,IF(Q49=Цены!$H$35,Цены!$K$35,IF(Q49=Цены!$H$36,Цены!$K$36,IF(Q49=Цены!$H$37,Цены!$K$37,IF(Q49=Цены!$H$38,Цены!$K$38,IF(Q49=Цены!$H$39,Цены!$K$39,IF(Q49=Цены!$H$40,Цены!$K$40,IF(Q49=Цены!$H$41,Цены!$K$41,IF(Q49=Цены!$H$42,Цены!$K$42,IF(Q49=Цены!$H$43,Цены!$K$43,IF(Q49=Цены!$H$44,Цены!$K$44,IF(Q49=Цены!$H$45,Цены!$K$45,IF(Q49=Цены!$H$46,Цены!$K$46,IF(Q49=Цены!$H$47,Цены!$K$47,IF(Q49=Цены!$H$48,Цены!$K$48,IF(Q49=Цены!$H$49,Цены!$K$49,IF(Q49=Цены!$H$50,Цены!$K$50,IF(Q49=Цены!$H$51,Цены!$K$51,IF(Q49=Цены!$H$52,Цены!$K$52,IF(Q49=Цены!$H$53,Цены!$K$53,IF(Q49=Цены!$H$54,Цены!$K$54,IF(Q49=Цены!$H$55,Цены!$K$55))))))))))))))))))))))))))))))))))))))))))))))))))))))</f>
        <v>0</v>
      </c>
      <c r="V49" s="265"/>
      <c r="W49" s="265"/>
      <c r="X49" s="323"/>
      <c r="Y49" s="324"/>
      <c r="Z49" s="324"/>
      <c r="AA49" s="265"/>
      <c r="AB49" s="323"/>
      <c r="AC49" s="325"/>
      <c r="AD49" s="70" t="s">
        <v>95</v>
      </c>
      <c r="AE49" s="130">
        <v>5</v>
      </c>
      <c r="AF49" s="68">
        <f>IF(AD49=Цены!$H$3,Цены!$L$3,IF(AD49=Цены!$H$4,Цены!$L$4,IF(AD49=Цены!$H$5,Цены!$L$5,IF(AD49=Цены!$H$6,Цены!$L$6,IF(AD49=Цены!$H$7,Цены!$L$7,IF(AD49=Цены!$H$8,Цены!$L$8,IF(AD49=Цены!$H$9,Цены!$L$9,IF(AD49=Цены!$H$10,Цены!$L$10,IF(AD49=Цены!$H$11,Цены!$L$11,IF(AD49=Цены!$H$12,Цены!$L$12,IF(AD49=Цены!$H$13,Цены!$L$13,IF(AD49=Цены!$H$14,Цены!$L$14,IF(AD49=Цены!$H$14,Цены!$L$14,IF(AD49=Цены!$H$15,Цены!$L$15,IF(AD49=Цены!$H$16,Цены!$L$16,IF(AD49=Цены!$H$17,Цены!$L$17,IF(AD49=Цены!$H$18,Цены!$L$18,IF(AD49=Цены!$H$19,Цены!$L$19,IF(AD49=Цены!$H$20,Цены!$L$20,IF(AD49=Цены!$H$21,Цены!$L$21,IF(AD49=Цены!$H$22,Цены!$L$22,IF(AD49=Цены!$H$23,Цены!$L$23,IF(AD49=Цены!$H$24,Цены!$L$24,IF(AD49=Цены!$H$25,Цены!$L$25,IF(AD49=Цены!$H$26,Цены!$L$26,IF(AD49=Цены!$H$27,Цены!$L$27,IF(AD49=Цены!$H$28,Цены!$L$28,IF(AD49=Цены!$H$29,Цены!$L$29,IF(AD49=Цены!$H$30,Цены!$L$30,IF(AD49=Цены!$H$31,Цены!$L$31,IF(AD49=Цены!$H$32,Цены!$L$32,IF(AD49=Цены!$H$33,Цены!$L$33,IF(AD49=Цены!$H$34,Цены!$L$34,IF(AD49=Цены!$H$35,Цены!$L$35,IF(AD49=Цены!$H$36,Цены!$L$36,IF(AD49=Цены!$H$37,Цены!$L$37,IF(AD49=Цены!$H$38,Цены!$L$38,IF(AD49=Цены!$H$39,Цены!$L$39,IF(AD49=Цены!$H$40,Цены!$L$40,IF(AD49=Цены!$H$41,Цены!$L$41,IF(AD49=Цены!$H$42,Цены!$L$42,IF(AD49=Цены!$H$43,Цены!$L$43,IF(AD49=Цены!$H$44,Цены!$L$44,IF(AD49=Цены!$H$45,Цены!$L$45,IF(AD49=Цены!$H$46,Цены!$L$46,IF(AD49=Цены!$H$47,Цены!$L$47,IF(AD49=Цены!$H$48,Цены!$L$48,IF(AD49=Цены!$H$49,Цены!$L$49,IF(AD49=Цены!$H$50,Цены!$L$50,IF(AD49=Цены!$H$51,Цены!$L$51,IF(AD49=Цены!$H$52,Цены!$L$52,IF(AD49=Цены!$H$53,Цены!$L$53,IF(AD49=Цены!$H$54,Цены!$L$54,IF(AD49=Цены!$H$55,Цены!$L$55))))))))))))))))))))))))))))))))))))))))))))))))))))))</f>
        <v>2.6</v>
      </c>
      <c r="AG49" s="311"/>
      <c r="AH49" s="69">
        <f>IF(AD49=Цены!$H$3,Цены!$K$3,IF(AD49=Цены!$H$4,Цены!$K$4,IF(AD49=Цены!$H$5,Цены!$K$5,IF(AD49=Цены!$H$6,Цены!$K$6,IF(AD49=Цены!$H$7,Цены!$K$7,IF(AD49=Цены!$H$8,Цены!$K$8,IF(AD49=Цены!$H$9,Цены!$K$9,IF(AD49=Цены!$H$10,Цены!$K$10,IF(AD49=Цены!$H$11,Цены!$K$11,IF(AD49=Цены!$H$12,Цены!$K$12,IF(AD49=Цены!$H$13,Цены!$K$13,IF(AD49=Цены!$H$14,Цены!$K$14,IF(AD49=Цены!$H$14,Цены!$K$14,IF(AD49=Цены!$H$15,Цены!$K$15,IF(AD49=Цены!$H$16,Цены!$K$16,IF(AD49=Цены!$H$17,Цены!$K$17,IF(AD49=Цены!$H$18,Цены!$K$18,IF(AD49=Цены!$H$19,Цены!$K$19,IF(AD49=Цены!$H$20,Цены!$K$20,IF(AD49=Цены!$H$21,Цены!$K$21,IF(AD49=Цены!$H$22,Цены!$K$22,IF(AD49=Цены!$H$23,Цены!$K$23,IF(AD49=Цены!$H$24,Цены!$K$24,IF(AD49=Цены!$H$25,Цены!$K$25,IF(AD49=Цены!$H$26,Цены!$K$26,IF(AD49=Цены!$H$27,Цены!$K$27,IF(AD49=Цены!$H$28,Цены!$K$28,IF(AD49=Цены!$H$29,Цены!$K$29,IF(AD49=Цены!$H$30,Цены!$K$30,IF(AD49=Цены!$H$31,Цены!$K$31,IF(AD49=Цены!$H$32,Цены!$K$32,IF(AD49=Цены!$H$33,Цены!$K$33,IF(AD49=Цены!$H$34,Цены!$K$34,IF(AD49=Цены!$H$35,Цены!$K$35,IF(AD49=Цены!$H$36,Цены!$K$36,IF(AD49=Цены!$H$37,Цены!$K$37,IF(AD49=Цены!$H$38,Цены!$K$38,IF(AD49=Цены!$H$39,Цены!$K$39,IF(AD49=Цены!$H$40,Цены!$K$40,IF(AD49=Цены!$H$41,Цены!$K$41,IF(AD49=Цены!$H$42,Цены!$K$42,IF(AD49=Цены!$H$43,Цены!$K$43,IF(AD49=Цены!$H$44,Цены!$K$44,IF(AD49=Цены!$H$45,Цены!$K$45,IF(AD49=Цены!$H$46,Цены!$K$46,IF(AD49=Цены!$H$47,Цены!$K$47,IF(AD49=Цены!$H$48,Цены!$K$48,IF(AD49=Цены!$H$49,Цены!$K$49,IF(AD49=Цены!$H$50,Цены!$K$50,IF(AD49=Цены!$H$51,Цены!$K$51,IF(AD49=Цены!$H$52,Цены!$K$52,IF(AD49=Цены!$H$53,Цены!$K$53,IF(AD49=Цены!$H$54,Цены!$K$54,IF(AD49=Цены!$H$55,Цены!$K$55))))))))))))))))))))))))))))))))))))))))))))))))))))))</f>
        <v>552</v>
      </c>
      <c r="AI49" s="265"/>
      <c r="AJ49" s="265"/>
      <c r="AK49" s="312"/>
      <c r="AL49" s="314"/>
      <c r="AM49" s="314"/>
      <c r="AN49" s="265"/>
      <c r="AO49" s="312"/>
      <c r="AP49" s="315"/>
      <c r="AQ49" s="82" t="s">
        <v>147</v>
      </c>
      <c r="AR49" s="131">
        <v>3</v>
      </c>
      <c r="AS49" s="80">
        <f>IF(AQ49=Цены!$H$3,Цены!$L$3,IF(AQ49=Цены!$H$4,Цены!$L$4,IF(AQ49=Цены!$H$5,Цены!$L$5,IF(AQ49=Цены!$H$6,Цены!$L$6,IF(AQ49=Цены!$H$7,Цены!$L$7,IF(AQ49=Цены!$H$8,Цены!$L$8,IF(AQ49=Цены!$H$9,Цены!$L$9,IF(AQ49=Цены!$H$10,Цены!$L$10,IF(AQ49=Цены!$H$11,Цены!$L$11,IF(AQ49=Цены!$H$12,Цены!$L$12,IF(AQ49=Цены!$H$13,Цены!$L$13,IF(AQ49=Цены!$H$14,Цены!$L$14,IF(AQ49=Цены!$H$14,Цены!$L$14,IF(AQ49=Цены!$H$15,Цены!$L$15,IF(AQ49=Цены!$H$16,Цены!$L$16,IF(AQ49=Цены!$H$17,Цены!$L$17,IF(AQ49=Цены!$H$18,Цены!$L$18,IF(AQ49=Цены!$H$19,Цены!$L$19,IF(AQ49=Цены!$H$20,Цены!$L$20,IF(AQ49=Цены!$H$21,Цены!$L$21,IF(AQ49=Цены!$H$22,Цены!$L$22,IF(AQ49=Цены!$H$23,Цены!$L$23,IF(AQ49=Цены!$H$24,Цены!$L$24,IF(AQ49=Цены!$H$25,Цены!$L$25,IF(AQ49=Цены!$H$26,Цены!$L$26,IF(AQ49=Цены!$H$27,Цены!$L$27,IF(AQ49=Цены!$H$28,Цены!$L$28,IF(AQ49=Цены!$H$29,Цены!$L$29,IF(AQ49=Цены!$H$30,Цены!$L$30,IF(AQ49=Цены!$H$31,Цены!$L$31,IF(AQ49=Цены!$H$32,Цены!$L$32,IF(AQ49=Цены!$H$33,Цены!$L$33,IF(AQ49=Цены!$H$34,Цены!$L$34,IF(AQ49=Цены!$H$35,Цены!$L$35,IF(AQ49=Цены!$H$36,Цены!$L$36,IF(AQ49=Цены!$H$37,Цены!$L$37,IF(AQ49=Цены!$H$38,Цены!$L$38,IF(AQ49=Цены!$H$39,Цены!$L$39,IF(AQ49=Цены!$H$40,Цены!$L$40,IF(AQ49=Цены!$H$41,Цены!$L$41,IF(AQ49=Цены!$H$42,Цены!$L$42,IF(AQ49=Цены!$H$43,Цены!$L$43,IF(AQ49=Цены!$H$44,Цены!$L$44,IF(AQ49=Цены!$H$45,Цены!$L$45,IF(AQ49=Цены!$H$46,Цены!$L$46,IF(AQ49=Цены!$H$47,Цены!$L$47,IF(AQ49=Цены!$H$48,Цены!$L$48,IF(AQ49=Цены!$H$49,Цены!$L$49,IF(AQ49=Цены!$H$50,Цены!$L$50,IF(AQ49=Цены!$H$51,Цены!$L$51,IF(AQ49=Цены!$H$52,Цены!$L$52,IF(AQ49=Цены!$H$53,Цены!$L$53,IF(AQ49=Цены!$H$54,Цены!$L$54,IF(AQ49=Цены!$H$55,Цены!$L$55))))))))))))))))))))))))))))))))))))))))))))))))))))))</f>
        <v>2.6</v>
      </c>
      <c r="AT49" s="271"/>
      <c r="AU49" s="81">
        <f>IF(AQ49=Цены!$H$3,Цены!$K$3,IF(AQ49=Цены!$H$4,Цены!$K$4,IF(AQ49=Цены!$H$5,Цены!$K$5,IF(AQ49=Цены!$H$6,Цены!$K$6,IF(AQ49=Цены!$H$7,Цены!$K$7,IF(AQ49=Цены!$H$8,Цены!$K$8,IF(AQ49=Цены!$H$9,Цены!$K$9,IF(AQ49=Цены!$H$10,Цены!$K$10,IF(AQ49=Цены!$H$11,Цены!$K$11,IF(AQ49=Цены!$H$12,Цены!$K$12,IF(AQ49=Цены!$H$13,Цены!$K$13,IF(AQ49=Цены!$H$14,Цены!$K$14,IF(AQ49=Цены!$H$14,Цены!$K$14,IF(AQ49=Цены!$H$15,Цены!$K$15,IF(AQ49=Цены!$H$16,Цены!$K$16,IF(AQ49=Цены!$H$17,Цены!$K$17,IF(AQ49=Цены!$H$18,Цены!$K$18,IF(AQ49=Цены!$H$19,Цены!$K$19,IF(AQ49=Цены!$H$20,Цены!$K$20,IF(AQ49=Цены!$H$21,Цены!$K$21,IF(AQ49=Цены!$H$22,Цены!$K$22,IF(AQ49=Цены!$H$23,Цены!$K$23,IF(AQ49=Цены!$H$24,Цены!$K$24,IF(AQ49=Цены!$H$25,Цены!$K$25,IF(AQ49=Цены!$H$26,Цены!$K$26,IF(AQ49=Цены!$H$27,Цены!$K$27,IF(AQ49=Цены!$H$28,Цены!$K$28,IF(AQ49=Цены!$H$29,Цены!$K$29,IF(AQ49=Цены!$H$30,Цены!$K$30,IF(AQ49=Цены!$H$31,Цены!$K$31,IF(AQ49=Цены!$H$32,Цены!$K$32,IF(AQ49=Цены!$H$33,Цены!$K$33,IF(AQ49=Цены!$H$34,Цены!$K$34,IF(AQ49=Цены!$H$35,Цены!$K$35,IF(AQ49=Цены!$H$36,Цены!$K$36,IF(AQ49=Цены!$H$37,Цены!$K$37,IF(AQ49=Цены!$H$38,Цены!$K$38,IF(AQ49=Цены!$H$39,Цены!$K$39,IF(AQ49=Цены!$H$40,Цены!$K$40,IF(AQ49=Цены!$H$41,Цены!$K$41,IF(AQ49=Цены!$H$42,Цены!$K$42,IF(AQ49=Цены!$H$43,Цены!$K$43,IF(AQ49=Цены!$H$44,Цены!$K$44,IF(AQ49=Цены!$H$45,Цены!$K$45,IF(AQ49=Цены!$H$46,Цены!$K$46,IF(AQ49=Цены!$H$47,Цены!$K$47,IF(AQ49=Цены!$H$48,Цены!$K$48,IF(AQ49=Цены!$H$49,Цены!$K$49,IF(AQ49=Цены!$H$50,Цены!$K$50,IF(AQ49=Цены!$H$51,Цены!$K$51,IF(AQ49=Цены!$H$52,Цены!$K$52,IF(AQ49=Цены!$H$53,Цены!$K$53,IF(AQ49=Цены!$H$54,Цены!$K$54,IF(AQ49=Цены!$H$55,Цены!$K$55))))))))))))))))))))))))))))))))))))))))))))))))))))))</f>
        <v>552</v>
      </c>
      <c r="AV49" s="265"/>
      <c r="AW49" s="265"/>
      <c r="AX49" s="274"/>
      <c r="AY49" s="304"/>
      <c r="AZ49" s="304"/>
      <c r="BA49" s="265"/>
      <c r="BB49" s="274"/>
      <c r="BC49" s="305"/>
      <c r="BD49" s="259"/>
      <c r="BE49" s="105"/>
      <c r="BF49" s="106"/>
      <c r="BG49" s="103" t="b">
        <f>IF(BE49=Цены!$H$3,Цены!$L$3,IF(BE49=Цены!$H$4,Цены!$L$4,IF(BE49=Цены!$H$5,Цены!$L$5,IF(BE49=Цены!$H$6,Цены!$L$6,IF(BE49=Цены!$H$7,Цены!$L$7,IF(BE49=Цены!$H$8,Цены!$L$8,IF(BE49=Цены!$H$9,Цены!$L$9,IF(BE49=Цены!$H$10,Цены!$L$10,IF(BE49=Цены!$H$11,Цены!$L$11,IF(BE49=Цены!$H$12,Цены!$L$12,IF(BE49=Цены!$H$13,Цены!$L$13,IF(BE49=Цены!$H$14,Цены!$L$14,IF(BE49=Цены!$H$14,Цены!$L$14,IF(BE49=Цены!$H$15,Цены!$L$15,IF(BE49=Цены!$H$16,Цены!$L$16,IF(BE49=Цены!$H$17,Цены!$L$17,IF(BE49=Цены!$H$18,Цены!$L$18,IF(BE49=Цены!$H$19,Цены!$L$19,IF(BE49=Цены!$H$20,Цены!$L$20,IF(BE49=Цены!$H$21,Цены!$L$21,IF(BE49=Цены!$H$22,Цены!$L$22,IF(BE49=Цены!$H$23,Цены!$L$23,IF(BE49=Цены!$H$24,Цены!$L$24,IF(BE49=Цены!$H$25,Цены!$L$25,IF(BE49=Цены!$H$26,Цены!$L$26,IF(BE49=Цены!$H$27,Цены!$L$27,IF(BE49=Цены!$H$28,Цены!$L$28,IF(BE49=Цены!$H$29,Цены!$L$29,IF(BE49=Цены!$H$30,Цены!$L$30,IF(BE49=Цены!$H$31,Цены!$L$31,IF(BE49=Цены!$H$32,Цены!$L$32,IF(BE49=Цены!$H$33,Цены!$L$33,IF(BE49=Цены!$H$34,Цены!$L$34,IF(BE49=Цены!$H$35,Цены!$L$35,IF(BE49=Цены!$H$36,Цены!$L$36,IF(BE49=Цены!$H$37,Цены!$L$37,IF(BE49=Цены!$H$38,Цены!$L$38,IF(BE49=Цены!$H$39,Цены!$L$39,IF(BE49=Цены!$H$40,Цены!$L$40,IF(BE49=Цены!$H$41,Цены!$L$41,IF(BE49=Цены!$H$42,Цены!$L$42,IF(BE49=Цены!$H$43,Цены!$L$43,IF(BE49=Цены!$H$44,Цены!$L$44,IF(BE49=Цены!$H$45,Цены!$L$45,IF(BE49=Цены!$H$46,Цены!$L$46,IF(BE49=Цены!$H$47,Цены!$L$47,IF(BE49=Цены!$H$48,Цены!$L$48,IF(BE49=Цены!$H$49,Цены!$L$49,IF(BE49=Цены!$H$50,Цены!$L$50,IF(BE49=Цены!$H$51,Цены!$L$51,IF(BE49=Цены!$H$52,Цены!$L$52,IF(BE49=Цены!$H$53,Цены!$L$53,IF(BE49=Цены!$H$54,Цены!$L$54,IF(BE49=Цены!$H$55,Цены!$L$55))))))))))))))))))))))))))))))))))))))))))))))))))))))</f>
        <v>0</v>
      </c>
      <c r="BH49" s="280"/>
      <c r="BI49" s="104" t="b">
        <f>IF(BE49=Цены!$H$3,Цены!$K$3,IF(BE49=Цены!$H$4,Цены!$K$4,IF(BE49=Цены!$H$5,Цены!$K$5,IF(BE49=Цены!$H$6,Цены!$K$6,IF(BE49=Цены!$H$7,Цены!$K$7,IF(BE49=Цены!$H$8,Цены!$K$8,IF(BE49=Цены!$H$9,Цены!$K$9,IF(BE49=Цены!$H$10,Цены!$K$10,IF(BE49=Цены!$H$11,Цены!$K$11,IF(BE49=Цены!$H$12,Цены!$K$12,IF(BE49=Цены!$H$13,Цены!$K$13,IF(BE49=Цены!$H$14,Цены!$K$14,IF(BE49=Цены!$H$14,Цены!$K$14,IF(BE49=Цены!$H$15,Цены!$K$15,IF(BE49=Цены!$H$16,Цены!$K$16,IF(BE49=Цены!$H$17,Цены!$K$17,IF(BE49=Цены!$H$18,Цены!$K$18,IF(BE49=Цены!$H$19,Цены!$K$19,IF(BE49=Цены!$H$20,Цены!$K$20,IF(BE49=Цены!$H$21,Цены!$K$21,IF(BE49=Цены!$H$22,Цены!$K$22,IF(BE49=Цены!$H$23,Цены!$K$23,IF(BE49=Цены!$H$24,Цены!$K$24,IF(BE49=Цены!$H$25,Цены!$K$25,IF(BE49=Цены!$H$26,Цены!$K$26,IF(BE49=Цены!$H$27,Цены!$K$27,IF(BE49=Цены!$H$28,Цены!$K$28,IF(BE49=Цены!$H$29,Цены!$K$29,IF(BE49=Цены!$H$30,Цены!$K$30,IF(BE49=Цены!$H$31,Цены!$K$31,IF(BE49=Цены!$H$32,Цены!$K$32,IF(BE49=Цены!$H$33,Цены!$K$33,IF(BE49=Цены!$H$34,Цены!$K$34,IF(BE49=Цены!$H$35,Цены!$K$35,IF(BE49=Цены!$H$36,Цены!$K$36,IF(BE49=Цены!$H$37,Цены!$K$37,IF(BE49=Цены!$H$38,Цены!$K$38,IF(BE49=Цены!$H$39,Цены!$K$39,IF(BE49=Цены!$H$40,Цены!$K$40,IF(BE49=Цены!$H$41,Цены!$K$41,IF(BE49=Цены!$H$42,Цены!$K$42,IF(BE49=Цены!$H$43,Цены!$K$43,IF(BE49=Цены!$H$44,Цены!$K$44,IF(BE49=Цены!$H$45,Цены!$K$45,IF(BE49=Цены!$H$46,Цены!$K$46,IF(BE49=Цены!$H$47,Цены!$K$47,IF(BE49=Цены!$H$48,Цены!$K$48,IF(BE49=Цены!$H$49,Цены!$K$49,IF(BE49=Цены!$H$50,Цены!$K$50,IF(BE49=Цены!$H$51,Цены!$K$51,IF(BE49=Цены!$H$52,Цены!$K$52,IF(BE49=Цены!$H$53,Цены!$K$53,IF(BE49=Цены!$H$54,Цены!$K$54,IF(BE49=Цены!$H$55,Цены!$K$55))))))))))))))))))))))))))))))))))))))))))))))))))))))</f>
        <v>0</v>
      </c>
      <c r="BJ49" s="265"/>
      <c r="BK49" s="265"/>
      <c r="BL49" s="281"/>
      <c r="BM49" s="292"/>
      <c r="BN49" s="292"/>
      <c r="BO49" s="268"/>
      <c r="BP49" s="281"/>
      <c r="BQ49" s="293"/>
      <c r="BR49" s="111"/>
      <c r="BS49" s="108"/>
      <c r="BT49" s="109" t="b">
        <f>IF(BR49=Цены!$H$3,Цены!$L$3,IF(BR49=Цены!$H$4,Цены!$L$4,IF(BR49=Цены!$H$5,Цены!$L$5,IF(BR49=Цены!$H$6,Цены!$L$6,IF(BR49=Цены!$H$7,Цены!$L$7,IF(BR49=Цены!$H$8,Цены!$L$8,IF(BR49=Цены!$H$9,Цены!$L$9,IF(BR49=Цены!$H$10,Цены!$L$10,IF(BR49=Цены!$H$11,Цены!$L$11,IF(BR49=Цены!$H$12,Цены!$L$12,IF(BR49=Цены!$H$13,Цены!$L$13,IF(BR49=Цены!$H$14,Цены!$L$14,IF(BR49=Цены!$H$14,Цены!$L$14,IF(BR49=Цены!$H$15,Цены!$L$15,IF(BR49=Цены!$H$16,Цены!$L$16,IF(BR49=Цены!$H$17,Цены!$L$17,IF(BR49=Цены!$H$18,Цены!$L$18,IF(BR49=Цены!$H$19,Цены!$L$19,IF(BR49=Цены!$H$20,Цены!$L$20,IF(BR49=Цены!$H$21,Цены!$L$21,IF(BR49=Цены!$H$22,Цены!$L$22,IF(BR49=Цены!$H$23,Цены!$L$23,IF(BR49=Цены!$H$24,Цены!$L$24,IF(BR49=Цены!$H$25,Цены!$L$25,IF(BR49=Цены!$H$26,Цены!$L$26,IF(BR49=Цены!$H$27,Цены!$L$27,IF(BR49=Цены!$H$28,Цены!$L$28,IF(BR49=Цены!$H$29,Цены!$L$29,IF(BR49=Цены!$H$30,Цены!$L$30,IF(BR49=Цены!$H$31,Цены!$L$31,IF(BR49=Цены!$H$32,Цены!$L$32,IF(BR49=Цены!$H$33,Цены!$L$33,IF(BR49=Цены!$H$34,Цены!$L$34,IF(BR49=Цены!$H$35,Цены!$L$35,IF(BR49=Цены!$H$36,Цены!$L$36,IF(BR49=Цены!$H$37,Цены!$L$37,IF(BR49=Цены!$H$38,Цены!$L$38,IF(BR49=Цены!$H$39,Цены!$L$39,IF(BR49=Цены!$H$40,Цены!$L$40,IF(BR49=Цены!$H$41,Цены!$L$41,IF(BR49=Цены!$H$42,Цены!$L$42,IF(BR49=Цены!$H$43,Цены!$L$43,IF(BR49=Цены!$H$44,Цены!$L$44,IF(BR49=Цены!$H$45,Цены!$L$45,IF(BR49=Цены!$H$46,Цены!$L$46,IF(BR49=Цены!$H$47,Цены!$L$47,IF(BR49=Цены!$H$48,Цены!$L$48,IF(BR49=Цены!$H$49,Цены!$L$49,IF(BR49=Цены!$H$50,Цены!$L$50,IF(BR49=Цены!$H$51,Цены!$L$51,IF(BR49=Цены!$H$52,Цены!$L$52,IF(BR49=Цены!$H$53,Цены!$L$53,IF(BR49=Цены!$H$54,Цены!$L$54,IF(BR49=Цены!$H$55,Цены!$L$55))))))))))))))))))))))))))))))))))))))))))))))))))))))</f>
        <v>0</v>
      </c>
      <c r="BU49" s="284"/>
      <c r="BV49" s="110" t="b">
        <f>IF(BR49=Цены!$H$3,Цены!$K$3,IF(BR49=Цены!$H$4,Цены!$K$4,IF(BR49=Цены!$H$5,Цены!$K$5,IF(BR49=Цены!$H$6,Цены!$K$6,IF(BR49=Цены!$H$7,Цены!$K$7,IF(BR49=Цены!$H$8,Цены!$K$8,IF(BR49=Цены!$H$9,Цены!$K$9,IF(BR49=Цены!$H$10,Цены!$K$10,IF(BR49=Цены!$H$11,Цены!$K$11,IF(BR49=Цены!$H$12,Цены!$K$12,IF(BR49=Цены!$H$13,Цены!$K$13,IF(BR49=Цены!$H$14,Цены!$K$14,IF(BR49=Цены!$H$14,Цены!$K$14,IF(BR49=Цены!$H$15,Цены!$K$15,IF(BR49=Цены!$H$16,Цены!$K$16,IF(BR49=Цены!$H$17,Цены!$K$17,IF(BR49=Цены!$H$18,Цены!$K$18,IF(BR49=Цены!$H$19,Цены!$K$19,IF(BR49=Цены!$H$20,Цены!$K$20,IF(BR49=Цены!$H$21,Цены!$K$21,IF(BR49=Цены!$H$22,Цены!$K$22,IF(BR49=Цены!$H$23,Цены!$K$23,IF(BR49=Цены!$H$24,Цены!$K$24,IF(BR49=Цены!$H$25,Цены!$K$25,IF(BR49=Цены!$H$26,Цены!$K$26,IF(BR49=Цены!$H$27,Цены!$K$27,IF(BR49=Цены!$H$28,Цены!$K$28,IF(BR49=Цены!$H$29,Цены!$K$29,IF(BR49=Цены!$H$30,Цены!$K$30,IF(BR49=Цены!$H$31,Цены!$K$31,IF(BR49=Цены!$H$32,Цены!$K$32,IF(BR49=Цены!$H$33,Цены!$K$33,IF(BR49=Цены!$H$34,Цены!$K$34,IF(BR49=Цены!$H$35,Цены!$K$35,IF(BR49=Цены!$H$36,Цены!$K$36,IF(BR49=Цены!$H$37,Цены!$K$37,IF(BR49=Цены!$H$38,Цены!$K$38,IF(BR49=Цены!$H$39,Цены!$K$39,IF(BR49=Цены!$H$40,Цены!$K$40,IF(BR49=Цены!$H$41,Цены!$K$41,IF(BR49=Цены!$H$42,Цены!$K$42,IF(BR49=Цены!$H$43,Цены!$K$43,IF(BR49=Цены!$H$44,Цены!$K$44,IF(BR49=Цены!$H$45,Цены!$K$45,IF(BR49=Цены!$H$46,Цены!$K$46,IF(BR49=Цены!$H$47,Цены!$K$47,IF(BR49=Цены!$H$48,Цены!$K$48,IF(BR49=Цены!$H$49,Цены!$K$49,IF(BR49=Цены!$H$50,Цены!$K$50,IF(BR49=Цены!$H$51,Цены!$K$51,IF(BR49=Цены!$H$52,Цены!$K$52,IF(BR49=Цены!$H$53,Цены!$K$53,IF(BR49=Цены!$H$54,Цены!$K$54,IF(BR49=Цены!$H$55,Цены!$K$55))))))))))))))))))))))))))))))))))))))))))))))))))))))</f>
        <v>0</v>
      </c>
      <c r="BW49" s="265"/>
      <c r="BX49" s="265"/>
      <c r="BY49" s="285"/>
      <c r="BZ49" s="290"/>
      <c r="CA49" s="290"/>
      <c r="CB49" s="268"/>
      <c r="CC49" s="285"/>
      <c r="CD49" s="291"/>
      <c r="CE49" s="115" t="s">
        <v>121</v>
      </c>
      <c r="CF49" s="112">
        <v>1</v>
      </c>
      <c r="CG49" s="113">
        <f>IF(CE49=Цены!$H$3,Цены!$L$3,IF(CE49=Цены!$H$4,Цены!$L$4,IF(CE49=Цены!$H$5,Цены!$L$5,IF(CE49=Цены!$H$6,Цены!$L$6,IF(CE49=Цены!$H$7,Цены!$L$7,IF(CE49=Цены!$H$8,Цены!$L$8,IF(CE49=Цены!$H$9,Цены!$L$9,IF(CE49=Цены!$H$10,Цены!$L$10,IF(CE49=Цены!$H$11,Цены!$L$11,IF(CE49=Цены!$H$12,Цены!$L$12,IF(CE49=Цены!$H$13,Цены!$L$13,IF(CE49=Цены!$H$14,Цены!$L$14,IF(CE49=Цены!$H$14,Цены!$L$14,IF(CE49=Цены!$H$15,Цены!$L$15,IF(CE49=Цены!$H$16,Цены!$L$16,IF(CE49=Цены!$H$17,Цены!$L$17,IF(CE49=Цены!$H$18,Цены!$L$18,IF(CE49=Цены!$H$19,Цены!$L$19,IF(CE49=Цены!$H$20,Цены!$L$20,IF(CE49=Цены!$H$21,Цены!$L$21,IF(CE49=Цены!$H$22,Цены!$L$22,IF(CE49=Цены!$H$23,Цены!$L$23,IF(CE49=Цены!$H$24,Цены!$L$24,IF(CE49=Цены!$H$25,Цены!$L$25,IF(CE49=Цены!$H$26,Цены!$L$26,IF(CE49=Цены!$H$27,Цены!$L$27,IF(CE49=Цены!$H$28,Цены!$L$28,IF(CE49=Цены!$H$29,Цены!$L$29,IF(CE49=Цены!$H$30,Цены!$L$30,IF(CE49=Цены!$H$31,Цены!$L$31,IF(CE49=Цены!$H$32,Цены!$L$32,IF(CE49=Цены!$H$33,Цены!$L$33,IF(CE49=Цены!$H$34,Цены!$L$34,IF(CE49=Цены!$H$35,Цены!$L$35,IF(CE49=Цены!$H$36,Цены!$L$36,IF(CE49=Цены!$H$37,Цены!$L$37,IF(CE49=Цены!$H$38,Цены!$L$38,IF(CE49=Цены!$H$39,Цены!$L$39,IF(CE49=Цены!$H$40,Цены!$L$40,IF(CE49=Цены!$H$41,Цены!$L$41,IF(CE49=Цены!$H$42,Цены!$L$42,IF(CE49=Цены!$H$43,Цены!$L$43,IF(CE49=Цены!$H$44,Цены!$L$44,IF(CE49=Цены!$H$45,Цены!$L$45,IF(CE49=Цены!$H$46,Цены!$L$46,IF(CE49=Цены!$H$47,Цены!$L$47,IF(CE49=Цены!$H$48,Цены!$L$48,IF(CE49=Цены!$H$49,Цены!$L$49,IF(CE49=Цены!$H$50,Цены!$L$50,IF(CE49=Цены!$H$51,Цены!$L$51,IF(CE49=Цены!$H$52,Цены!$L$52,IF(CE49=Цены!$H$53,Цены!$L$53,IF(CE49=Цены!$H$54,Цены!$L$54,IF(CE49=Цены!$H$55,Цены!$L$55))))))))))))))))))))))))))))))))))))))))))))))))))))))</f>
        <v>1.32E-2</v>
      </c>
      <c r="CH49" s="282"/>
      <c r="CI49" s="114">
        <f>IF(CE49=Цены!$H$3,Цены!$K$3,IF(CE49=Цены!$H$4,Цены!$K$4,IF(CE49=Цены!$H$5,Цены!$K$5,IF(CE49=Цены!$H$6,Цены!$K$6,IF(CE49=Цены!$H$7,Цены!$K$7,IF(CE49=Цены!$H$8,Цены!$K$8,IF(CE49=Цены!$H$9,Цены!$K$9,IF(CE49=Цены!$H$10,Цены!$K$10,IF(CE49=Цены!$H$11,Цены!$K$11,IF(CE49=Цены!$H$12,Цены!$K$12,IF(CE49=Цены!$H$13,Цены!$K$13,IF(CE49=Цены!$H$14,Цены!$K$14,IF(CE49=Цены!$H$14,Цены!$K$14,IF(CE49=Цены!$H$15,Цены!$K$15,IF(CE49=Цены!$H$16,Цены!$K$16,IF(CE49=Цены!$H$17,Цены!$K$17,IF(CE49=Цены!$H$18,Цены!$K$18,IF(CE49=Цены!$H$19,Цены!$K$19,IF(CE49=Цены!$H$20,Цены!$K$20,IF(CE49=Цены!$H$21,Цены!$K$21,IF(CE49=Цены!$H$22,Цены!$K$22,IF(CE49=Цены!$H$23,Цены!$K$23,IF(CE49=Цены!$H$24,Цены!$K$24,IF(CE49=Цены!$H$25,Цены!$K$25,IF(CE49=Цены!$H$26,Цены!$K$26,IF(CE49=Цены!$H$27,Цены!$K$27,IF(CE49=Цены!$H$28,Цены!$K$28,IF(CE49=Цены!$H$29,Цены!$K$29,IF(CE49=Цены!$H$30,Цены!$K$30,IF(CE49=Цены!$H$31,Цены!$K$31,IF(CE49=Цены!$H$32,Цены!$K$32,IF(CE49=Цены!$H$33,Цены!$K$33,IF(CE49=Цены!$H$34,Цены!$K$34,IF(CE49=Цены!$H$35,Цены!$K$35,IF(CE49=Цены!$H$36,Цены!$K$36,IF(CE49=Цены!$H$37,Цены!$K$37,IF(CE49=Цены!$H$38,Цены!$K$38,IF(CE49=Цены!$H$39,Цены!$K$39,IF(CE49=Цены!$H$40,Цены!$K$40,IF(CE49=Цены!$H$41,Цены!$K$41,IF(CE49=Цены!$H$42,Цены!$K$42,IF(CE49=Цены!$H$43,Цены!$K$43,IF(CE49=Цены!$H$44,Цены!$K$44,IF(CE49=Цены!$H$45,Цены!$K$45,IF(CE49=Цены!$H$46,Цены!$K$46,IF(CE49=Цены!$H$47,Цены!$K$47,IF(CE49=Цены!$H$48,Цены!$K$48,IF(CE49=Цены!$H$49,Цены!$K$49,IF(CE49=Цены!$H$50,Цены!$K$50,IF(CE49=Цены!$H$51,Цены!$K$51,IF(CE49=Цены!$H$52,Цены!$K$52,IF(CE49=Цены!$H$53,Цены!$K$53,IF(CE49=Цены!$H$54,Цены!$K$54,IF(CE49=Цены!$H$55,Цены!$K$55))))))))))))))))))))))))))))))))))))))))))))))))))))))</f>
        <v>54</v>
      </c>
      <c r="CJ49" s="265"/>
      <c r="CK49" s="265"/>
      <c r="CL49" s="283"/>
      <c r="CM49" s="288"/>
      <c r="CN49" s="288"/>
      <c r="CO49" s="268"/>
      <c r="CP49" s="283"/>
      <c r="CQ49" s="289"/>
    </row>
    <row r="50" spans="1:95" s="40" customFormat="1" ht="15.75" hidden="1" customHeight="1" x14ac:dyDescent="0.25">
      <c r="A50" s="341"/>
      <c r="B50" s="265"/>
      <c r="C50" s="336"/>
      <c r="D50" s="44" t="s">
        <v>121</v>
      </c>
      <c r="E50" s="45">
        <v>4</v>
      </c>
      <c r="F50" s="46">
        <f>IF(D50=Цены!$H$3,Цены!$L$3,IF(D50=Цены!$H$4,Цены!$L$4,IF(D50=Цены!$H$5,Цены!$L$5,IF(D50=Цены!$H$6,Цены!$L$6,IF(D50=Цены!$H$7,Цены!$L$7,IF(D50=Цены!$H$8,Цены!$L$8,IF(D50=Цены!$H$9,Цены!$L$9,IF(D50=Цены!$H$10,Цены!$L$10,IF(D50=Цены!$H$11,Цены!$L$11,IF(D50=Цены!$H$12,Цены!$L$12,IF(D50=Цены!$H$13,Цены!$L$13,IF(D50=Цены!$H$14,Цены!$L$14,IF(D50=Цены!$H$14,Цены!$L$14,IF(D50=Цены!$H$15,Цены!$L$15,IF(D50=Цены!$H$16,Цены!$L$16,IF(D50=Цены!$H$17,Цены!$L$17,IF(D50=Цены!$H$18,Цены!$L$18,IF(D50=Цены!$H$19,Цены!$L$19,IF(D50=Цены!$H$20,Цены!$L$20,IF(D50=Цены!$H$21,Цены!$L$21,IF(D50=Цены!$H$22,Цены!$L$22,IF(D50=Цены!$H$23,Цены!$L$23,IF(D50=Цены!$H$24,Цены!$L$24,IF(D50=Цены!$H$25,Цены!$L$25,IF(D50=Цены!$H$26,Цены!$L$26,IF(D50=Цены!$H$27,Цены!$L$27,IF(D50=Цены!$H$28,Цены!$L$28,IF(D50=Цены!$H$29,Цены!$L$29,IF(D50=Цены!$H$30,Цены!$L$30,IF(D50=Цены!$H$31,Цены!$L$31,IF(D50=Цены!$H$32,Цены!$L$32,IF(D50=Цены!$H$33,Цены!$L$33,IF(D50=Цены!$H$34,Цены!$L$34,IF(D50=Цены!$H$35,Цены!$L$35,IF(D50=Цены!$H$36,Цены!$L$36,IF(D50=Цены!$H$37,Цены!$L$37,IF(D50=Цены!$H$38,Цены!$L$38,IF(D50=Цены!$H$39,Цены!$L$39,IF(D50=Цены!$H$40,Цены!$L$40,IF(D50=Цены!$H$41,Цены!$L$41,IF(D50=Цены!$H$42,Цены!$L$42,IF(D50=Цены!$H$43,Цены!$L$43,IF(D50=Цены!$H$44,Цены!$L$44,IF(D50=Цены!$H$45,Цены!$L$45,IF(D50=Цены!$H$46,Цены!$L$46,IF(D50=Цены!$H$47,Цены!$L$47,IF(D50=Цены!$H$48,Цены!$L$48,IF(D50=Цены!$H$49,Цены!$L$49,IF(D50=Цены!$H$50,Цены!$L$50,IF(D50=Цены!$H$51,Цены!$L$51,IF(D50=Цены!$H$52,Цены!$L$52,IF(D50=Цены!$H$53,Цены!$L$53,IF(D50=Цены!$H$54,Цены!$L$54,IF(D50=Цены!$H$55,Цены!$L$55))))))))))))))))))))))))))))))))))))))))))))))))))))))</f>
        <v>1.32E-2</v>
      </c>
      <c r="G50" s="339"/>
      <c r="H50" s="47">
        <f>IF(D50=Цены!$H$3,Цены!$K$3,IF(D50=Цены!$H$4,Цены!$K$4,IF(D50=Цены!$H$5,Цены!$K$5,IF(D50=Цены!$H$6,Цены!$K$6,IF(D50=Цены!$H$7,Цены!$K$7,IF(D50=Цены!$H$8,Цены!$K$8,IF(D50=Цены!$H$9,Цены!$K$9,IF(D50=Цены!$H$10,Цены!$K$10,IF(D50=Цены!$H$11,Цены!$K$11,IF(D50=Цены!$H$12,Цены!$K$12,IF(D50=Цены!$H$13,Цены!$K$13,IF(D50=Цены!$H$14,Цены!$K$14,IF(D50=Цены!$H$14,Цены!$K$14,IF(D50=Цены!$H$15,Цены!$K$15,IF(D50=Цены!$H$16,Цены!$K$16,IF(D50=Цены!$H$17,Цены!$K$17,IF(D50=Цены!$H$18,Цены!$K$18,IF(D50=Цены!$H$19,Цены!$K$19,IF(D50=Цены!$H$20,Цены!$K$20,IF(D50=Цены!$H$21,Цены!$K$21,IF(D50=Цены!$H$22,Цены!$K$22,IF(D50=Цены!$H$23,Цены!$K$23,IF(D50=Цены!$H$24,Цены!$K$24,IF(D50=Цены!$H$25,Цены!$K$25,IF(D50=Цены!$H$26,Цены!$K$26,IF(D50=Цены!$H$27,Цены!$K$27,IF(D50=Цены!$H$28,Цены!$K$28,IF(D50=Цены!$H$29,Цены!$K$29,IF(D50=Цены!$H$30,Цены!$K$30,IF(D50=Цены!$H$31,Цены!$K$31,IF(D50=Цены!$H$32,Цены!$K$32,IF(D50=Цены!$H$33,Цены!$K$33,IF(D50=Цены!$H$34,Цены!$K$34,IF(D50=Цены!$H$35,Цены!$K$35,IF(D50=Цены!$H$36,Цены!$K$36,IF(D50=Цены!$H$37,Цены!$K$37,IF(D50=Цены!$H$38,Цены!$K$38,IF(D50=Цены!$H$39,Цены!$K$39,IF(D50=Цены!$H$40,Цены!$K$40,IF(D50=Цены!$H$41,Цены!$K$41,IF(D50=Цены!$H$42,Цены!$K$42,IF(D50=Цены!$H$43,Цены!$K$43,IF(D50=Цены!$H$44,Цены!$K$44,IF(D50=Цены!$H$45,Цены!$K$45,IF(D50=Цены!$H$46,Цены!$K$46,IF(D50=Цены!$H$47,Цены!$K$47,IF(D50=Цены!$H$48,Цены!$K$48,IF(D50=Цены!$H$49,Цены!$K$49,IF(D50=Цены!$H$50,Цены!$K$50,IF(D50=Цены!$H$51,Цены!$K$51,IF(D50=Цены!$H$52,Цены!$K$52,IF(D50=Цены!$H$53,Цены!$K$53,IF(D50=Цены!$H$54,Цены!$K$54,IF(D50=Цены!$H$55,Цены!$K$55))))))))))))))))))))))))))))))))))))))))))))))))))))))</f>
        <v>54</v>
      </c>
      <c r="I50" s="265"/>
      <c r="J50" s="265"/>
      <c r="K50" s="332"/>
      <c r="L50" s="334"/>
      <c r="M50" s="334"/>
      <c r="N50" s="265"/>
      <c r="O50" s="332"/>
      <c r="P50" s="331"/>
      <c r="Q50" s="39"/>
      <c r="R50" s="37"/>
      <c r="S50" s="38" t="b">
        <f>IF(Q50=Цены!$H$3,Цены!$L$3,IF(Q50=Цены!$H$4,Цены!$L$4,IF(Q50=Цены!$H$5,Цены!$L$5,IF(Q50=Цены!$H$6,Цены!$L$6,IF(Q50=Цены!$H$7,Цены!$L$7,IF(Q50=Цены!$H$8,Цены!$L$8,IF(Q50=Цены!$H$9,Цены!$L$9,IF(Q50=Цены!$H$10,Цены!$L$10,IF(Q50=Цены!$H$11,Цены!$L$11,IF(Q50=Цены!$H$12,Цены!$L$12,IF(Q50=Цены!$H$13,Цены!$L$13,IF(Q50=Цены!$H$14,Цены!$L$14,IF(Q50=Цены!$H$14,Цены!$L$14,IF(Q50=Цены!$H$15,Цены!$L$15,IF(Q50=Цены!$H$16,Цены!$L$16,IF(Q50=Цены!$H$17,Цены!$L$17,IF(Q50=Цены!$H$18,Цены!$L$18,IF(Q50=Цены!$H$19,Цены!$L$19,IF(Q50=Цены!$H$20,Цены!$L$20,IF(Q50=Цены!$H$21,Цены!$L$21,IF(Q50=Цены!$H$22,Цены!$L$22,IF(Q50=Цены!$H$23,Цены!$L$23,IF(Q50=Цены!$H$24,Цены!$L$24,IF(Q50=Цены!$H$25,Цены!$L$25,IF(Q50=Цены!$H$26,Цены!$L$26,IF(Q50=Цены!$H$27,Цены!$L$27,IF(Q50=Цены!$H$28,Цены!$L$28,IF(Q50=Цены!$H$29,Цены!$L$29,IF(Q50=Цены!$H$30,Цены!$L$30,IF(Q50=Цены!$H$31,Цены!$L$31,IF(Q50=Цены!$H$32,Цены!$L$32,IF(Q50=Цены!$H$33,Цены!$L$33,IF(Q50=Цены!$H$34,Цены!$L$34,IF(Q50=Цены!$H$35,Цены!$L$35,IF(Q50=Цены!$H$36,Цены!$L$36,IF(Q50=Цены!$H$37,Цены!$L$37,IF(Q50=Цены!$H$38,Цены!$L$38,IF(Q50=Цены!$H$39,Цены!$L$39,IF(Q50=Цены!$H$40,Цены!$L$40,IF(Q50=Цены!$H$41,Цены!$L$41,IF(Q50=Цены!$H$42,Цены!$L$42,IF(Q50=Цены!$H$43,Цены!$L$43,IF(Q50=Цены!$H$44,Цены!$L$44,IF(Q50=Цены!$H$45,Цены!$L$45,IF(Q50=Цены!$H$46,Цены!$L$46,IF(Q50=Цены!$H$47,Цены!$L$47,IF(Q50=Цены!$H$48,Цены!$L$48,IF(Q50=Цены!$H$49,Цены!$L$49,IF(Q50=Цены!$H$50,Цены!$L$50,IF(Q50=Цены!$H$51,Цены!$L$51,IF(Q50=Цены!$H$52,Цены!$L$52,IF(Q50=Цены!$H$53,Цены!$L$53,IF(Q50=Цены!$H$54,Цены!$L$54,IF(Q50=Цены!$H$55,Цены!$L$55))))))))))))))))))))))))))))))))))))))))))))))))))))))</f>
        <v>0</v>
      </c>
      <c r="T50" s="322"/>
      <c r="U50" s="161" t="b">
        <f>IF(Q50=Цены!$H$3,Цены!$K$3,IF(Q50=Цены!$H$4,Цены!$K$4,IF(Q50=Цены!$H$5,Цены!$K$5,IF(Q50=Цены!$H$6,Цены!$K$6,IF(Q50=Цены!$H$7,Цены!$K$7,IF(Q50=Цены!$H$8,Цены!$K$8,IF(Q50=Цены!$H$9,Цены!$K$9,IF(Q50=Цены!$H$10,Цены!$K$10,IF(Q50=Цены!$H$11,Цены!$K$11,IF(Q50=Цены!$H$12,Цены!$K$12,IF(Q50=Цены!$H$13,Цены!$K$13,IF(Q50=Цены!$H$14,Цены!$K$14,IF(Q50=Цены!$H$14,Цены!$K$14,IF(Q50=Цены!$H$15,Цены!$K$15,IF(Q50=Цены!$H$16,Цены!$K$16,IF(Q50=Цены!$H$17,Цены!$K$17,IF(Q50=Цены!$H$18,Цены!$K$18,IF(Q50=Цены!$H$19,Цены!$K$19,IF(Q50=Цены!$H$20,Цены!$K$20,IF(Q50=Цены!$H$21,Цены!$K$21,IF(Q50=Цены!$H$22,Цены!$K$22,IF(Q50=Цены!$H$23,Цены!$K$23,IF(Q50=Цены!$H$24,Цены!$K$24,IF(Q50=Цены!$H$25,Цены!$K$25,IF(Q50=Цены!$H$26,Цены!$K$26,IF(Q50=Цены!$H$27,Цены!$K$27,IF(Q50=Цены!$H$28,Цены!$K$28,IF(Q50=Цены!$H$29,Цены!$K$29,IF(Q50=Цены!$H$30,Цены!$K$30,IF(Q50=Цены!$H$31,Цены!$K$31,IF(Q50=Цены!$H$32,Цены!$K$32,IF(Q50=Цены!$H$33,Цены!$K$33,IF(Q50=Цены!$H$34,Цены!$K$34,IF(Q50=Цены!$H$35,Цены!$K$35,IF(Q50=Цены!$H$36,Цены!$K$36,IF(Q50=Цены!$H$37,Цены!$K$37,IF(Q50=Цены!$H$38,Цены!$K$38,IF(Q50=Цены!$H$39,Цены!$K$39,IF(Q50=Цены!$H$40,Цены!$K$40,IF(Q50=Цены!$H$41,Цены!$K$41,IF(Q50=Цены!$H$42,Цены!$K$42,IF(Q50=Цены!$H$43,Цены!$K$43,IF(Q50=Цены!$H$44,Цены!$K$44,IF(Q50=Цены!$H$45,Цены!$K$45,IF(Q50=Цены!$H$46,Цены!$K$46,IF(Q50=Цены!$H$47,Цены!$K$47,IF(Q50=Цены!$H$48,Цены!$K$48,IF(Q50=Цены!$H$49,Цены!$K$49,IF(Q50=Цены!$H$50,Цены!$K$50,IF(Q50=Цены!$H$51,Цены!$K$51,IF(Q50=Цены!$H$52,Цены!$K$52,IF(Q50=Цены!$H$53,Цены!$K$53,IF(Q50=Цены!$H$54,Цены!$K$54,IF(Q50=Цены!$H$55,Цены!$K$55))))))))))))))))))))))))))))))))))))))))))))))))))))))</f>
        <v>0</v>
      </c>
      <c r="V50" s="265"/>
      <c r="W50" s="265"/>
      <c r="X50" s="323"/>
      <c r="Y50" s="324"/>
      <c r="Z50" s="324"/>
      <c r="AA50" s="265"/>
      <c r="AB50" s="323"/>
      <c r="AC50" s="325"/>
      <c r="AD50" s="66" t="s">
        <v>88</v>
      </c>
      <c r="AE50" s="130">
        <v>8</v>
      </c>
      <c r="AF50" s="68">
        <f>IF(AD50=Цены!$H$3,Цены!$L$3,IF(AD50=Цены!$H$4,Цены!$L$4,IF(AD50=Цены!$H$5,Цены!$L$5,IF(AD50=Цены!$H$6,Цены!$L$6,IF(AD50=Цены!$H$7,Цены!$L$7,IF(AD50=Цены!$H$8,Цены!$L$8,IF(AD50=Цены!$H$9,Цены!$L$9,IF(AD50=Цены!$H$10,Цены!$L$10,IF(AD50=Цены!$H$11,Цены!$L$11,IF(AD50=Цены!$H$12,Цены!$L$12,IF(AD50=Цены!$H$13,Цены!$L$13,IF(AD50=Цены!$H$14,Цены!$L$14,IF(AD50=Цены!$H$14,Цены!$L$14,IF(AD50=Цены!$H$15,Цены!$L$15,IF(AD50=Цены!$H$16,Цены!$L$16,IF(AD50=Цены!$H$17,Цены!$L$17,IF(AD50=Цены!$H$18,Цены!$L$18,IF(AD50=Цены!$H$19,Цены!$L$19,IF(AD50=Цены!$H$20,Цены!$L$20,IF(AD50=Цены!$H$21,Цены!$L$21,IF(AD50=Цены!$H$22,Цены!$L$22,IF(AD50=Цены!$H$23,Цены!$L$23,IF(AD50=Цены!$H$24,Цены!$L$24,IF(AD50=Цены!$H$25,Цены!$L$25,IF(AD50=Цены!$H$26,Цены!$L$26,IF(AD50=Цены!$H$27,Цены!$L$27,IF(AD50=Цены!$H$28,Цены!$L$28,IF(AD50=Цены!$H$29,Цены!$L$29,IF(AD50=Цены!$H$30,Цены!$L$30,IF(AD50=Цены!$H$31,Цены!$L$31,IF(AD50=Цены!$H$32,Цены!$L$32,IF(AD50=Цены!$H$33,Цены!$L$33,IF(AD50=Цены!$H$34,Цены!$L$34,IF(AD50=Цены!$H$35,Цены!$L$35,IF(AD50=Цены!$H$36,Цены!$L$36,IF(AD50=Цены!$H$37,Цены!$L$37,IF(AD50=Цены!$H$38,Цены!$L$38,IF(AD50=Цены!$H$39,Цены!$L$39,IF(AD50=Цены!$H$40,Цены!$L$40,IF(AD50=Цены!$H$41,Цены!$L$41,IF(AD50=Цены!$H$42,Цены!$L$42,IF(AD50=Цены!$H$43,Цены!$L$43,IF(AD50=Цены!$H$44,Цены!$L$44,IF(AD50=Цены!$H$45,Цены!$L$45,IF(AD50=Цены!$H$46,Цены!$L$46,IF(AD50=Цены!$H$47,Цены!$L$47,IF(AD50=Цены!$H$48,Цены!$L$48,IF(AD50=Цены!$H$49,Цены!$L$49,IF(AD50=Цены!$H$50,Цены!$L$50,IF(AD50=Цены!$H$51,Цены!$L$51,IF(AD50=Цены!$H$52,Цены!$L$52,IF(AD50=Цены!$H$53,Цены!$L$53,IF(AD50=Цены!$H$54,Цены!$L$54,IF(AD50=Цены!$H$55,Цены!$L$55))))))))))))))))))))))))))))))))))))))))))))))))))))))</f>
        <v>1.8</v>
      </c>
      <c r="AG50" s="311"/>
      <c r="AH50" s="69">
        <f>IF(AD50=Цены!$H$3,Цены!$K$3,IF(AD50=Цены!$H$4,Цены!$K$4,IF(AD50=Цены!$H$5,Цены!$K$5,IF(AD50=Цены!$H$6,Цены!$K$6,IF(AD50=Цены!$H$7,Цены!$K$7,IF(AD50=Цены!$H$8,Цены!$K$8,IF(AD50=Цены!$H$9,Цены!$K$9,IF(AD50=Цены!$H$10,Цены!$K$10,IF(AD50=Цены!$H$11,Цены!$K$11,IF(AD50=Цены!$H$12,Цены!$K$12,IF(AD50=Цены!$H$13,Цены!$K$13,IF(AD50=Цены!$H$14,Цены!$K$14,IF(AD50=Цены!$H$14,Цены!$K$14,IF(AD50=Цены!$H$15,Цены!$K$15,IF(AD50=Цены!$H$16,Цены!$K$16,IF(AD50=Цены!$H$17,Цены!$K$17,IF(AD50=Цены!$H$18,Цены!$K$18,IF(AD50=Цены!$H$19,Цены!$K$19,IF(AD50=Цены!$H$20,Цены!$K$20,IF(AD50=Цены!$H$21,Цены!$K$21,IF(AD50=Цены!$H$22,Цены!$K$22,IF(AD50=Цены!$H$23,Цены!$K$23,IF(AD50=Цены!$H$24,Цены!$K$24,IF(AD50=Цены!$H$25,Цены!$K$25,IF(AD50=Цены!$H$26,Цены!$K$26,IF(AD50=Цены!$H$27,Цены!$K$27,IF(AD50=Цены!$H$28,Цены!$K$28,IF(AD50=Цены!$H$29,Цены!$K$29,IF(AD50=Цены!$H$30,Цены!$K$30,IF(AD50=Цены!$H$31,Цены!$K$31,IF(AD50=Цены!$H$32,Цены!$K$32,IF(AD50=Цены!$H$33,Цены!$K$33,IF(AD50=Цены!$H$34,Цены!$K$34,IF(AD50=Цены!$H$35,Цены!$K$35,IF(AD50=Цены!$H$36,Цены!$K$36,IF(AD50=Цены!$H$37,Цены!$K$37,IF(AD50=Цены!$H$38,Цены!$K$38,IF(AD50=Цены!$H$39,Цены!$K$39,IF(AD50=Цены!$H$40,Цены!$K$40,IF(AD50=Цены!$H$41,Цены!$K$41,IF(AD50=Цены!$H$42,Цены!$K$42,IF(AD50=Цены!$H$43,Цены!$K$43,IF(AD50=Цены!$H$44,Цены!$K$44,IF(AD50=Цены!$H$45,Цены!$K$45,IF(AD50=Цены!$H$46,Цены!$K$46,IF(AD50=Цены!$H$47,Цены!$K$47,IF(AD50=Цены!$H$48,Цены!$K$48,IF(AD50=Цены!$H$49,Цены!$K$49,IF(AD50=Цены!$H$50,Цены!$K$50,IF(AD50=Цены!$H$51,Цены!$K$51,IF(AD50=Цены!$H$52,Цены!$K$52,IF(AD50=Цены!$H$53,Цены!$K$53,IF(AD50=Цены!$H$54,Цены!$K$54,IF(AD50=Цены!$H$55,Цены!$K$55))))))))))))))))))))))))))))))))))))))))))))))))))))))</f>
        <v>388</v>
      </c>
      <c r="AI50" s="265"/>
      <c r="AJ50" s="265"/>
      <c r="AK50" s="312"/>
      <c r="AL50" s="314"/>
      <c r="AM50" s="314"/>
      <c r="AN50" s="265"/>
      <c r="AO50" s="312"/>
      <c r="AP50" s="315"/>
      <c r="AQ50" s="78"/>
      <c r="AR50" s="131"/>
      <c r="AS50" s="80" t="b">
        <f>IF(AQ50=Цены!$H$3,Цены!$L$3,IF(AQ50=Цены!$H$4,Цены!$L$4,IF(AQ50=Цены!$H$5,Цены!$L$5,IF(AQ50=Цены!$H$6,Цены!$L$6,IF(AQ50=Цены!$H$7,Цены!$L$7,IF(AQ50=Цены!$H$8,Цены!$L$8,IF(AQ50=Цены!$H$9,Цены!$L$9,IF(AQ50=Цены!$H$10,Цены!$L$10,IF(AQ50=Цены!$H$11,Цены!$L$11,IF(AQ50=Цены!$H$12,Цены!$L$12,IF(AQ50=Цены!$H$13,Цены!$L$13,IF(AQ50=Цены!$H$14,Цены!$L$14,IF(AQ50=Цены!$H$14,Цены!$L$14,IF(AQ50=Цены!$H$15,Цены!$L$15,IF(AQ50=Цены!$H$16,Цены!$L$16,IF(AQ50=Цены!$H$17,Цены!$L$17,IF(AQ50=Цены!$H$18,Цены!$L$18,IF(AQ50=Цены!$H$19,Цены!$L$19,IF(AQ50=Цены!$H$20,Цены!$L$20,IF(AQ50=Цены!$H$21,Цены!$L$21,IF(AQ50=Цены!$H$22,Цены!$L$22,IF(AQ50=Цены!$H$23,Цены!$L$23,IF(AQ50=Цены!$H$24,Цены!$L$24,IF(AQ50=Цены!$H$25,Цены!$L$25,IF(AQ50=Цены!$H$26,Цены!$L$26,IF(AQ50=Цены!$H$27,Цены!$L$27,IF(AQ50=Цены!$H$28,Цены!$L$28,IF(AQ50=Цены!$H$29,Цены!$L$29,IF(AQ50=Цены!$H$30,Цены!$L$30,IF(AQ50=Цены!$H$31,Цены!$L$31,IF(AQ50=Цены!$H$32,Цены!$L$32,IF(AQ50=Цены!$H$33,Цены!$L$33,IF(AQ50=Цены!$H$34,Цены!$L$34,IF(AQ50=Цены!$H$35,Цены!$L$35,IF(AQ50=Цены!$H$36,Цены!$L$36,IF(AQ50=Цены!$H$37,Цены!$L$37,IF(AQ50=Цены!$H$38,Цены!$L$38,IF(AQ50=Цены!$H$39,Цены!$L$39,IF(AQ50=Цены!$H$40,Цены!$L$40,IF(AQ50=Цены!$H$41,Цены!$L$41,IF(AQ50=Цены!$H$42,Цены!$L$42,IF(AQ50=Цены!$H$43,Цены!$L$43,IF(AQ50=Цены!$H$44,Цены!$L$44,IF(AQ50=Цены!$H$45,Цены!$L$45,IF(AQ50=Цены!$H$46,Цены!$L$46,IF(AQ50=Цены!$H$47,Цены!$L$47,IF(AQ50=Цены!$H$48,Цены!$L$48,IF(AQ50=Цены!$H$49,Цены!$L$49,IF(AQ50=Цены!$H$50,Цены!$L$50,IF(AQ50=Цены!$H$51,Цены!$L$51,IF(AQ50=Цены!$H$52,Цены!$L$52,IF(AQ50=Цены!$H$53,Цены!$L$53,IF(AQ50=Цены!$H$54,Цены!$L$54,IF(AQ50=Цены!$H$55,Цены!$L$55))))))))))))))))))))))))))))))))))))))))))))))))))))))</f>
        <v>0</v>
      </c>
      <c r="AT50" s="271"/>
      <c r="AU50" s="81" t="b">
        <f>IF(AQ50=Цены!$H$3,Цены!$K$3,IF(AQ50=Цены!$H$4,Цены!$K$4,IF(AQ50=Цены!$H$5,Цены!$K$5,IF(AQ50=Цены!$H$6,Цены!$K$6,IF(AQ50=Цены!$H$7,Цены!$K$7,IF(AQ50=Цены!$H$8,Цены!$K$8,IF(AQ50=Цены!$H$9,Цены!$K$9,IF(AQ50=Цены!$H$10,Цены!$K$10,IF(AQ50=Цены!$H$11,Цены!$K$11,IF(AQ50=Цены!$H$12,Цены!$K$12,IF(AQ50=Цены!$H$13,Цены!$K$13,IF(AQ50=Цены!$H$14,Цены!$K$14,IF(AQ50=Цены!$H$14,Цены!$K$14,IF(AQ50=Цены!$H$15,Цены!$K$15,IF(AQ50=Цены!$H$16,Цены!$K$16,IF(AQ50=Цены!$H$17,Цены!$K$17,IF(AQ50=Цены!$H$18,Цены!$K$18,IF(AQ50=Цены!$H$19,Цены!$K$19,IF(AQ50=Цены!$H$20,Цены!$K$20,IF(AQ50=Цены!$H$21,Цены!$K$21,IF(AQ50=Цены!$H$22,Цены!$K$22,IF(AQ50=Цены!$H$23,Цены!$K$23,IF(AQ50=Цены!$H$24,Цены!$K$24,IF(AQ50=Цены!$H$25,Цены!$K$25,IF(AQ50=Цены!$H$26,Цены!$K$26,IF(AQ50=Цены!$H$27,Цены!$K$27,IF(AQ50=Цены!$H$28,Цены!$K$28,IF(AQ50=Цены!$H$29,Цены!$K$29,IF(AQ50=Цены!$H$30,Цены!$K$30,IF(AQ50=Цены!$H$31,Цены!$K$31,IF(AQ50=Цены!$H$32,Цены!$K$32,IF(AQ50=Цены!$H$33,Цены!$K$33,IF(AQ50=Цены!$H$34,Цены!$K$34,IF(AQ50=Цены!$H$35,Цены!$K$35,IF(AQ50=Цены!$H$36,Цены!$K$36,IF(AQ50=Цены!$H$37,Цены!$K$37,IF(AQ50=Цены!$H$38,Цены!$K$38,IF(AQ50=Цены!$H$39,Цены!$K$39,IF(AQ50=Цены!$H$40,Цены!$K$40,IF(AQ50=Цены!$H$41,Цены!$K$41,IF(AQ50=Цены!$H$42,Цены!$K$42,IF(AQ50=Цены!$H$43,Цены!$K$43,IF(AQ50=Цены!$H$44,Цены!$K$44,IF(AQ50=Цены!$H$45,Цены!$K$45,IF(AQ50=Цены!$H$46,Цены!$K$46,IF(AQ50=Цены!$H$47,Цены!$K$47,IF(AQ50=Цены!$H$48,Цены!$K$48,IF(AQ50=Цены!$H$49,Цены!$K$49,IF(AQ50=Цены!$H$50,Цены!$K$50,IF(AQ50=Цены!$H$51,Цены!$K$51,IF(AQ50=Цены!$H$52,Цены!$K$52,IF(AQ50=Цены!$H$53,Цены!$K$53,IF(AQ50=Цены!$H$54,Цены!$K$54,IF(AQ50=Цены!$H$55,Цены!$K$55))))))))))))))))))))))))))))))))))))))))))))))))))))))</f>
        <v>0</v>
      </c>
      <c r="AV50" s="265"/>
      <c r="AW50" s="265"/>
      <c r="AX50" s="274"/>
      <c r="AY50" s="304"/>
      <c r="AZ50" s="304"/>
      <c r="BA50" s="265"/>
      <c r="BB50" s="274"/>
      <c r="BC50" s="305"/>
      <c r="BD50" s="260"/>
      <c r="BE50" s="101"/>
      <c r="BF50" s="106"/>
      <c r="BG50" s="103" t="b">
        <f>IF(BE50=Цены!$H$3,Цены!$L$3,IF(BE50=Цены!$H$4,Цены!$L$4,IF(BE50=Цены!$H$5,Цены!$L$5,IF(BE50=Цены!$H$6,Цены!$L$6,IF(BE50=Цены!$H$7,Цены!$L$7,IF(BE50=Цены!$H$8,Цены!$L$8,IF(BE50=Цены!$H$9,Цены!$L$9,IF(BE50=Цены!$H$10,Цены!$L$10,IF(BE50=Цены!$H$11,Цены!$L$11,IF(BE50=Цены!$H$12,Цены!$L$12,IF(BE50=Цены!$H$13,Цены!$L$13,IF(BE50=Цены!$H$14,Цены!$L$14,IF(BE50=Цены!$H$14,Цены!$L$14,IF(BE50=Цены!$H$15,Цены!$L$15,IF(BE50=Цены!$H$16,Цены!$L$16,IF(BE50=Цены!$H$17,Цены!$L$17,IF(BE50=Цены!$H$18,Цены!$L$18,IF(BE50=Цены!$H$19,Цены!$L$19,IF(BE50=Цены!$H$20,Цены!$L$20,IF(BE50=Цены!$H$21,Цены!$L$21,IF(BE50=Цены!$H$22,Цены!$L$22,IF(BE50=Цены!$H$23,Цены!$L$23,IF(BE50=Цены!$H$24,Цены!$L$24,IF(BE50=Цены!$H$25,Цены!$L$25,IF(BE50=Цены!$H$26,Цены!$L$26,IF(BE50=Цены!$H$27,Цены!$L$27,IF(BE50=Цены!$H$28,Цены!$L$28,IF(BE50=Цены!$H$29,Цены!$L$29,IF(BE50=Цены!$H$30,Цены!$L$30,IF(BE50=Цены!$H$31,Цены!$L$31,IF(BE50=Цены!$H$32,Цены!$L$32,IF(BE50=Цены!$H$33,Цены!$L$33,IF(BE50=Цены!$H$34,Цены!$L$34,IF(BE50=Цены!$H$35,Цены!$L$35,IF(BE50=Цены!$H$36,Цены!$L$36,IF(BE50=Цены!$H$37,Цены!$L$37,IF(BE50=Цены!$H$38,Цены!$L$38,IF(BE50=Цены!$H$39,Цены!$L$39,IF(BE50=Цены!$H$40,Цены!$L$40,IF(BE50=Цены!$H$41,Цены!$L$41,IF(BE50=Цены!$H$42,Цены!$L$42,IF(BE50=Цены!$H$43,Цены!$L$43,IF(BE50=Цены!$H$44,Цены!$L$44,IF(BE50=Цены!$H$45,Цены!$L$45,IF(BE50=Цены!$H$46,Цены!$L$46,IF(BE50=Цены!$H$47,Цены!$L$47,IF(BE50=Цены!$H$48,Цены!$L$48,IF(BE50=Цены!$H$49,Цены!$L$49,IF(BE50=Цены!$H$50,Цены!$L$50,IF(BE50=Цены!$H$51,Цены!$L$51,IF(BE50=Цены!$H$52,Цены!$L$52,IF(BE50=Цены!$H$53,Цены!$L$53,IF(BE50=Цены!$H$54,Цены!$L$54,IF(BE50=Цены!$H$55,Цены!$L$55))))))))))))))))))))))))))))))))))))))))))))))))))))))</f>
        <v>0</v>
      </c>
      <c r="BH50" s="280"/>
      <c r="BI50" s="104" t="b">
        <f>IF(BE50=Цены!$H$3,Цены!$K$3,IF(BE50=Цены!$H$4,Цены!$K$4,IF(BE50=Цены!$H$5,Цены!$K$5,IF(BE50=Цены!$H$6,Цены!$K$6,IF(BE50=Цены!$H$7,Цены!$K$7,IF(BE50=Цены!$H$8,Цены!$K$8,IF(BE50=Цены!$H$9,Цены!$K$9,IF(BE50=Цены!$H$10,Цены!$K$10,IF(BE50=Цены!$H$11,Цены!$K$11,IF(BE50=Цены!$H$12,Цены!$K$12,IF(BE50=Цены!$H$13,Цены!$K$13,IF(BE50=Цены!$H$14,Цены!$K$14,IF(BE50=Цены!$H$14,Цены!$K$14,IF(BE50=Цены!$H$15,Цены!$K$15,IF(BE50=Цены!$H$16,Цены!$K$16,IF(BE50=Цены!$H$17,Цены!$K$17,IF(BE50=Цены!$H$18,Цены!$K$18,IF(BE50=Цены!$H$19,Цены!$K$19,IF(BE50=Цены!$H$20,Цены!$K$20,IF(BE50=Цены!$H$21,Цены!$K$21,IF(BE50=Цены!$H$22,Цены!$K$22,IF(BE50=Цены!$H$23,Цены!$K$23,IF(BE50=Цены!$H$24,Цены!$K$24,IF(BE50=Цены!$H$25,Цены!$K$25,IF(BE50=Цены!$H$26,Цены!$K$26,IF(BE50=Цены!$H$27,Цены!$K$27,IF(BE50=Цены!$H$28,Цены!$K$28,IF(BE50=Цены!$H$29,Цены!$K$29,IF(BE50=Цены!$H$30,Цены!$K$30,IF(BE50=Цены!$H$31,Цены!$K$31,IF(BE50=Цены!$H$32,Цены!$K$32,IF(BE50=Цены!$H$33,Цены!$K$33,IF(BE50=Цены!$H$34,Цены!$K$34,IF(BE50=Цены!$H$35,Цены!$K$35,IF(BE50=Цены!$H$36,Цены!$K$36,IF(BE50=Цены!$H$37,Цены!$K$37,IF(BE50=Цены!$H$38,Цены!$K$38,IF(BE50=Цены!$H$39,Цены!$K$39,IF(BE50=Цены!$H$40,Цены!$K$40,IF(BE50=Цены!$H$41,Цены!$K$41,IF(BE50=Цены!$H$42,Цены!$K$42,IF(BE50=Цены!$H$43,Цены!$K$43,IF(BE50=Цены!$H$44,Цены!$K$44,IF(BE50=Цены!$H$45,Цены!$K$45,IF(BE50=Цены!$H$46,Цены!$K$46,IF(BE50=Цены!$H$47,Цены!$K$47,IF(BE50=Цены!$H$48,Цены!$K$48,IF(BE50=Цены!$H$49,Цены!$K$49,IF(BE50=Цены!$H$50,Цены!$K$50,IF(BE50=Цены!$H$51,Цены!$K$51,IF(BE50=Цены!$H$52,Цены!$K$52,IF(BE50=Цены!$H$53,Цены!$K$53,IF(BE50=Цены!$H$54,Цены!$K$54,IF(BE50=Цены!$H$55,Цены!$K$55))))))))))))))))))))))))))))))))))))))))))))))))))))))</f>
        <v>0</v>
      </c>
      <c r="BJ50" s="265"/>
      <c r="BK50" s="265"/>
      <c r="BL50" s="281"/>
      <c r="BM50" s="292"/>
      <c r="BN50" s="292"/>
      <c r="BO50" s="268"/>
      <c r="BP50" s="281"/>
      <c r="BQ50" s="293"/>
      <c r="BR50" s="107"/>
      <c r="BS50" s="108"/>
      <c r="BT50" s="109" t="b">
        <f>IF(BR50=Цены!$H$3,Цены!$L$3,IF(BR50=Цены!$H$4,Цены!$L$4,IF(BR50=Цены!$H$5,Цены!$L$5,IF(BR50=Цены!$H$6,Цены!$L$6,IF(BR50=Цены!$H$7,Цены!$L$7,IF(BR50=Цены!$H$8,Цены!$L$8,IF(BR50=Цены!$H$9,Цены!$L$9,IF(BR50=Цены!$H$10,Цены!$L$10,IF(BR50=Цены!$H$11,Цены!$L$11,IF(BR50=Цены!$H$12,Цены!$L$12,IF(BR50=Цены!$H$13,Цены!$L$13,IF(BR50=Цены!$H$14,Цены!$L$14,IF(BR50=Цены!$H$14,Цены!$L$14,IF(BR50=Цены!$H$15,Цены!$L$15,IF(BR50=Цены!$H$16,Цены!$L$16,IF(BR50=Цены!$H$17,Цены!$L$17,IF(BR50=Цены!$H$18,Цены!$L$18,IF(BR50=Цены!$H$19,Цены!$L$19,IF(BR50=Цены!$H$20,Цены!$L$20,IF(BR50=Цены!$H$21,Цены!$L$21,IF(BR50=Цены!$H$22,Цены!$L$22,IF(BR50=Цены!$H$23,Цены!$L$23,IF(BR50=Цены!$H$24,Цены!$L$24,IF(BR50=Цены!$H$25,Цены!$L$25,IF(BR50=Цены!$H$26,Цены!$L$26,IF(BR50=Цены!$H$27,Цены!$L$27,IF(BR50=Цены!$H$28,Цены!$L$28,IF(BR50=Цены!$H$29,Цены!$L$29,IF(BR50=Цены!$H$30,Цены!$L$30,IF(BR50=Цены!$H$31,Цены!$L$31,IF(BR50=Цены!$H$32,Цены!$L$32,IF(BR50=Цены!$H$33,Цены!$L$33,IF(BR50=Цены!$H$34,Цены!$L$34,IF(BR50=Цены!$H$35,Цены!$L$35,IF(BR50=Цены!$H$36,Цены!$L$36,IF(BR50=Цены!$H$37,Цены!$L$37,IF(BR50=Цены!$H$38,Цены!$L$38,IF(BR50=Цены!$H$39,Цены!$L$39,IF(BR50=Цены!$H$40,Цены!$L$40,IF(BR50=Цены!$H$41,Цены!$L$41,IF(BR50=Цены!$H$42,Цены!$L$42,IF(BR50=Цены!$H$43,Цены!$L$43,IF(BR50=Цены!$H$44,Цены!$L$44,IF(BR50=Цены!$H$45,Цены!$L$45,IF(BR50=Цены!$H$46,Цены!$L$46,IF(BR50=Цены!$H$47,Цены!$L$47,IF(BR50=Цены!$H$48,Цены!$L$48,IF(BR50=Цены!$H$49,Цены!$L$49,IF(BR50=Цены!$H$50,Цены!$L$50,IF(BR50=Цены!$H$51,Цены!$L$51,IF(BR50=Цены!$H$52,Цены!$L$52,IF(BR50=Цены!$H$53,Цены!$L$53,IF(BR50=Цены!$H$54,Цены!$L$54,IF(BR50=Цены!$H$55,Цены!$L$55))))))))))))))))))))))))))))))))))))))))))))))))))))))</f>
        <v>0</v>
      </c>
      <c r="BU50" s="284"/>
      <c r="BV50" s="110" t="b">
        <f>IF(BR50=Цены!$H$3,Цены!$K$3,IF(BR50=Цены!$H$4,Цены!$K$4,IF(BR50=Цены!$H$5,Цены!$K$5,IF(BR50=Цены!$H$6,Цены!$K$6,IF(BR50=Цены!$H$7,Цены!$K$7,IF(BR50=Цены!$H$8,Цены!$K$8,IF(BR50=Цены!$H$9,Цены!$K$9,IF(BR50=Цены!$H$10,Цены!$K$10,IF(BR50=Цены!$H$11,Цены!$K$11,IF(BR50=Цены!$H$12,Цены!$K$12,IF(BR50=Цены!$H$13,Цены!$K$13,IF(BR50=Цены!$H$14,Цены!$K$14,IF(BR50=Цены!$H$14,Цены!$K$14,IF(BR50=Цены!$H$15,Цены!$K$15,IF(BR50=Цены!$H$16,Цены!$K$16,IF(BR50=Цены!$H$17,Цены!$K$17,IF(BR50=Цены!$H$18,Цены!$K$18,IF(BR50=Цены!$H$19,Цены!$K$19,IF(BR50=Цены!$H$20,Цены!$K$20,IF(BR50=Цены!$H$21,Цены!$K$21,IF(BR50=Цены!$H$22,Цены!$K$22,IF(BR50=Цены!$H$23,Цены!$K$23,IF(BR50=Цены!$H$24,Цены!$K$24,IF(BR50=Цены!$H$25,Цены!$K$25,IF(BR50=Цены!$H$26,Цены!$K$26,IF(BR50=Цены!$H$27,Цены!$K$27,IF(BR50=Цены!$H$28,Цены!$K$28,IF(BR50=Цены!$H$29,Цены!$K$29,IF(BR50=Цены!$H$30,Цены!$K$30,IF(BR50=Цены!$H$31,Цены!$K$31,IF(BR50=Цены!$H$32,Цены!$K$32,IF(BR50=Цены!$H$33,Цены!$K$33,IF(BR50=Цены!$H$34,Цены!$K$34,IF(BR50=Цены!$H$35,Цены!$K$35,IF(BR50=Цены!$H$36,Цены!$K$36,IF(BR50=Цены!$H$37,Цены!$K$37,IF(BR50=Цены!$H$38,Цены!$K$38,IF(BR50=Цены!$H$39,Цены!$K$39,IF(BR50=Цены!$H$40,Цены!$K$40,IF(BR50=Цены!$H$41,Цены!$K$41,IF(BR50=Цены!$H$42,Цены!$K$42,IF(BR50=Цены!$H$43,Цены!$K$43,IF(BR50=Цены!$H$44,Цены!$K$44,IF(BR50=Цены!$H$45,Цены!$K$45,IF(BR50=Цены!$H$46,Цены!$K$46,IF(BR50=Цены!$H$47,Цены!$K$47,IF(BR50=Цены!$H$48,Цены!$K$48,IF(BR50=Цены!$H$49,Цены!$K$49,IF(BR50=Цены!$H$50,Цены!$K$50,IF(BR50=Цены!$H$51,Цены!$K$51,IF(BR50=Цены!$H$52,Цены!$K$52,IF(BR50=Цены!$H$53,Цены!$K$53,IF(BR50=Цены!$H$54,Цены!$K$54,IF(BR50=Цены!$H$55,Цены!$K$55))))))))))))))))))))))))))))))))))))))))))))))))))))))</f>
        <v>0</v>
      </c>
      <c r="BW50" s="265"/>
      <c r="BX50" s="265"/>
      <c r="BY50" s="285"/>
      <c r="BZ50" s="290"/>
      <c r="CA50" s="290"/>
      <c r="CB50" s="268"/>
      <c r="CC50" s="285"/>
      <c r="CD50" s="291"/>
      <c r="CE50" s="119"/>
      <c r="CF50" s="112"/>
      <c r="CG50" s="113" t="b">
        <f>IF(CE50=Цены!$H$3,Цены!$L$3,IF(CE50=Цены!$H$4,Цены!$L$4,IF(CE50=Цены!$H$5,Цены!$L$5,IF(CE50=Цены!$H$6,Цены!$L$6,IF(CE50=Цены!$H$7,Цены!$L$7,IF(CE50=Цены!$H$8,Цены!$L$8,IF(CE50=Цены!$H$9,Цены!$L$9,IF(CE50=Цены!$H$10,Цены!$L$10,IF(CE50=Цены!$H$11,Цены!$L$11,IF(CE50=Цены!$H$12,Цены!$L$12,IF(CE50=Цены!$H$13,Цены!$L$13,IF(CE50=Цены!$H$14,Цены!$L$14,IF(CE50=Цены!$H$14,Цены!$L$14,IF(CE50=Цены!$H$15,Цены!$L$15,IF(CE50=Цены!$H$16,Цены!$L$16,IF(CE50=Цены!$H$17,Цены!$L$17,IF(CE50=Цены!$H$18,Цены!$L$18,IF(CE50=Цены!$H$19,Цены!$L$19,IF(CE50=Цены!$H$20,Цены!$L$20,IF(CE50=Цены!$H$21,Цены!$L$21,IF(CE50=Цены!$H$22,Цены!$L$22,IF(CE50=Цены!$H$23,Цены!$L$23,IF(CE50=Цены!$H$24,Цены!$L$24,IF(CE50=Цены!$H$25,Цены!$L$25,IF(CE50=Цены!$H$26,Цены!$L$26,IF(CE50=Цены!$H$27,Цены!$L$27,IF(CE50=Цены!$H$28,Цены!$L$28,IF(CE50=Цены!$H$29,Цены!$L$29,IF(CE50=Цены!$H$30,Цены!$L$30,IF(CE50=Цены!$H$31,Цены!$L$31,IF(CE50=Цены!$H$32,Цены!$L$32,IF(CE50=Цены!$H$33,Цены!$L$33,IF(CE50=Цены!$H$34,Цены!$L$34,IF(CE50=Цены!$H$35,Цены!$L$35,IF(CE50=Цены!$H$36,Цены!$L$36,IF(CE50=Цены!$H$37,Цены!$L$37,IF(CE50=Цены!$H$38,Цены!$L$38,IF(CE50=Цены!$H$39,Цены!$L$39,IF(CE50=Цены!$H$40,Цены!$L$40,IF(CE50=Цены!$H$41,Цены!$L$41,IF(CE50=Цены!$H$42,Цены!$L$42,IF(CE50=Цены!$H$43,Цены!$L$43,IF(CE50=Цены!$H$44,Цены!$L$44,IF(CE50=Цены!$H$45,Цены!$L$45,IF(CE50=Цены!$H$46,Цены!$L$46,IF(CE50=Цены!$H$47,Цены!$L$47,IF(CE50=Цены!$H$48,Цены!$L$48,IF(CE50=Цены!$H$49,Цены!$L$49,IF(CE50=Цены!$H$50,Цены!$L$50,IF(CE50=Цены!$H$51,Цены!$L$51,IF(CE50=Цены!$H$52,Цены!$L$52,IF(CE50=Цены!$H$53,Цены!$L$53,IF(CE50=Цены!$H$54,Цены!$L$54,IF(CE50=Цены!$H$55,Цены!$L$55))))))))))))))))))))))))))))))))))))))))))))))))))))))</f>
        <v>0</v>
      </c>
      <c r="CH50" s="282"/>
      <c r="CI50" s="114" t="b">
        <f>IF(CE50=Цены!$H$3,Цены!$K$3,IF(CE50=Цены!$H$4,Цены!$K$4,IF(CE50=Цены!$H$5,Цены!$K$5,IF(CE50=Цены!$H$6,Цены!$K$6,IF(CE50=Цены!$H$7,Цены!$K$7,IF(CE50=Цены!$H$8,Цены!$K$8,IF(CE50=Цены!$H$9,Цены!$K$9,IF(CE50=Цены!$H$10,Цены!$K$10,IF(CE50=Цены!$H$11,Цены!$K$11,IF(CE50=Цены!$H$12,Цены!$K$12,IF(CE50=Цены!$H$13,Цены!$K$13,IF(CE50=Цены!$H$14,Цены!$K$14,IF(CE50=Цены!$H$14,Цены!$K$14,IF(CE50=Цены!$H$15,Цены!$K$15,IF(CE50=Цены!$H$16,Цены!$K$16,IF(CE50=Цены!$H$17,Цены!$K$17,IF(CE50=Цены!$H$18,Цены!$K$18,IF(CE50=Цены!$H$19,Цены!$K$19,IF(CE50=Цены!$H$20,Цены!$K$20,IF(CE50=Цены!$H$21,Цены!$K$21,IF(CE50=Цены!$H$22,Цены!$K$22,IF(CE50=Цены!$H$23,Цены!$K$23,IF(CE50=Цены!$H$24,Цены!$K$24,IF(CE50=Цены!$H$25,Цены!$K$25,IF(CE50=Цены!$H$26,Цены!$K$26,IF(CE50=Цены!$H$27,Цены!$K$27,IF(CE50=Цены!$H$28,Цены!$K$28,IF(CE50=Цены!$H$29,Цены!$K$29,IF(CE50=Цены!$H$30,Цены!$K$30,IF(CE50=Цены!$H$31,Цены!$K$31,IF(CE50=Цены!$H$32,Цены!$K$32,IF(CE50=Цены!$H$33,Цены!$K$33,IF(CE50=Цены!$H$34,Цены!$K$34,IF(CE50=Цены!$H$35,Цены!$K$35,IF(CE50=Цены!$H$36,Цены!$K$36,IF(CE50=Цены!$H$37,Цены!$K$37,IF(CE50=Цены!$H$38,Цены!$K$38,IF(CE50=Цены!$H$39,Цены!$K$39,IF(CE50=Цены!$H$40,Цены!$K$40,IF(CE50=Цены!$H$41,Цены!$K$41,IF(CE50=Цены!$H$42,Цены!$K$42,IF(CE50=Цены!$H$43,Цены!$K$43,IF(CE50=Цены!$H$44,Цены!$K$44,IF(CE50=Цены!$H$45,Цены!$K$45,IF(CE50=Цены!$H$46,Цены!$K$46,IF(CE50=Цены!$H$47,Цены!$K$47,IF(CE50=Цены!$H$48,Цены!$K$48,IF(CE50=Цены!$H$49,Цены!$K$49,IF(CE50=Цены!$H$50,Цены!$K$50,IF(CE50=Цены!$H$51,Цены!$K$51,IF(CE50=Цены!$H$52,Цены!$K$52,IF(CE50=Цены!$H$53,Цены!$K$53,IF(CE50=Цены!$H$54,Цены!$K$54,IF(CE50=Цены!$H$55,Цены!$K$55))))))))))))))))))))))))))))))))))))))))))))))))))))))</f>
        <v>0</v>
      </c>
      <c r="CJ50" s="265"/>
      <c r="CK50" s="265"/>
      <c r="CL50" s="283"/>
      <c r="CM50" s="288"/>
      <c r="CN50" s="288"/>
      <c r="CO50" s="268"/>
      <c r="CP50" s="283"/>
      <c r="CQ50" s="289"/>
    </row>
    <row r="51" spans="1:95" ht="15.75" hidden="1" customHeight="1" x14ac:dyDescent="0.25">
      <c r="A51" s="340" t="s">
        <v>110</v>
      </c>
      <c r="B51" s="265" t="s">
        <v>112</v>
      </c>
      <c r="C51" s="265" t="s">
        <v>113</v>
      </c>
      <c r="D51" s="26" t="s">
        <v>62</v>
      </c>
      <c r="E51" s="25">
        <v>8</v>
      </c>
      <c r="F51" s="27" t="b">
        <f>IF(D51=Цены!$H$3,Цены!$L$3,IF(D51=Цены!$H$4,Цены!$L$4,IF(D51=Цены!$H$5,Цены!$L$5,IF(D51=Цены!$H$6,Цены!$L$6,IF(D51=Цены!$H$7,Цены!$L$7,IF(D51=Цены!$H$8,Цены!$L$8,IF(D51=Цены!$H$9,Цены!$L$9,IF(D51=Цены!$H$10,Цены!$L$10,IF(D51=Цены!$H$11,Цены!$L$11,IF(D51=Цены!$H$12,Цены!$L$12,IF(D51=Цены!$H$13,Цены!$L$13,IF(D51=Цены!$H$14,Цены!$L$14,IF(D51=Цены!$H$14,Цены!$L$14,IF(D51=Цены!$H$15,Цены!$L$15,IF(D51=Цены!$H$16,Цены!$L$16,IF(D51=Цены!$H$17,Цены!$L$17,IF(D51=Цены!$H$18,Цены!$L$18,IF(D51=Цены!$H$19,Цены!$L$19,IF(D51=Цены!$H$20,Цены!$L$20,IF(D51=Цены!$H$21,Цены!$L$21,IF(D51=Цены!$H$22,Цены!$L$22,IF(D51=Цены!$H$23,Цены!$L$23,IF(D51=Цены!$H$24,Цены!$L$24,IF(D51=Цены!$H$25,Цены!$L$25,IF(D51=Цены!$H$26,Цены!$L$26,IF(D51=Цены!$H$27,Цены!$L$27,IF(D51=Цены!$H$28,Цены!$L$28,IF(D51=Цены!$H$29,Цены!$L$29,IF(D51=Цены!$H$30,Цены!$L$30,IF(D51=Цены!$H$31,Цены!$L$31,IF(D51=Цены!$H$32,Цены!$L$32,IF(D51=Цены!$H$33,Цены!$L$33,IF(D51=Цены!$H$34,Цены!$L$34,IF(D51=Цены!$H$35,Цены!$L$35,IF(D51=Цены!$H$36,Цены!$L$36,IF(D51=Цены!$H$37,Цены!$L$37,IF(D51=Цены!$H$38,Цены!$L$38,IF(D51=Цены!$H$39,Цены!$L$39,IF(D51=Цены!$H$40,Цены!$L$40,IF(D51=Цены!$H$41,Цены!$L$41,IF(D51=Цены!$H$42,Цены!$L$42,IF(D51=Цены!$H$43,Цены!$L$43,IF(D51=Цены!$H$44,Цены!$L$44,IF(D51=Цены!$H$45,Цены!$L$45,IF(D51=Цены!$H$46,Цены!$L$46,IF(D51=Цены!$H$47,Цены!$L$47,IF(D51=Цены!$H$48,Цены!$L$48,IF(D51=Цены!$H$49,Цены!$L$49,IF(D51=Цены!$H$50,Цены!$L$50,IF(D51=Цены!$H$51,Цены!$L$51,IF(D51=Цены!$H$52,Цены!$L$52,IF(D51=Цены!$H$53,Цены!$L$53,IF(D51=Цены!$H$54,Цены!$L$54,IF(D51=Цены!$H$55,Цены!$L$55))))))))))))))))))))))))))))))))))))))))))))))))))))))</f>
        <v>0</v>
      </c>
      <c r="G51" s="309">
        <f>E51*F51+E52*F52+E53*F53+E54*F54</f>
        <v>5.7995999999999999</v>
      </c>
      <c r="H51" s="28" t="b">
        <f>IF(D51=Цены!$H$3,Цены!$K$3,IF(D51=Цены!$H$4,Цены!$K$4,IF(D51=Цены!$H$5,Цены!$K$5,IF(D51=Цены!$H$6,Цены!$K$6,IF(D51=Цены!$H$7,Цены!$K$7,IF(D51=Цены!$H$8,Цены!$K$8,IF(D51=Цены!$H$9,Цены!$K$9,IF(D51=Цены!$H$10,Цены!$K$10,IF(D51=Цены!$H$11,Цены!$K$11,IF(D51=Цены!$H$12,Цены!$K$12,IF(D51=Цены!$H$13,Цены!$K$13,IF(D51=Цены!$H$14,Цены!$K$14,IF(D51=Цены!$H$14,Цены!$K$14,IF(D51=Цены!$H$15,Цены!$K$15,IF(D51=Цены!$H$16,Цены!$K$16,IF(D51=Цены!$H$17,Цены!$K$17,IF(D51=Цены!$H$18,Цены!$K$18,IF(D51=Цены!$H$19,Цены!$K$19,IF(D51=Цены!$H$20,Цены!$K$20,IF(D51=Цены!$H$21,Цены!$K$21,IF(D51=Цены!$H$22,Цены!$K$22,IF(D51=Цены!$H$23,Цены!$K$23,IF(D51=Цены!$H$24,Цены!$K$24,IF(D51=Цены!$H$25,Цены!$K$25,IF(D51=Цены!$H$26,Цены!$K$26,IF(D51=Цены!$H$27,Цены!$K$27,IF(D51=Цены!$H$28,Цены!$K$28,IF(D51=Цены!$H$29,Цены!$K$29,IF(D51=Цены!$H$30,Цены!$K$30,IF(D51=Цены!$H$31,Цены!$K$31,IF(D51=Цены!$H$32,Цены!$K$32,IF(D51=Цены!$H$33,Цены!$K$33,IF(D51=Цены!$H$34,Цены!$K$34,IF(D51=Цены!$H$35,Цены!$K$35,IF(D51=Цены!$H$36,Цены!$K$36,IF(D51=Цены!$H$37,Цены!$K$37,IF(D51=Цены!$H$38,Цены!$K$38,IF(D51=Цены!$H$39,Цены!$K$39,IF(D51=Цены!$H$40,Цены!$K$40,IF(D51=Цены!$H$41,Цены!$K$41,IF(D51=Цены!$H$42,Цены!$K$42,IF(D51=Цены!$H$43,Цены!$K$43,IF(D51=Цены!$H$44,Цены!$K$44,IF(D51=Цены!$H$45,Цены!$K$45,IF(D51=Цены!$H$46,Цены!$K$46,IF(D51=Цены!$H$47,Цены!$K$47,IF(D51=Цены!$H$48,Цены!$K$48,IF(D51=Цены!$H$49,Цены!$K$49,IF(D51=Цены!$H$50,Цены!$K$50,IF(D51=Цены!$H$51,Цены!$K$51,IF(D51=Цены!$H$52,Цены!$K$52,IF(D51=Цены!$H$53,Цены!$K$53,IF(D51=Цены!$H$54,Цены!$K$54,IF(D51=Цены!$H$55,Цены!$K$55))))))))))))))))))))))))))))))))))))))))))))))))))))))</f>
        <v>0</v>
      </c>
      <c r="I51" s="265">
        <v>4</v>
      </c>
      <c r="J51" s="265">
        <v>800</v>
      </c>
      <c r="K51" s="310">
        <f t="shared" ref="K51" si="89">E51*H51+E52*H52+E53*H53+E54*H54</f>
        <v>3820</v>
      </c>
      <c r="L51" s="265">
        <f>$I$51*$J$51</f>
        <v>3200</v>
      </c>
      <c r="M51" s="310">
        <f t="shared" ref="M51" si="90">K51+L51</f>
        <v>7020</v>
      </c>
      <c r="N51" s="265">
        <f t="shared" ref="N51" si="91">I51*J51*1.1</f>
        <v>3520.0000000000005</v>
      </c>
      <c r="O51" s="310">
        <f>N51/M51*100</f>
        <v>50.142450142450144</v>
      </c>
      <c r="P51" s="313">
        <f>MROUND(M51+N51,500)</f>
        <v>10500</v>
      </c>
      <c r="Q51" s="123" t="s">
        <v>142</v>
      </c>
      <c r="R51" s="30">
        <v>9</v>
      </c>
      <c r="S51" s="27" t="b">
        <f>IF(Q51=Цены!$H$3,Цены!$L$3,IF(Q51=Цены!$H$4,Цены!$L$4,IF(Q51=Цены!$H$5,Цены!$L$5,IF(Q51=Цены!$H$6,Цены!$L$6,IF(Q51=Цены!$H$7,Цены!$L$7,IF(Q51=Цены!$H$8,Цены!$L$8,IF(Q51=Цены!$H$9,Цены!$L$9,IF(Q51=Цены!$H$10,Цены!$L$10,IF(Q51=Цены!$H$11,Цены!$L$11,IF(Q51=Цены!$H$12,Цены!$L$12,IF(Q51=Цены!$H$13,Цены!$L$13,IF(Q51=Цены!$H$14,Цены!$L$14,IF(Q51=Цены!$H$14,Цены!$L$14,IF(Q51=Цены!$H$15,Цены!$L$15,IF(Q51=Цены!$H$16,Цены!$L$16,IF(Q51=Цены!$H$17,Цены!$L$17,IF(Q51=Цены!$H$18,Цены!$L$18,IF(Q51=Цены!$H$19,Цены!$L$19,IF(Q51=Цены!$H$20,Цены!$L$20,IF(Q51=Цены!$H$21,Цены!$L$21,IF(Q51=Цены!$H$22,Цены!$L$22,IF(Q51=Цены!$H$23,Цены!$L$23,IF(Q51=Цены!$H$24,Цены!$L$24,IF(Q51=Цены!$H$25,Цены!$L$25,IF(Q51=Цены!$H$26,Цены!$L$26,IF(Q51=Цены!$H$27,Цены!$L$27,IF(Q51=Цены!$H$28,Цены!$L$28,IF(Q51=Цены!$H$29,Цены!$L$29,IF(Q51=Цены!$H$30,Цены!$L$30,IF(Q51=Цены!$H$31,Цены!$L$31,IF(Q51=Цены!$H$32,Цены!$L$32,IF(Q51=Цены!$H$33,Цены!$L$33,IF(Q51=Цены!$H$34,Цены!$L$34,IF(Q51=Цены!$H$35,Цены!$L$35,IF(Q51=Цены!$H$36,Цены!$L$36,IF(Q51=Цены!$H$37,Цены!$L$37,IF(Q51=Цены!$H$38,Цены!$L$38,IF(Q51=Цены!$H$39,Цены!$L$39,IF(Q51=Цены!$H$40,Цены!$L$40,IF(Q51=Цены!$H$41,Цены!$L$41,IF(Q51=Цены!$H$42,Цены!$L$42,IF(Q51=Цены!$H$43,Цены!$L$43,IF(Q51=Цены!$H$44,Цены!$L$44,IF(Q51=Цены!$H$45,Цены!$L$45,IF(Q51=Цены!$H$46,Цены!$L$46,IF(Q51=Цены!$H$47,Цены!$L$47,IF(Q51=Цены!$H$48,Цены!$L$48,IF(Q51=Цены!$H$49,Цены!$L$49,IF(Q51=Цены!$H$50,Цены!$L$50,IF(Q51=Цены!$H$51,Цены!$L$51,IF(Q51=Цены!$H$52,Цены!$L$52,IF(Q51=Цены!$H$53,Цены!$L$53,IF(Q51=Цены!$H$54,Цены!$L$54,IF(Q51=Цены!$H$55,Цены!$L$55))))))))))))))))))))))))))))))))))))))))))))))))))))))</f>
        <v>0</v>
      </c>
      <c r="T51" s="309">
        <f>R51*S51+R52*S52+R53*S53+R54*S54</f>
        <v>3.2</v>
      </c>
      <c r="U51" s="162" t="b">
        <f>IF(Q51=Цены!$H$3,Цены!$K$3,IF(Q51=Цены!$H$4,Цены!$K$4,IF(Q51=Цены!$H$5,Цены!$K$5,IF(Q51=Цены!$H$6,Цены!$K$6,IF(Q51=Цены!$H$7,Цены!$K$7,IF(Q51=Цены!$H$8,Цены!$K$8,IF(Q51=Цены!$H$9,Цены!$K$9,IF(Q51=Цены!$H$10,Цены!$K$10,IF(Q51=Цены!$H$11,Цены!$K$11,IF(Q51=Цены!$H$12,Цены!$K$12,IF(Q51=Цены!$H$13,Цены!$K$13,IF(Q51=Цены!$H$14,Цены!$K$14,IF(Q51=Цены!$H$14,Цены!$K$14,IF(Q51=Цены!$H$15,Цены!$K$15,IF(Q51=Цены!$H$16,Цены!$K$16,IF(Q51=Цены!$H$17,Цены!$K$17,IF(Q51=Цены!$H$18,Цены!$K$18,IF(Q51=Цены!$H$19,Цены!$K$19,IF(Q51=Цены!$H$20,Цены!$K$20,IF(Q51=Цены!$H$21,Цены!$K$21,IF(Q51=Цены!$H$22,Цены!$K$22,IF(Q51=Цены!$H$23,Цены!$K$23,IF(Q51=Цены!$H$24,Цены!$K$24,IF(Q51=Цены!$H$25,Цены!$K$25,IF(Q51=Цены!$H$26,Цены!$K$26,IF(Q51=Цены!$H$27,Цены!$K$27,IF(Q51=Цены!$H$28,Цены!$K$28,IF(Q51=Цены!$H$29,Цены!$K$29,IF(Q51=Цены!$H$30,Цены!$K$30,IF(Q51=Цены!$H$31,Цены!$K$31,IF(Q51=Цены!$H$32,Цены!$K$32,IF(Q51=Цены!$H$33,Цены!$K$33,IF(Q51=Цены!$H$34,Цены!$K$34,IF(Q51=Цены!$H$35,Цены!$K$35,IF(Q51=Цены!$H$36,Цены!$K$36,IF(Q51=Цены!$H$37,Цены!$K$37,IF(Q51=Цены!$H$38,Цены!$K$38,IF(Q51=Цены!$H$39,Цены!$K$39,IF(Q51=Цены!$H$40,Цены!$K$40,IF(Q51=Цены!$H$41,Цены!$K$41,IF(Q51=Цены!$H$42,Цены!$K$42,IF(Q51=Цены!$H$43,Цены!$K$43,IF(Q51=Цены!$H$44,Цены!$K$44,IF(Q51=Цены!$H$45,Цены!$K$45,IF(Q51=Цены!$H$46,Цены!$K$46,IF(Q51=Цены!$H$47,Цены!$K$47,IF(Q51=Цены!$H$48,Цены!$K$48,IF(Q51=Цены!$H$49,Цены!$K$49,IF(Q51=Цены!$H$50,Цены!$K$50,IF(Q51=Цены!$H$51,Цены!$K$51,IF(Q51=Цены!$H$52,Цены!$K$52,IF(Q51=Цены!$H$53,Цены!$K$53,IF(Q51=Цены!$H$54,Цены!$K$54,IF(Q51=Цены!$H$55,Цены!$K$55))))))))))))))))))))))))))))))))))))))))))))))))))))))</f>
        <v>0</v>
      </c>
      <c r="V51" s="265">
        <v>4</v>
      </c>
      <c r="W51" s="265">
        <v>800</v>
      </c>
      <c r="X51" s="310">
        <f>R51*U51+R52*U52+R53*U53+R54*U54</f>
        <v>1560</v>
      </c>
      <c r="Y51" s="265">
        <f>V51*W51</f>
        <v>3200</v>
      </c>
      <c r="Z51" s="310">
        <f>X51+Y51</f>
        <v>4760</v>
      </c>
      <c r="AA51" s="265">
        <f>V51*W51*1.1</f>
        <v>3520.0000000000005</v>
      </c>
      <c r="AB51" s="310">
        <f>AA51/Z51*100</f>
        <v>73.949579831932795</v>
      </c>
      <c r="AC51" s="313">
        <f>MROUND(Z51+AA51,500)</f>
        <v>8500</v>
      </c>
      <c r="AD51" s="134" t="s">
        <v>63</v>
      </c>
      <c r="AE51" s="30">
        <v>5</v>
      </c>
      <c r="AF51" s="27" t="b">
        <f>IF(AD51=Цены!$H$3,Цены!$L$3,IF(AD51=Цены!$H$4,Цены!$L$4,IF(AD51=Цены!$H$5,Цены!$L$5,IF(AD51=Цены!$H$6,Цены!$L$6,IF(AD51=Цены!$H$7,Цены!$L$7,IF(AD51=Цены!$H$8,Цены!$L$8,IF(AD51=Цены!$H$9,Цены!$L$9,IF(AD51=Цены!$H$10,Цены!$L$10,IF(AD51=Цены!$H$11,Цены!$L$11,IF(AD51=Цены!$H$12,Цены!$L$12,IF(AD51=Цены!$H$13,Цены!$L$13,IF(AD51=Цены!$H$14,Цены!$L$14,IF(AD51=Цены!$H$14,Цены!$L$14,IF(AD51=Цены!$H$15,Цены!$L$15,IF(AD51=Цены!$H$16,Цены!$L$16,IF(AD51=Цены!$H$17,Цены!$L$17,IF(AD51=Цены!$H$18,Цены!$L$18,IF(AD51=Цены!$H$19,Цены!$L$19,IF(AD51=Цены!$H$20,Цены!$L$20,IF(AD51=Цены!$H$21,Цены!$L$21,IF(AD51=Цены!$H$22,Цены!$L$22,IF(AD51=Цены!$H$23,Цены!$L$23,IF(AD51=Цены!$H$24,Цены!$L$24,IF(AD51=Цены!$H$25,Цены!$L$25,IF(AD51=Цены!$H$26,Цены!$L$26,IF(AD51=Цены!$H$27,Цены!$L$27,IF(AD51=Цены!$H$28,Цены!$L$28,IF(AD51=Цены!$H$29,Цены!$L$29,IF(AD51=Цены!$H$30,Цены!$L$30,IF(AD51=Цены!$H$31,Цены!$L$31,IF(AD51=Цены!$H$32,Цены!$L$32,IF(AD51=Цены!$H$33,Цены!$L$33,IF(AD51=Цены!$H$34,Цены!$L$34,IF(AD51=Цены!$H$35,Цены!$L$35,IF(AD51=Цены!$H$36,Цены!$L$36,IF(AD51=Цены!$H$37,Цены!$L$37,IF(AD51=Цены!$H$38,Цены!$L$38,IF(AD51=Цены!$H$39,Цены!$L$39,IF(AD51=Цены!$H$40,Цены!$L$40,IF(AD51=Цены!$H$41,Цены!$L$41,IF(AD51=Цены!$H$42,Цены!$L$42,IF(AD51=Цены!$H$43,Цены!$L$43,IF(AD51=Цены!$H$44,Цены!$L$44,IF(AD51=Цены!$H$45,Цены!$L$45,IF(AD51=Цены!$H$46,Цены!$L$46,IF(AD51=Цены!$H$47,Цены!$L$47,IF(AD51=Цены!$H$48,Цены!$L$48,IF(AD51=Цены!$H$49,Цены!$L$49,IF(AD51=Цены!$H$50,Цены!$L$50,IF(AD51=Цены!$H$51,Цены!$L$51,IF(AD51=Цены!$H$52,Цены!$L$52,IF(AD51=Цены!$H$53,Цены!$L$53,IF(AD51=Цены!$H$54,Цены!$L$54,IF(AD51=Цены!$H$55,Цены!$L$55))))))))))))))))))))))))))))))))))))))))))))))))))))))</f>
        <v>0</v>
      </c>
      <c r="AG51" s="309">
        <f>AE51*AF51+AE52*AF52+AE53*AF53+AE54*AF54</f>
        <v>14.489999999999998</v>
      </c>
      <c r="AH51" s="28" t="b">
        <f>IF(AD51=Цены!$H$3,Цены!$K$3,IF(AD51=Цены!$H$4,Цены!$K$4,IF(AD51=Цены!$H$5,Цены!$K$5,IF(AD51=Цены!$H$6,Цены!$K$6,IF(AD51=Цены!$H$7,Цены!$K$7,IF(AD51=Цены!$H$8,Цены!$K$8,IF(AD51=Цены!$H$9,Цены!$K$9,IF(AD51=Цены!$H$10,Цены!$K$10,IF(AD51=Цены!$H$11,Цены!$K$11,IF(AD51=Цены!$H$12,Цены!$K$12,IF(AD51=Цены!$H$13,Цены!$K$13,IF(AD51=Цены!$H$14,Цены!$K$14,IF(AD51=Цены!$H$14,Цены!$K$14,IF(AD51=Цены!$H$15,Цены!$K$15,IF(AD51=Цены!$H$16,Цены!$K$16,IF(AD51=Цены!$H$17,Цены!$K$17,IF(AD51=Цены!$H$18,Цены!$K$18,IF(AD51=Цены!$H$19,Цены!$K$19,IF(AD51=Цены!$H$20,Цены!$K$20,IF(AD51=Цены!$H$21,Цены!$K$21,IF(AD51=Цены!$H$22,Цены!$K$22,IF(AD51=Цены!$H$23,Цены!$K$23,IF(AD51=Цены!$H$24,Цены!$K$24,IF(AD51=Цены!$H$25,Цены!$K$25,IF(AD51=Цены!$H$26,Цены!$K$26,IF(AD51=Цены!$H$27,Цены!$K$27,IF(AD51=Цены!$H$28,Цены!$K$28,IF(AD51=Цены!$H$29,Цены!$K$29,IF(AD51=Цены!$H$30,Цены!$K$30,IF(AD51=Цены!$H$31,Цены!$K$31,IF(AD51=Цены!$H$32,Цены!$K$32,IF(AD51=Цены!$H$33,Цены!$K$33,IF(AD51=Цены!$H$34,Цены!$K$34,IF(AD51=Цены!$H$35,Цены!$K$35,IF(AD51=Цены!$H$36,Цены!$K$36,IF(AD51=Цены!$H$37,Цены!$K$37,IF(AD51=Цены!$H$38,Цены!$K$38,IF(AD51=Цены!$H$39,Цены!$K$39,IF(AD51=Цены!$H$40,Цены!$K$40,IF(AD51=Цены!$H$41,Цены!$K$41,IF(AD51=Цены!$H$42,Цены!$K$42,IF(AD51=Цены!$H$43,Цены!$K$43,IF(AD51=Цены!$H$44,Цены!$K$44,IF(AD51=Цены!$H$45,Цены!$K$45,IF(AD51=Цены!$H$46,Цены!$K$46,IF(AD51=Цены!$H$47,Цены!$K$47,IF(AD51=Цены!$H$48,Цены!$K$48,IF(AD51=Цены!$H$49,Цены!$K$49,IF(AD51=Цены!$H$50,Цены!$K$50,IF(AD51=Цены!$H$51,Цены!$K$51,IF(AD51=Цены!$H$52,Цены!$K$52,IF(AD51=Цены!$H$53,Цены!$K$53,IF(AD51=Цены!$H$54,Цены!$K$54,IF(AD51=Цены!$H$55,Цены!$K$55))))))))))))))))))))))))))))))))))))))))))))))))))))))</f>
        <v>0</v>
      </c>
      <c r="AI51" s="265">
        <v>5.5</v>
      </c>
      <c r="AJ51" s="265">
        <v>800</v>
      </c>
      <c r="AK51" s="310">
        <f>AE51*AH51+AE52*AH52+AE53*AH53+AE54*AH54</f>
        <v>4855.5</v>
      </c>
      <c r="AL51" s="265">
        <f>AI51*AJ51</f>
        <v>4400</v>
      </c>
      <c r="AM51" s="310">
        <f>AK51+AL51</f>
        <v>9255.5</v>
      </c>
      <c r="AN51" s="265">
        <f>AI51*AJ51*1.1</f>
        <v>4840</v>
      </c>
      <c r="AO51" s="310">
        <f>AN51/AM51*100</f>
        <v>52.293231051807034</v>
      </c>
      <c r="AP51" s="313">
        <f>MROUND(AM51+AN51,500)</f>
        <v>14000</v>
      </c>
      <c r="AQ51" s="123" t="s">
        <v>142</v>
      </c>
      <c r="AR51" s="129">
        <v>4</v>
      </c>
      <c r="AS51" s="33" t="b">
        <f>IF(AQ51=Цены!$H$3,Цены!$L$3,IF(AQ51=Цены!$H$4,Цены!$L$4,IF(AQ51=Цены!$H$5,Цены!$L$5,IF(AQ51=Цены!$H$6,Цены!$L$6,IF(AQ51=Цены!$H$7,Цены!$L$7,IF(AQ51=Цены!$H$8,Цены!$L$8,IF(AQ51=Цены!$H$9,Цены!$L$9,IF(AQ51=Цены!$H$10,Цены!$L$10,IF(AQ51=Цены!$H$11,Цены!$L$11,IF(AQ51=Цены!$H$12,Цены!$L$12,IF(AQ51=Цены!$H$13,Цены!$L$13,IF(AQ51=Цены!$H$14,Цены!$L$14,IF(AQ51=Цены!$H$14,Цены!$L$14,IF(AQ51=Цены!$H$15,Цены!$L$15,IF(AQ51=Цены!$H$16,Цены!$L$16,IF(AQ51=Цены!$H$17,Цены!$L$17,IF(AQ51=Цены!$H$18,Цены!$L$18,IF(AQ51=Цены!$H$19,Цены!$L$19,IF(AQ51=Цены!$H$20,Цены!$L$20,IF(AQ51=Цены!$H$21,Цены!$L$21,IF(AQ51=Цены!$H$22,Цены!$L$22,IF(AQ51=Цены!$H$23,Цены!$L$23,IF(AQ51=Цены!$H$24,Цены!$L$24,IF(AQ51=Цены!$H$25,Цены!$L$25,IF(AQ51=Цены!$H$26,Цены!$L$26,IF(AQ51=Цены!$H$27,Цены!$L$27,IF(AQ51=Цены!$H$28,Цены!$L$28,IF(AQ51=Цены!$H$29,Цены!$L$29,IF(AQ51=Цены!$H$30,Цены!$L$30,IF(AQ51=Цены!$H$31,Цены!$L$31,IF(AQ51=Цены!$H$32,Цены!$L$32,IF(AQ51=Цены!$H$33,Цены!$L$33,IF(AQ51=Цены!$H$34,Цены!$L$34,IF(AQ51=Цены!$H$35,Цены!$L$35,IF(AQ51=Цены!$H$36,Цены!$L$36,IF(AQ51=Цены!$H$37,Цены!$L$37,IF(AQ51=Цены!$H$38,Цены!$L$38,IF(AQ51=Цены!$H$39,Цены!$L$39,IF(AQ51=Цены!$H$40,Цены!$L$40,IF(AQ51=Цены!$H$41,Цены!$L$41,IF(AQ51=Цены!$H$42,Цены!$L$42,IF(AQ51=Цены!$H$43,Цены!$L$43,IF(AQ51=Цены!$H$44,Цены!$L$44,IF(AQ51=Цены!$H$45,Цены!$L$45,IF(AQ51=Цены!$H$46,Цены!$L$46,IF(AQ51=Цены!$H$47,Цены!$L$47,IF(AQ51=Цены!$H$48,Цены!$L$48,IF(AQ51=Цены!$H$49,Цены!$L$49,IF(AQ51=Цены!$H$50,Цены!$L$50,IF(AQ51=Цены!$H$51,Цены!$L$51,IF(AQ51=Цены!$H$52,Цены!$L$52,IF(AQ51=Цены!$H$53,Цены!$L$53,IF(AQ51=Цены!$H$54,Цены!$L$54,IF(AQ51=Цены!$H$55,Цены!$L$55))))))))))))))))))))))))))))))))))))))))))))))))))))))</f>
        <v>0</v>
      </c>
      <c r="AT51" s="276">
        <f>AR51*AS51+AR52*AS52+AR53*AS53+AR54*AS54</f>
        <v>0.57000000000000006</v>
      </c>
      <c r="AU51" s="34" t="b">
        <f>IF(AQ51=Цены!$H$3,Цены!$K$3,IF(AQ51=Цены!$H$4,Цены!$K$4,IF(AQ51=Цены!$H$5,Цены!$K$5,IF(AQ51=Цены!$H$6,Цены!$K$6,IF(AQ51=Цены!$H$7,Цены!$K$7,IF(AQ51=Цены!$H$8,Цены!$K$8,IF(AQ51=Цены!$H$9,Цены!$K$9,IF(AQ51=Цены!$H$10,Цены!$K$10,IF(AQ51=Цены!$H$11,Цены!$K$11,IF(AQ51=Цены!$H$12,Цены!$K$12,IF(AQ51=Цены!$H$13,Цены!$K$13,IF(AQ51=Цены!$H$14,Цены!$K$14,IF(AQ51=Цены!$H$14,Цены!$K$14,IF(AQ51=Цены!$H$15,Цены!$K$15,IF(AQ51=Цены!$H$16,Цены!$K$16,IF(AQ51=Цены!$H$17,Цены!$K$17,IF(AQ51=Цены!$H$18,Цены!$K$18,IF(AQ51=Цены!$H$19,Цены!$K$19,IF(AQ51=Цены!$H$20,Цены!$K$20,IF(AQ51=Цены!$H$21,Цены!$K$21,IF(AQ51=Цены!$H$22,Цены!$K$22,IF(AQ51=Цены!$H$23,Цены!$K$23,IF(AQ51=Цены!$H$24,Цены!$K$24,IF(AQ51=Цены!$H$25,Цены!$K$25,IF(AQ51=Цены!$H$26,Цены!$K$26,IF(AQ51=Цены!$H$27,Цены!$K$27,IF(AQ51=Цены!$H$28,Цены!$K$28,IF(AQ51=Цены!$H$29,Цены!$K$29,IF(AQ51=Цены!$H$30,Цены!$K$30,IF(AQ51=Цены!$H$31,Цены!$K$31,IF(AQ51=Цены!$H$32,Цены!$K$32,IF(AQ51=Цены!$H$33,Цены!$K$33,IF(AQ51=Цены!$H$34,Цены!$K$34,IF(AQ51=Цены!$H$35,Цены!$K$35,IF(AQ51=Цены!$H$36,Цены!$K$36,IF(AQ51=Цены!$H$37,Цены!$K$37,IF(AQ51=Цены!$H$38,Цены!$K$38,IF(AQ51=Цены!$H$39,Цены!$K$39,IF(AQ51=Цены!$H$40,Цены!$K$40,IF(AQ51=Цены!$H$41,Цены!$K$41,IF(AQ51=Цены!$H$42,Цены!$K$42,IF(AQ51=Цены!$H$43,Цены!$K$43,IF(AQ51=Цены!$H$44,Цены!$K$44,IF(AQ51=Цены!$H$45,Цены!$K$45,IF(AQ51=Цены!$H$46,Цены!$K$46,IF(AQ51=Цены!$H$47,Цены!$K$47,IF(AQ51=Цены!$H$48,Цены!$K$48,IF(AQ51=Цены!$H$49,Цены!$K$49,IF(AQ51=Цены!$H$50,Цены!$K$50,IF(AQ51=Цены!$H$51,Цены!$K$51,IF(AQ51=Цены!$H$52,Цены!$K$52,IF(AQ51=Цены!$H$53,Цены!$K$53,IF(AQ51=Цены!$H$54,Цены!$K$54,IF(AQ51=Цены!$H$55,Цены!$K$55))))))))))))))))))))))))))))))))))))))))))))))))))))))</f>
        <v>0</v>
      </c>
      <c r="AV51" s="265">
        <v>5</v>
      </c>
      <c r="AW51" s="265">
        <v>800</v>
      </c>
      <c r="AX51" s="269">
        <f>AR51*AU51+AR52*AU52+AR53*AU53+AR54*AU54</f>
        <v>1344</v>
      </c>
      <c r="AY51" s="286">
        <f>AV51*AW51</f>
        <v>4000</v>
      </c>
      <c r="AZ51" s="269">
        <f>AX51+AY51</f>
        <v>5344</v>
      </c>
      <c r="BA51" s="265">
        <f>AV51*AW51*1.1</f>
        <v>4400</v>
      </c>
      <c r="BB51" s="269">
        <f>BA51/AZ51*100</f>
        <v>82.335329341317362</v>
      </c>
      <c r="BC51" s="287">
        <f>MROUND(AZ51+BA51,500)</f>
        <v>9500</v>
      </c>
      <c r="BD51" s="258">
        <f t="shared" ref="BD51" si="92">BC51+CQ51</f>
        <v>13000</v>
      </c>
      <c r="BE51" s="123" t="s">
        <v>139</v>
      </c>
      <c r="BF51" s="71">
        <v>3</v>
      </c>
      <c r="BG51" s="33" t="b">
        <f>IF(BE51=Цены!$H$3,Цены!$L$3,IF(BE51=Цены!$H$4,Цены!$L$4,IF(BE51=Цены!$H$5,Цены!$L$5,IF(BE51=Цены!$H$6,Цены!$L$6,IF(BE51=Цены!$H$7,Цены!$L$7,IF(BE51=Цены!$H$8,Цены!$L$8,IF(BE51=Цены!$H$9,Цены!$L$9,IF(BE51=Цены!$H$10,Цены!$L$10,IF(BE51=Цены!$H$11,Цены!$L$11,IF(BE51=Цены!$H$12,Цены!$L$12,IF(BE51=Цены!$H$13,Цены!$L$13,IF(BE51=Цены!$H$14,Цены!$L$14,IF(BE51=Цены!$H$14,Цены!$L$14,IF(BE51=Цены!$H$15,Цены!$L$15,IF(BE51=Цены!$H$16,Цены!$L$16,IF(BE51=Цены!$H$17,Цены!$L$17,IF(BE51=Цены!$H$18,Цены!$L$18,IF(BE51=Цены!$H$19,Цены!$L$19,IF(BE51=Цены!$H$20,Цены!$L$20,IF(BE51=Цены!$H$21,Цены!$L$21,IF(BE51=Цены!$H$22,Цены!$L$22,IF(BE51=Цены!$H$23,Цены!$L$23,IF(BE51=Цены!$H$24,Цены!$L$24,IF(BE51=Цены!$H$25,Цены!$L$25,IF(BE51=Цены!$H$26,Цены!$L$26,IF(BE51=Цены!$H$27,Цены!$L$27,IF(BE51=Цены!$H$28,Цены!$L$28,IF(BE51=Цены!$H$29,Цены!$L$29,IF(BE51=Цены!$H$30,Цены!$L$30,IF(BE51=Цены!$H$31,Цены!$L$31,IF(BE51=Цены!$H$32,Цены!$L$32,IF(BE51=Цены!$H$33,Цены!$L$33,IF(BE51=Цены!$H$34,Цены!$L$34,IF(BE51=Цены!$H$35,Цены!$L$35,IF(BE51=Цены!$H$36,Цены!$L$36,IF(BE51=Цены!$H$37,Цены!$L$37,IF(BE51=Цены!$H$38,Цены!$L$38,IF(BE51=Цены!$H$39,Цены!$L$39,IF(BE51=Цены!$H$40,Цены!$L$40,IF(BE51=Цены!$H$41,Цены!$L$41,IF(BE51=Цены!$H$42,Цены!$L$42,IF(BE51=Цены!$H$43,Цены!$L$43,IF(BE51=Цены!$H$44,Цены!$L$44,IF(BE51=Цены!$H$45,Цены!$L$45,IF(BE51=Цены!$H$46,Цены!$L$46,IF(BE51=Цены!$H$47,Цены!$L$47,IF(BE51=Цены!$H$48,Цены!$L$48,IF(BE51=Цены!$H$49,Цены!$L$49,IF(BE51=Цены!$H$50,Цены!$L$50,IF(BE51=Цены!$H$51,Цены!$L$51,IF(BE51=Цены!$H$52,Цены!$L$52,IF(BE51=Цены!$H$53,Цены!$L$53,IF(BE51=Цены!$H$54,Цены!$L$54,IF(BE51=Цены!$H$55,Цены!$L$55))))))))))))))))))))))))))))))))))))))))))))))))))))))</f>
        <v>0</v>
      </c>
      <c r="BH51" s="276">
        <f>BF51*BG51+BF52*BG52+BF53*BG53+BF54*BG54</f>
        <v>0.38</v>
      </c>
      <c r="BI51" s="34" t="b">
        <f>IF(BE51=Цены!$H$3,Цены!$K$3,IF(BE51=Цены!$H$4,Цены!$K$4,IF(BE51=Цены!$H$5,Цены!$K$5,IF(BE51=Цены!$H$6,Цены!$K$6,IF(BE51=Цены!$H$7,Цены!$K$7,IF(BE51=Цены!$H$8,Цены!$K$8,IF(BE51=Цены!$H$9,Цены!$K$9,IF(BE51=Цены!$H$10,Цены!$K$10,IF(BE51=Цены!$H$11,Цены!$K$11,IF(BE51=Цены!$H$12,Цены!$K$12,IF(BE51=Цены!$H$13,Цены!$K$13,IF(BE51=Цены!$H$14,Цены!$K$14,IF(BE51=Цены!$H$14,Цены!$K$14,IF(BE51=Цены!$H$15,Цены!$K$15,IF(BE51=Цены!$H$16,Цены!$K$16,IF(BE51=Цены!$H$17,Цены!$K$17,IF(BE51=Цены!$H$18,Цены!$K$18,IF(BE51=Цены!$H$19,Цены!$K$19,IF(BE51=Цены!$H$20,Цены!$K$20,IF(BE51=Цены!$H$21,Цены!$K$21,IF(BE51=Цены!$H$22,Цены!$K$22,IF(BE51=Цены!$H$23,Цены!$K$23,IF(BE51=Цены!$H$24,Цены!$K$24,IF(BE51=Цены!$H$25,Цены!$K$25,IF(BE51=Цены!$H$26,Цены!$K$26,IF(BE51=Цены!$H$27,Цены!$K$27,IF(BE51=Цены!$H$28,Цены!$K$28,IF(BE51=Цены!$H$29,Цены!$K$29,IF(BE51=Цены!$H$30,Цены!$K$30,IF(BE51=Цены!$H$31,Цены!$K$31,IF(BE51=Цены!$H$32,Цены!$K$32,IF(BE51=Цены!$H$33,Цены!$K$33,IF(BE51=Цены!$H$34,Цены!$K$34,IF(BE51=Цены!$H$35,Цены!$K$35,IF(BE51=Цены!$H$36,Цены!$K$36,IF(BE51=Цены!$H$37,Цены!$K$37,IF(BE51=Цены!$H$38,Цены!$K$38,IF(BE51=Цены!$H$39,Цены!$K$39,IF(BE51=Цены!$H$40,Цены!$K$40,IF(BE51=Цены!$H$41,Цены!$K$41,IF(BE51=Цены!$H$42,Цены!$K$42,IF(BE51=Цены!$H$43,Цены!$K$43,IF(BE51=Цены!$H$44,Цены!$K$44,IF(BE51=Цены!$H$45,Цены!$K$45,IF(BE51=Цены!$H$46,Цены!$K$46,IF(BE51=Цены!$H$47,Цены!$K$47,IF(BE51=Цены!$H$48,Цены!$K$48,IF(BE51=Цены!$H$49,Цены!$K$49,IF(BE51=Цены!$H$50,Цены!$K$50,IF(BE51=Цены!$H$51,Цены!$K$51,IF(BE51=Цены!$H$52,Цены!$K$52,IF(BE51=Цены!$H$53,Цены!$K$53,IF(BE51=Цены!$H$54,Цены!$K$54,IF(BE51=Цены!$H$55,Цены!$K$55))))))))))))))))))))))))))))))))))))))))))))))))))))))</f>
        <v>0</v>
      </c>
      <c r="BJ51" s="265">
        <v>4.5</v>
      </c>
      <c r="BK51" s="265">
        <v>800</v>
      </c>
      <c r="BL51" s="269">
        <f>BF51*BI51+BF52*BI52+BF53*BI53+BF54*BI54</f>
        <v>896</v>
      </c>
      <c r="BM51" s="286">
        <f>BJ51*BK51</f>
        <v>3600</v>
      </c>
      <c r="BN51" s="269">
        <f>BL51+BM51</f>
        <v>4496</v>
      </c>
      <c r="BO51" s="268">
        <f>BJ51*BK51*1.1</f>
        <v>3960.0000000000005</v>
      </c>
      <c r="BP51" s="269">
        <f>BO51/BN51*100</f>
        <v>88.078291814946624</v>
      </c>
      <c r="BQ51" s="287">
        <f>MROUND(BN51+BO51,500)</f>
        <v>8500</v>
      </c>
      <c r="BR51" s="134" t="s">
        <v>62</v>
      </c>
      <c r="BS51" s="43">
        <v>3</v>
      </c>
      <c r="BT51" s="33" t="b">
        <f>IF(BR51=Цены!$H$3,Цены!$L$3,IF(BR51=Цены!$H$4,Цены!$L$4,IF(BR51=Цены!$H$5,Цены!$L$5,IF(BR51=Цены!$H$6,Цены!$L$6,IF(BR51=Цены!$H$7,Цены!$L$7,IF(BR51=Цены!$H$8,Цены!$L$8,IF(BR51=Цены!$H$9,Цены!$L$9,IF(BR51=Цены!$H$10,Цены!$L$10,IF(BR51=Цены!$H$11,Цены!$L$11,IF(BR51=Цены!$H$12,Цены!$L$12,IF(BR51=Цены!$H$13,Цены!$L$13,IF(BR51=Цены!$H$14,Цены!$L$14,IF(BR51=Цены!$H$14,Цены!$L$14,IF(BR51=Цены!$H$15,Цены!$L$15,IF(BR51=Цены!$H$16,Цены!$L$16,IF(BR51=Цены!$H$17,Цены!$L$17,IF(BR51=Цены!$H$18,Цены!$L$18,IF(BR51=Цены!$H$19,Цены!$L$19,IF(BR51=Цены!$H$20,Цены!$L$20,IF(BR51=Цены!$H$21,Цены!$L$21,IF(BR51=Цены!$H$22,Цены!$L$22,IF(BR51=Цены!$H$23,Цены!$L$23,IF(BR51=Цены!$H$24,Цены!$L$24,IF(BR51=Цены!$H$25,Цены!$L$25,IF(BR51=Цены!$H$26,Цены!$L$26,IF(BR51=Цены!$H$27,Цены!$L$27,IF(BR51=Цены!$H$28,Цены!$L$28,IF(BR51=Цены!$H$29,Цены!$L$29,IF(BR51=Цены!$H$30,Цены!$L$30,IF(BR51=Цены!$H$31,Цены!$L$31,IF(BR51=Цены!$H$32,Цены!$L$32,IF(BR51=Цены!$H$33,Цены!$L$33,IF(BR51=Цены!$H$34,Цены!$L$34,IF(BR51=Цены!$H$35,Цены!$L$35,IF(BR51=Цены!$H$36,Цены!$L$36,IF(BR51=Цены!$H$37,Цены!$L$37,IF(BR51=Цены!$H$38,Цены!$L$38,IF(BR51=Цены!$H$39,Цены!$L$39,IF(BR51=Цены!$H$40,Цены!$L$40,IF(BR51=Цены!$H$41,Цены!$L$41,IF(BR51=Цены!$H$42,Цены!$L$42,IF(BR51=Цены!$H$43,Цены!$L$43,IF(BR51=Цены!$H$44,Цены!$L$44,IF(BR51=Цены!$H$45,Цены!$L$45,IF(BR51=Цены!$H$46,Цены!$L$46,IF(BR51=Цены!$H$47,Цены!$L$47,IF(BR51=Цены!$H$48,Цены!$L$48,IF(BR51=Цены!$H$49,Цены!$L$49,IF(BR51=Цены!$H$50,Цены!$L$50,IF(BR51=Цены!$H$51,Цены!$L$51,IF(BR51=Цены!$H$52,Цены!$L$52,IF(BR51=Цены!$H$53,Цены!$L$53,IF(BR51=Цены!$H$54,Цены!$L$54,IF(BR51=Цены!$H$55,Цены!$L$55))))))))))))))))))))))))))))))))))))))))))))))))))))))</f>
        <v>0</v>
      </c>
      <c r="BU51" s="276">
        <f>BS51*BT51+BS52*BT52+BS53*BT53+BS54*BT54</f>
        <v>1.7999999999999998</v>
      </c>
      <c r="BV51" s="34" t="b">
        <f>IF(BR51=Цены!$H$3,Цены!$K$3,IF(BR51=Цены!$H$4,Цены!$K$4,IF(BR51=Цены!$H$5,Цены!$K$5,IF(BR51=Цены!$H$6,Цены!$K$6,IF(BR51=Цены!$H$7,Цены!$K$7,IF(BR51=Цены!$H$8,Цены!$K$8,IF(BR51=Цены!$H$9,Цены!$K$9,IF(BR51=Цены!$H$10,Цены!$K$10,IF(BR51=Цены!$H$11,Цены!$K$11,IF(BR51=Цены!$H$12,Цены!$K$12,IF(BR51=Цены!$H$13,Цены!$K$13,IF(BR51=Цены!$H$14,Цены!$K$14,IF(BR51=Цены!$H$14,Цены!$K$14,IF(BR51=Цены!$H$15,Цены!$K$15,IF(BR51=Цены!$H$16,Цены!$K$16,IF(BR51=Цены!$H$17,Цены!$K$17,IF(BR51=Цены!$H$18,Цены!$K$18,IF(BR51=Цены!$H$19,Цены!$K$19,IF(BR51=Цены!$H$20,Цены!$K$20,IF(BR51=Цены!$H$21,Цены!$K$21,IF(BR51=Цены!$H$22,Цены!$K$22,IF(BR51=Цены!$H$23,Цены!$K$23,IF(BR51=Цены!$H$24,Цены!$K$24,IF(BR51=Цены!$H$25,Цены!$K$25,IF(BR51=Цены!$H$26,Цены!$K$26,IF(BR51=Цены!$H$27,Цены!$K$27,IF(BR51=Цены!$H$28,Цены!$K$28,IF(BR51=Цены!$H$29,Цены!$K$29,IF(BR51=Цены!$H$30,Цены!$K$30,IF(BR51=Цены!$H$31,Цены!$K$31,IF(BR51=Цены!$H$32,Цены!$K$32,IF(BR51=Цены!$H$33,Цены!$K$33,IF(BR51=Цены!$H$34,Цены!$K$34,IF(BR51=Цены!$H$35,Цены!$K$35,IF(BR51=Цены!$H$36,Цены!$K$36,IF(BR51=Цены!$H$37,Цены!$K$37,IF(BR51=Цены!$H$38,Цены!$K$38,IF(BR51=Цены!$H$39,Цены!$K$39,IF(BR51=Цены!$H$40,Цены!$K$40,IF(BR51=Цены!$H$41,Цены!$K$41,IF(BR51=Цены!$H$42,Цены!$K$42,IF(BR51=Цены!$H$43,Цены!$K$43,IF(BR51=Цены!$H$44,Цены!$K$44,IF(BR51=Цены!$H$45,Цены!$K$45,IF(BR51=Цены!$H$46,Цены!$K$46,IF(BR51=Цены!$H$47,Цены!$K$47,IF(BR51=Цены!$H$48,Цены!$K$48,IF(BR51=Цены!$H$49,Цены!$K$49,IF(BR51=Цены!$H$50,Цены!$K$50,IF(BR51=Цены!$H$51,Цены!$K$51,IF(BR51=Цены!$H$52,Цены!$K$52,IF(BR51=Цены!$H$53,Цены!$K$53,IF(BR51=Цены!$H$54,Цены!$K$54,IF(BR51=Цены!$H$55,Цены!$K$55))))))))))))))))))))))))))))))))))))))))))))))))))))))</f>
        <v>0</v>
      </c>
      <c r="BW51" s="265">
        <v>1</v>
      </c>
      <c r="BX51" s="265">
        <v>800</v>
      </c>
      <c r="BY51" s="269">
        <f>BS51*BV51+BS52*BV52+BS53*BV53+BS54*BV54</f>
        <v>498</v>
      </c>
      <c r="BZ51" s="286">
        <f>BW51*BX51</f>
        <v>800</v>
      </c>
      <c r="CA51" s="269">
        <f>BY51+BZ51</f>
        <v>1298</v>
      </c>
      <c r="CB51" s="268">
        <f>BW51*BX51*1.1</f>
        <v>880.00000000000011</v>
      </c>
      <c r="CC51" s="269">
        <f>CB51/CA51*100</f>
        <v>67.79661016949153</v>
      </c>
      <c r="CD51" s="287">
        <f>MROUND(CA51+CB51,500)</f>
        <v>2000</v>
      </c>
      <c r="CE51" s="117" t="s">
        <v>62</v>
      </c>
      <c r="CF51" s="43">
        <v>2</v>
      </c>
      <c r="CG51" s="33" t="b">
        <f>IF(CE51=Цены!$H$3,Цены!$L$3,IF(CE51=Цены!$H$4,Цены!$L$4,IF(CE51=Цены!$H$5,Цены!$L$5,IF(CE51=Цены!$H$6,Цены!$L$6,IF(CE51=Цены!$H$7,Цены!$L$7,IF(CE51=Цены!$H$8,Цены!$L$8,IF(CE51=Цены!$H$9,Цены!$L$9,IF(CE51=Цены!$H$10,Цены!$L$10,IF(CE51=Цены!$H$11,Цены!$L$11,IF(CE51=Цены!$H$12,Цены!$L$12,IF(CE51=Цены!$H$13,Цены!$L$13,IF(CE51=Цены!$H$14,Цены!$L$14,IF(CE51=Цены!$H$14,Цены!$L$14,IF(CE51=Цены!$H$15,Цены!$L$15,IF(CE51=Цены!$H$16,Цены!$L$16,IF(CE51=Цены!$H$17,Цены!$L$17,IF(CE51=Цены!$H$18,Цены!$L$18,IF(CE51=Цены!$H$19,Цены!$L$19,IF(CE51=Цены!$H$20,Цены!$L$20,IF(CE51=Цены!$H$21,Цены!$L$21,IF(CE51=Цены!$H$22,Цены!$L$22,IF(CE51=Цены!$H$23,Цены!$L$23,IF(CE51=Цены!$H$24,Цены!$L$24,IF(CE51=Цены!$H$25,Цены!$L$25,IF(CE51=Цены!$H$26,Цены!$L$26,IF(CE51=Цены!$H$27,Цены!$L$27,IF(CE51=Цены!$H$28,Цены!$L$28,IF(CE51=Цены!$H$29,Цены!$L$29,IF(CE51=Цены!$H$30,Цены!$L$30,IF(CE51=Цены!$H$31,Цены!$L$31,IF(CE51=Цены!$H$32,Цены!$L$32,IF(CE51=Цены!$H$33,Цены!$L$33,IF(CE51=Цены!$H$34,Цены!$L$34,IF(CE51=Цены!$H$35,Цены!$L$35,IF(CE51=Цены!$H$36,Цены!$L$36,IF(CE51=Цены!$H$37,Цены!$L$37,IF(CE51=Цены!$H$38,Цены!$L$38,IF(CE51=Цены!$H$39,Цены!$L$39,IF(CE51=Цены!$H$40,Цены!$L$40,IF(CE51=Цены!$H$41,Цены!$L$41,IF(CE51=Цены!$H$42,Цены!$L$42,IF(CE51=Цены!$H$43,Цены!$L$43,IF(CE51=Цены!$H$44,Цены!$L$44,IF(CE51=Цены!$H$45,Цены!$L$45,IF(CE51=Цены!$H$46,Цены!$L$46,IF(CE51=Цены!$H$47,Цены!$L$47,IF(CE51=Цены!$H$48,Цены!$L$48,IF(CE51=Цены!$H$49,Цены!$L$49,IF(CE51=Цены!$H$50,Цены!$L$50,IF(CE51=Цены!$H$51,Цены!$L$51,IF(CE51=Цены!$H$52,Цены!$L$52,IF(CE51=Цены!$H$53,Цены!$L$53,IF(CE51=Цены!$H$54,Цены!$L$54,IF(CE51=Цены!$H$55,Цены!$L$55))))))))))))))))))))))))))))))))))))))))))))))))))))))</f>
        <v>0</v>
      </c>
      <c r="CH51" s="276">
        <f>CF51*CG51+CF52*CG52+CF53*CG53+CF54*CG54</f>
        <v>1.2132000000000001</v>
      </c>
      <c r="CI51" s="34" t="b">
        <f>IF(CE51=Цены!$H$3,Цены!$K$3,IF(CE51=Цены!$H$4,Цены!$K$4,IF(CE51=Цены!$H$5,Цены!$K$5,IF(CE51=Цены!$H$6,Цены!$K$6,IF(CE51=Цены!$H$7,Цены!$K$7,IF(CE51=Цены!$H$8,Цены!$K$8,IF(CE51=Цены!$H$9,Цены!$K$9,IF(CE51=Цены!$H$10,Цены!$K$10,IF(CE51=Цены!$H$11,Цены!$K$11,IF(CE51=Цены!$H$12,Цены!$K$12,IF(CE51=Цены!$H$13,Цены!$K$13,IF(CE51=Цены!$H$14,Цены!$K$14,IF(CE51=Цены!$H$14,Цены!$K$14,IF(CE51=Цены!$H$15,Цены!$K$15,IF(CE51=Цены!$H$16,Цены!$K$16,IF(CE51=Цены!$H$17,Цены!$K$17,IF(CE51=Цены!$H$18,Цены!$K$18,IF(CE51=Цены!$H$19,Цены!$K$19,IF(CE51=Цены!$H$20,Цены!$K$20,IF(CE51=Цены!$H$21,Цены!$K$21,IF(CE51=Цены!$H$22,Цены!$K$22,IF(CE51=Цены!$H$23,Цены!$K$23,IF(CE51=Цены!$H$24,Цены!$K$24,IF(CE51=Цены!$H$25,Цены!$K$25,IF(CE51=Цены!$H$26,Цены!$K$26,IF(CE51=Цены!$H$27,Цены!$K$27,IF(CE51=Цены!$H$28,Цены!$K$28,IF(CE51=Цены!$H$29,Цены!$K$29,IF(CE51=Цены!$H$30,Цены!$K$30,IF(CE51=Цены!$H$31,Цены!$K$31,IF(CE51=Цены!$H$32,Цены!$K$32,IF(CE51=Цены!$H$33,Цены!$K$33,IF(CE51=Цены!$H$34,Цены!$K$34,IF(CE51=Цены!$H$35,Цены!$K$35,IF(CE51=Цены!$H$36,Цены!$K$36,IF(CE51=Цены!$H$37,Цены!$K$37,IF(CE51=Цены!$H$38,Цены!$K$38,IF(CE51=Цены!$H$39,Цены!$K$39,IF(CE51=Цены!$H$40,Цены!$K$40,IF(CE51=Цены!$H$41,Цены!$K$41,IF(CE51=Цены!$H$42,Цены!$K$42,IF(CE51=Цены!$H$43,Цены!$K$43,IF(CE51=Цены!$H$44,Цены!$K$44,IF(CE51=Цены!$H$45,Цены!$K$45,IF(CE51=Цены!$H$46,Цены!$K$46,IF(CE51=Цены!$H$47,Цены!$K$47,IF(CE51=Цены!$H$48,Цены!$K$48,IF(CE51=Цены!$H$49,Цены!$K$49,IF(CE51=Цены!$H$50,Цены!$K$50,IF(CE51=Цены!$H$51,Цены!$K$51,IF(CE51=Цены!$H$52,Цены!$K$52,IF(CE51=Цены!$H$53,Цены!$K$53,IF(CE51=Цены!$H$54,Цены!$K$54,IF(CE51=Цены!$H$55,Цены!$K$55))))))))))))))))))))))))))))))))))))))))))))))))))))))</f>
        <v>0</v>
      </c>
      <c r="CJ51" s="265">
        <v>2</v>
      </c>
      <c r="CK51" s="265">
        <v>800</v>
      </c>
      <c r="CL51" s="269">
        <f>CF51*CI51+CF52*CI52+CF53*CI53+CF54*CI54</f>
        <v>386</v>
      </c>
      <c r="CM51" s="286">
        <f>CJ51*CK51</f>
        <v>1600</v>
      </c>
      <c r="CN51" s="269">
        <f>CL51+CM51</f>
        <v>1986</v>
      </c>
      <c r="CO51" s="268">
        <f>CJ51*CK51*1.1</f>
        <v>1760.0000000000002</v>
      </c>
      <c r="CP51" s="269">
        <f>CO51/CN51*100</f>
        <v>88.620342396777446</v>
      </c>
      <c r="CQ51" s="287">
        <f>MROUND(CN51+CO51,500)</f>
        <v>3500</v>
      </c>
    </row>
    <row r="52" spans="1:95" ht="15.75" hidden="1" customHeight="1" x14ac:dyDescent="0.25">
      <c r="A52" s="341"/>
      <c r="B52" s="265"/>
      <c r="C52" s="265"/>
      <c r="D52" s="26" t="s">
        <v>122</v>
      </c>
      <c r="E52" s="25">
        <v>7</v>
      </c>
      <c r="F52" s="27">
        <f>IF(D52=Цены!$H$3,Цены!$L$3,IF(D52=Цены!$H$4,Цены!$L$4,IF(D52=Цены!$H$5,Цены!$L$5,IF(D52=Цены!$H$6,Цены!$L$6,IF(D52=Цены!$H$7,Цены!$L$7,IF(D52=Цены!$H$8,Цены!$L$8,IF(D52=Цены!$H$9,Цены!$L$9,IF(D52=Цены!$H$10,Цены!$L$10,IF(D52=Цены!$H$11,Цены!$L$11,IF(D52=Цены!$H$12,Цены!$L$12,IF(D52=Цены!$H$13,Цены!$L$13,IF(D52=Цены!$H$14,Цены!$L$14,IF(D52=Цены!$H$14,Цены!$L$14,IF(D52=Цены!$H$15,Цены!$L$15,IF(D52=Цены!$H$16,Цены!$L$16,IF(D52=Цены!$H$17,Цены!$L$17,IF(D52=Цены!$H$18,Цены!$L$18,IF(D52=Цены!$H$19,Цены!$L$19,IF(D52=Цены!$H$20,Цены!$L$20,IF(D52=Цены!$H$21,Цены!$L$21,IF(D52=Цены!$H$22,Цены!$L$22,IF(D52=Цены!$H$23,Цены!$L$23,IF(D52=Цены!$H$24,Цены!$L$24,IF(D52=Цены!$H$25,Цены!$L$25,IF(D52=Цены!$H$26,Цены!$L$26,IF(D52=Цены!$H$27,Цены!$L$27,IF(D52=Цены!$H$28,Цены!$L$28,IF(D52=Цены!$H$29,Цены!$L$29,IF(D52=Цены!$H$30,Цены!$L$30,IF(D52=Цены!$H$31,Цены!$L$31,IF(D52=Цены!$H$32,Цены!$L$32,IF(D52=Цены!$H$33,Цены!$L$33,IF(D52=Цены!$H$34,Цены!$L$34,IF(D52=Цены!$H$35,Цены!$L$35,IF(D52=Цены!$H$36,Цены!$L$36,IF(D52=Цены!$H$37,Цены!$L$37,IF(D52=Цены!$H$38,Цены!$L$38,IF(D52=Цены!$H$39,Цены!$L$39,IF(D52=Цены!$H$40,Цены!$L$40,IF(D52=Цены!$H$41,Цены!$L$41,IF(D52=Цены!$H$42,Цены!$L$42,IF(D52=Цены!$H$43,Цены!$L$43,IF(D52=Цены!$H$44,Цены!$L$44,IF(D52=Цены!$H$45,Цены!$L$45,IF(D52=Цены!$H$46,Цены!$L$46,IF(D52=Цены!$H$47,Цены!$L$47,IF(D52=Цены!$H$48,Цены!$L$48,IF(D52=Цены!$H$49,Цены!$L$49,IF(D52=Цены!$H$50,Цены!$L$50,IF(D52=Цены!$H$51,Цены!$L$51,IF(D52=Цены!$H$52,Цены!$L$52,IF(D52=Цены!$H$53,Цены!$L$53,IF(D52=Цены!$H$54,Цены!$L$54,IF(D52=Цены!$H$55,Цены!$L$55))))))))))))))))))))))))))))))))))))))))))))))))))))))</f>
        <v>0.6</v>
      </c>
      <c r="G52" s="309"/>
      <c r="H52" s="28">
        <f>IF(D52=Цены!$H$3,Цены!$K$3,IF(D52=Цены!$H$4,Цены!$K$4,IF(D52=Цены!$H$5,Цены!$K$5,IF(D52=Цены!$H$6,Цены!$K$6,IF(D52=Цены!$H$7,Цены!$K$7,IF(D52=Цены!$H$8,Цены!$K$8,IF(D52=Цены!$H$9,Цены!$K$9,IF(D52=Цены!$H$10,Цены!$K$10,IF(D52=Цены!$H$11,Цены!$K$11,IF(D52=Цены!$H$12,Цены!$K$12,IF(D52=Цены!$H$13,Цены!$K$13,IF(D52=Цены!$H$14,Цены!$K$14,IF(D52=Цены!$H$14,Цены!$K$14,IF(D52=Цены!$H$15,Цены!$K$15,IF(D52=Цены!$H$16,Цены!$K$16,IF(D52=Цены!$H$17,Цены!$K$17,IF(D52=Цены!$H$18,Цены!$K$18,IF(D52=Цены!$H$19,Цены!$K$19,IF(D52=Цены!$H$20,Цены!$K$20,IF(D52=Цены!$H$21,Цены!$K$21,IF(D52=Цены!$H$22,Цены!$K$22,IF(D52=Цены!$H$23,Цены!$K$23,IF(D52=Цены!$H$24,Цены!$K$24,IF(D52=Цены!$H$25,Цены!$K$25,IF(D52=Цены!$H$26,Цены!$K$26,IF(D52=Цены!$H$27,Цены!$K$27,IF(D52=Цены!$H$28,Цены!$K$28,IF(D52=Цены!$H$29,Цены!$K$29,IF(D52=Цены!$H$30,Цены!$K$30,IF(D52=Цены!$H$31,Цены!$K$31,IF(D52=Цены!$H$32,Цены!$K$32,IF(D52=Цены!$H$33,Цены!$K$33,IF(D52=Цены!$H$34,Цены!$K$34,IF(D52=Цены!$H$35,Цены!$K$35,IF(D52=Цены!$H$36,Цены!$K$36,IF(D52=Цены!$H$37,Цены!$K$37,IF(D52=Цены!$H$38,Цены!$K$38,IF(D52=Цены!$H$39,Цены!$K$39,IF(D52=Цены!$H$40,Цены!$K$40,IF(D52=Цены!$H$41,Цены!$K$41,IF(D52=Цены!$H$42,Цены!$K$42,IF(D52=Цены!$H$43,Цены!$K$43,IF(D52=Цены!$H$44,Цены!$K$44,IF(D52=Цены!$H$45,Цены!$K$45,IF(D52=Цены!$H$46,Цены!$K$46,IF(D52=Цены!$H$47,Цены!$K$47,IF(D52=Цены!$H$48,Цены!$K$48,IF(D52=Цены!$H$49,Цены!$K$49,IF(D52=Цены!$H$50,Цены!$K$50,IF(D52=Цены!$H$51,Цены!$K$51,IF(D52=Цены!$H$52,Цены!$K$52,IF(D52=Цены!$H$53,Цены!$K$53,IF(D52=Цены!$H$54,Цены!$K$54,IF(D52=Цены!$H$55,Цены!$K$55))))))))))))))))))))))))))))))))))))))))))))))))))))))</f>
        <v>166</v>
      </c>
      <c r="I52" s="265"/>
      <c r="J52" s="265"/>
      <c r="K52" s="310"/>
      <c r="L52" s="265"/>
      <c r="M52" s="265"/>
      <c r="N52" s="265"/>
      <c r="O52" s="310"/>
      <c r="P52" s="313"/>
      <c r="Q52" s="123" t="s">
        <v>80</v>
      </c>
      <c r="R52" s="30">
        <v>5</v>
      </c>
      <c r="S52" s="27">
        <f>IF(Q52=Цены!$H$3,Цены!$L$3,IF(Q52=Цены!$H$4,Цены!$L$4,IF(Q52=Цены!$H$5,Цены!$L$5,IF(Q52=Цены!$H$6,Цены!$L$6,IF(Q52=Цены!$H$7,Цены!$L$7,IF(Q52=Цены!$H$8,Цены!$L$8,IF(Q52=Цены!$H$9,Цены!$L$9,IF(Q52=Цены!$H$10,Цены!$L$10,IF(Q52=Цены!$H$11,Цены!$L$11,IF(Q52=Цены!$H$12,Цены!$L$12,IF(Q52=Цены!$H$13,Цены!$L$13,IF(Q52=Цены!$H$14,Цены!$L$14,IF(Q52=Цены!$H$14,Цены!$L$14,IF(Q52=Цены!$H$15,Цены!$L$15,IF(Q52=Цены!$H$16,Цены!$L$16,IF(Q52=Цены!$H$17,Цены!$L$17,IF(Q52=Цены!$H$18,Цены!$L$18,IF(Q52=Цены!$H$19,Цены!$L$19,IF(Q52=Цены!$H$20,Цены!$L$20,IF(Q52=Цены!$H$21,Цены!$L$21,IF(Q52=Цены!$H$22,Цены!$L$22,IF(Q52=Цены!$H$23,Цены!$L$23,IF(Q52=Цены!$H$24,Цены!$L$24,IF(Q52=Цены!$H$25,Цены!$L$25,IF(Q52=Цены!$H$26,Цены!$L$26,IF(Q52=Цены!$H$27,Цены!$L$27,IF(Q52=Цены!$H$28,Цены!$L$28,IF(Q52=Цены!$H$29,Цены!$L$29,IF(Q52=Цены!$H$30,Цены!$L$30,IF(Q52=Цены!$H$31,Цены!$L$31,IF(Q52=Цены!$H$32,Цены!$L$32,IF(Q52=Цены!$H$33,Цены!$L$33,IF(Q52=Цены!$H$34,Цены!$L$34,IF(Q52=Цены!$H$35,Цены!$L$35,IF(Q52=Цены!$H$36,Цены!$L$36,IF(Q52=Цены!$H$37,Цены!$L$37,IF(Q52=Цены!$H$38,Цены!$L$38,IF(Q52=Цены!$H$39,Цены!$L$39,IF(Q52=Цены!$H$40,Цены!$L$40,IF(Q52=Цены!$H$41,Цены!$L$41,IF(Q52=Цены!$H$42,Цены!$L$42,IF(Q52=Цены!$H$43,Цены!$L$43,IF(Q52=Цены!$H$44,Цены!$L$44,IF(Q52=Цены!$H$45,Цены!$L$45,IF(Q52=Цены!$H$46,Цены!$L$46,IF(Q52=Цены!$H$47,Цены!$L$47,IF(Q52=Цены!$H$48,Цены!$L$48,IF(Q52=Цены!$H$49,Цены!$L$49,IF(Q52=Цены!$H$50,Цены!$L$50,IF(Q52=Цены!$H$51,Цены!$L$51,IF(Q52=Цены!$H$52,Цены!$L$52,IF(Q52=Цены!$H$53,Цены!$L$53,IF(Q52=Цены!$H$54,Цены!$L$54,IF(Q52=Цены!$H$55,Цены!$L$55))))))))))))))))))))))))))))))))))))))))))))))))))))))</f>
        <v>0.64</v>
      </c>
      <c r="T52" s="309"/>
      <c r="U52" s="162">
        <f>IF(Q52=Цены!$H$3,Цены!$K$3,IF(Q52=Цены!$H$4,Цены!$K$4,IF(Q52=Цены!$H$5,Цены!$K$5,IF(Q52=Цены!$H$6,Цены!$K$6,IF(Q52=Цены!$H$7,Цены!$K$7,IF(Q52=Цены!$H$8,Цены!$K$8,IF(Q52=Цены!$H$9,Цены!$K$9,IF(Q52=Цены!$H$10,Цены!$K$10,IF(Q52=Цены!$H$11,Цены!$K$11,IF(Q52=Цены!$H$12,Цены!$K$12,IF(Q52=Цены!$H$13,Цены!$K$13,IF(Q52=Цены!$H$14,Цены!$K$14,IF(Q52=Цены!$H$14,Цены!$K$14,IF(Q52=Цены!$H$15,Цены!$K$15,IF(Q52=Цены!$H$16,Цены!$K$16,IF(Q52=Цены!$H$17,Цены!$K$17,IF(Q52=Цены!$H$18,Цены!$K$18,IF(Q52=Цены!$H$19,Цены!$K$19,IF(Q52=Цены!$H$20,Цены!$K$20,IF(Q52=Цены!$H$21,Цены!$K$21,IF(Q52=Цены!$H$22,Цены!$K$22,IF(Q52=Цены!$H$23,Цены!$K$23,IF(Q52=Цены!$H$24,Цены!$K$24,IF(Q52=Цены!$H$25,Цены!$K$25,IF(Q52=Цены!$H$26,Цены!$K$26,IF(Q52=Цены!$H$27,Цены!$K$27,IF(Q52=Цены!$H$28,Цены!$K$28,IF(Q52=Цены!$H$29,Цены!$K$29,IF(Q52=Цены!$H$30,Цены!$K$30,IF(Q52=Цены!$H$31,Цены!$K$31,IF(Q52=Цены!$H$32,Цены!$K$32,IF(Q52=Цены!$H$33,Цены!$K$33,IF(Q52=Цены!$H$34,Цены!$K$34,IF(Q52=Цены!$H$35,Цены!$K$35,IF(Q52=Цены!$H$36,Цены!$K$36,IF(Q52=Цены!$H$37,Цены!$K$37,IF(Q52=Цены!$H$38,Цены!$K$38,IF(Q52=Цены!$H$39,Цены!$K$39,IF(Q52=Цены!$H$40,Цены!$K$40,IF(Q52=Цены!$H$41,Цены!$K$41,IF(Q52=Цены!$H$42,Цены!$K$42,IF(Q52=Цены!$H$43,Цены!$K$43,IF(Q52=Цены!$H$44,Цены!$K$44,IF(Q52=Цены!$H$45,Цены!$K$45,IF(Q52=Цены!$H$46,Цены!$K$46,IF(Q52=Цены!$H$47,Цены!$K$47,IF(Q52=Цены!$H$48,Цены!$K$48,IF(Q52=Цены!$H$49,Цены!$K$49,IF(Q52=Цены!$H$50,Цены!$K$50,IF(Q52=Цены!$H$51,Цены!$K$51,IF(Q52=Цены!$H$52,Цены!$K$52,IF(Q52=Цены!$H$53,Цены!$K$53,IF(Q52=Цены!$H$54,Цены!$K$54,IF(Q52=Цены!$H$55,Цены!$K$55))))))))))))))))))))))))))))))))))))))))))))))))))))))</f>
        <v>312</v>
      </c>
      <c r="V52" s="265"/>
      <c r="W52" s="265"/>
      <c r="X52" s="310"/>
      <c r="Y52" s="265"/>
      <c r="Z52" s="265"/>
      <c r="AA52" s="265"/>
      <c r="AB52" s="310"/>
      <c r="AC52" s="313"/>
      <c r="AD52" s="35" t="s">
        <v>64</v>
      </c>
      <c r="AE52" s="30">
        <v>3</v>
      </c>
      <c r="AF52" s="27">
        <f>IF(AD52=Цены!$H$3,Цены!$L$3,IF(AD52=Цены!$H$4,Цены!$L$4,IF(AD52=Цены!$H$5,Цены!$L$5,IF(AD52=Цены!$H$6,Цены!$L$6,IF(AD52=Цены!$H$7,Цены!$L$7,IF(AD52=Цены!$H$8,Цены!$L$8,IF(AD52=Цены!$H$9,Цены!$L$9,IF(AD52=Цены!$H$10,Цены!$L$10,IF(AD52=Цены!$H$11,Цены!$L$11,IF(AD52=Цены!$H$12,Цены!$L$12,IF(AD52=Цены!$H$13,Цены!$L$13,IF(AD52=Цены!$H$14,Цены!$L$14,IF(AD52=Цены!$H$14,Цены!$L$14,IF(AD52=Цены!$H$15,Цены!$L$15,IF(AD52=Цены!$H$16,Цены!$L$16,IF(AD52=Цены!$H$17,Цены!$L$17,IF(AD52=Цены!$H$18,Цены!$L$18,IF(AD52=Цены!$H$19,Цены!$L$19,IF(AD52=Цены!$H$20,Цены!$L$20,IF(AD52=Цены!$H$21,Цены!$L$21,IF(AD52=Цены!$H$22,Цены!$L$22,IF(AD52=Цены!$H$23,Цены!$L$23,IF(AD52=Цены!$H$24,Цены!$L$24,IF(AD52=Цены!$H$25,Цены!$L$25,IF(AD52=Цены!$H$26,Цены!$L$26,IF(AD52=Цены!$H$27,Цены!$L$27,IF(AD52=Цены!$H$28,Цены!$L$28,IF(AD52=Цены!$H$29,Цены!$L$29,IF(AD52=Цены!$H$30,Цены!$L$30,IF(AD52=Цены!$H$31,Цены!$L$31,IF(AD52=Цены!$H$32,Цены!$L$32,IF(AD52=Цены!$H$33,Цены!$L$33,IF(AD52=Цены!$H$34,Цены!$L$34,IF(AD52=Цены!$H$35,Цены!$L$35,IF(AD52=Цены!$H$36,Цены!$L$36,IF(AD52=Цены!$H$37,Цены!$L$37,IF(AD52=Цены!$H$38,Цены!$L$38,IF(AD52=Цены!$H$39,Цены!$L$39,IF(AD52=Цены!$H$40,Цены!$L$40,IF(AD52=Цены!$H$41,Цены!$L$41,IF(AD52=Цены!$H$42,Цены!$L$42,IF(AD52=Цены!$H$43,Цены!$L$43,IF(AD52=Цены!$H$44,Цены!$L$44,IF(AD52=Цены!$H$45,Цены!$L$45,IF(AD52=Цены!$H$46,Цены!$L$46,IF(AD52=Цены!$H$47,Цены!$L$47,IF(AD52=Цены!$H$48,Цены!$L$48,IF(AD52=Цены!$H$49,Цены!$L$49,IF(AD52=Цены!$H$50,Цены!$L$50,IF(AD52=Цены!$H$51,Цены!$L$51,IF(AD52=Цены!$H$52,Цены!$L$52,IF(AD52=Цены!$H$53,Цены!$L$53,IF(AD52=Цены!$H$54,Цены!$L$54,IF(AD52=Цены!$H$55,Цены!$L$55))))))))))))))))))))))))))))))))))))))))))))))))))))))</f>
        <v>2.34</v>
      </c>
      <c r="AG52" s="309"/>
      <c r="AH52" s="28">
        <f>IF(AD52=Цены!$H$3,Цены!$K$3,IF(AD52=Цены!$H$4,Цены!$K$4,IF(AD52=Цены!$H$5,Цены!$K$5,IF(AD52=Цены!$H$6,Цены!$K$6,IF(AD52=Цены!$H$7,Цены!$K$7,IF(AD52=Цены!$H$8,Цены!$K$8,IF(AD52=Цены!$H$9,Цены!$K$9,IF(AD52=Цены!$H$10,Цены!$K$10,IF(AD52=Цены!$H$11,Цены!$K$11,IF(AD52=Цены!$H$12,Цены!$K$12,IF(AD52=Цены!$H$13,Цены!$K$13,IF(AD52=Цены!$H$14,Цены!$K$14,IF(AD52=Цены!$H$14,Цены!$K$14,IF(AD52=Цены!$H$15,Цены!$K$15,IF(AD52=Цены!$H$16,Цены!$K$16,IF(AD52=Цены!$H$17,Цены!$K$17,IF(AD52=Цены!$H$18,Цены!$K$18,IF(AD52=Цены!$H$19,Цены!$K$19,IF(AD52=Цены!$H$20,Цены!$K$20,IF(AD52=Цены!$H$21,Цены!$K$21,IF(AD52=Цены!$H$22,Цены!$K$22,IF(AD52=Цены!$H$23,Цены!$K$23,IF(AD52=Цены!$H$24,Цены!$K$24,IF(AD52=Цены!$H$25,Цены!$K$25,IF(AD52=Цены!$H$26,Цены!$K$26,IF(AD52=Цены!$H$27,Цены!$K$27,IF(AD52=Цены!$H$28,Цены!$K$28,IF(AD52=Цены!$H$29,Цены!$K$29,IF(AD52=Цены!$H$30,Цены!$K$30,IF(AD52=Цены!$H$31,Цены!$K$31,IF(AD52=Цены!$H$32,Цены!$K$32,IF(AD52=Цены!$H$33,Цены!$K$33,IF(AD52=Цены!$H$34,Цены!$K$34,IF(AD52=Цены!$H$35,Цены!$K$35,IF(AD52=Цены!$H$36,Цены!$K$36,IF(AD52=Цены!$H$37,Цены!$K$37,IF(AD52=Цены!$H$38,Цены!$K$38,IF(AD52=Цены!$H$39,Цены!$K$39,IF(AD52=Цены!$H$40,Цены!$K$40,IF(AD52=Цены!$H$41,Цены!$K$41,IF(AD52=Цены!$H$42,Цены!$K$42,IF(AD52=Цены!$H$43,Цены!$K$43,IF(AD52=Цены!$H$44,Цены!$K$44,IF(AD52=Цены!$H$45,Цены!$K$45,IF(AD52=Цены!$H$46,Цены!$K$46,IF(AD52=Цены!$H$47,Цены!$K$47,IF(AD52=Цены!$H$48,Цены!$K$48,IF(AD52=Цены!$H$49,Цены!$K$49,IF(AD52=Цены!$H$50,Цены!$K$50,IF(AD52=Цены!$H$51,Цены!$K$51,IF(AD52=Цены!$H$52,Цены!$K$52,IF(AD52=Цены!$H$53,Цены!$K$53,IF(AD52=Цены!$H$54,Цены!$K$54,IF(AD52=Цены!$H$55,Цены!$K$55))))))))))))))))))))))))))))))))))))))))))))))))))))))</f>
        <v>370.5</v>
      </c>
      <c r="AI52" s="265"/>
      <c r="AJ52" s="265"/>
      <c r="AK52" s="310"/>
      <c r="AL52" s="265"/>
      <c r="AM52" s="265"/>
      <c r="AN52" s="265"/>
      <c r="AO52" s="310"/>
      <c r="AP52" s="313"/>
      <c r="AQ52" s="123" t="s">
        <v>144</v>
      </c>
      <c r="AR52" s="129">
        <v>3</v>
      </c>
      <c r="AS52" s="33">
        <f>IF(AQ52=Цены!$H$3,Цены!$L$3,IF(AQ52=Цены!$H$4,Цены!$L$4,IF(AQ52=Цены!$H$5,Цены!$L$5,IF(AQ52=Цены!$H$6,Цены!$L$6,IF(AQ52=Цены!$H$7,Цены!$L$7,IF(AQ52=Цены!$H$8,Цены!$L$8,IF(AQ52=Цены!$H$9,Цены!$L$9,IF(AQ52=Цены!$H$10,Цены!$L$10,IF(AQ52=Цены!$H$11,Цены!$L$11,IF(AQ52=Цены!$H$12,Цены!$L$12,IF(AQ52=Цены!$H$13,Цены!$L$13,IF(AQ52=Цены!$H$14,Цены!$L$14,IF(AQ52=Цены!$H$14,Цены!$L$14,IF(AQ52=Цены!$H$15,Цены!$L$15,IF(AQ52=Цены!$H$16,Цены!$L$16,IF(AQ52=Цены!$H$17,Цены!$L$17,IF(AQ52=Цены!$H$18,Цены!$L$18,IF(AQ52=Цены!$H$19,Цены!$L$19,IF(AQ52=Цены!$H$20,Цены!$L$20,IF(AQ52=Цены!$H$21,Цены!$L$21,IF(AQ52=Цены!$H$22,Цены!$L$22,IF(AQ52=Цены!$H$23,Цены!$L$23,IF(AQ52=Цены!$H$24,Цены!$L$24,IF(AQ52=Цены!$H$25,Цены!$L$25,IF(AQ52=Цены!$H$26,Цены!$L$26,IF(AQ52=Цены!$H$27,Цены!$L$27,IF(AQ52=Цены!$H$28,Цены!$L$28,IF(AQ52=Цены!$H$29,Цены!$L$29,IF(AQ52=Цены!$H$30,Цены!$L$30,IF(AQ52=Цены!$H$31,Цены!$L$31,IF(AQ52=Цены!$H$32,Цены!$L$32,IF(AQ52=Цены!$H$33,Цены!$L$33,IF(AQ52=Цены!$H$34,Цены!$L$34,IF(AQ52=Цены!$H$35,Цены!$L$35,IF(AQ52=Цены!$H$36,Цены!$L$36,IF(AQ52=Цены!$H$37,Цены!$L$37,IF(AQ52=Цены!$H$38,Цены!$L$38,IF(AQ52=Цены!$H$39,Цены!$L$39,IF(AQ52=Цены!$H$40,Цены!$L$40,IF(AQ52=Цены!$H$41,Цены!$L$41,IF(AQ52=Цены!$H$42,Цены!$L$42,IF(AQ52=Цены!$H$43,Цены!$L$43,IF(AQ52=Цены!$H$44,Цены!$L$44,IF(AQ52=Цены!$H$45,Цены!$L$45,IF(AQ52=Цены!$H$46,Цены!$L$46,IF(AQ52=Цены!$H$47,Цены!$L$47,IF(AQ52=Цены!$H$48,Цены!$L$48,IF(AQ52=Цены!$H$49,Цены!$L$49,IF(AQ52=Цены!$H$50,Цены!$L$50,IF(AQ52=Цены!$H$51,Цены!$L$51,IF(AQ52=Цены!$H$52,Цены!$L$52,IF(AQ52=Цены!$H$53,Цены!$L$53,IF(AQ52=Цены!$H$54,Цены!$L$54,IF(AQ52=Цены!$H$55,Цены!$L$55))))))))))))))))))))))))))))))))))))))))))))))))))))))</f>
        <v>0.19</v>
      </c>
      <c r="AT52" s="276"/>
      <c r="AU52" s="34">
        <f>IF(AQ52=Цены!$H$3,Цены!$K$3,IF(AQ52=Цены!$H$4,Цены!$K$4,IF(AQ52=Цены!$H$5,Цены!$K$5,IF(AQ52=Цены!$H$6,Цены!$K$6,IF(AQ52=Цены!$H$7,Цены!$K$7,IF(AQ52=Цены!$H$8,Цены!$K$8,IF(AQ52=Цены!$H$9,Цены!$K$9,IF(AQ52=Цены!$H$10,Цены!$K$10,IF(AQ52=Цены!$H$11,Цены!$K$11,IF(AQ52=Цены!$H$12,Цены!$K$12,IF(AQ52=Цены!$H$13,Цены!$K$13,IF(AQ52=Цены!$H$14,Цены!$K$14,IF(AQ52=Цены!$H$14,Цены!$K$14,IF(AQ52=Цены!$H$15,Цены!$K$15,IF(AQ52=Цены!$H$16,Цены!$K$16,IF(AQ52=Цены!$H$17,Цены!$K$17,IF(AQ52=Цены!$H$18,Цены!$K$18,IF(AQ52=Цены!$H$19,Цены!$K$19,IF(AQ52=Цены!$H$20,Цены!$K$20,IF(AQ52=Цены!$H$21,Цены!$K$21,IF(AQ52=Цены!$H$22,Цены!$K$22,IF(AQ52=Цены!$H$23,Цены!$K$23,IF(AQ52=Цены!$H$24,Цены!$K$24,IF(AQ52=Цены!$H$25,Цены!$K$25,IF(AQ52=Цены!$H$26,Цены!$K$26,IF(AQ52=Цены!$H$27,Цены!$K$27,IF(AQ52=Цены!$H$28,Цены!$K$28,IF(AQ52=Цены!$H$29,Цены!$K$29,IF(AQ52=Цены!$H$30,Цены!$K$30,IF(AQ52=Цены!$H$31,Цены!$K$31,IF(AQ52=Цены!$H$32,Цены!$K$32,IF(AQ52=Цены!$H$33,Цены!$K$33,IF(AQ52=Цены!$H$34,Цены!$K$34,IF(AQ52=Цены!$H$35,Цены!$K$35,IF(AQ52=Цены!$H$36,Цены!$K$36,IF(AQ52=Цены!$H$37,Цены!$K$37,IF(AQ52=Цены!$H$38,Цены!$K$38,IF(AQ52=Цены!$H$39,Цены!$K$39,IF(AQ52=Цены!$H$40,Цены!$K$40,IF(AQ52=Цены!$H$41,Цены!$K$41,IF(AQ52=Цены!$H$42,Цены!$K$42,IF(AQ52=Цены!$H$43,Цены!$K$43,IF(AQ52=Цены!$H$44,Цены!$K$44,IF(AQ52=Цены!$H$45,Цены!$K$45,IF(AQ52=Цены!$H$46,Цены!$K$46,IF(AQ52=Цены!$H$47,Цены!$K$47,IF(AQ52=Цены!$H$48,Цены!$K$48,IF(AQ52=Цены!$H$49,Цены!$K$49,IF(AQ52=Цены!$H$50,Цены!$K$50,IF(AQ52=Цены!$H$51,Цены!$K$51,IF(AQ52=Цены!$H$52,Цены!$K$52,IF(AQ52=Цены!$H$53,Цены!$K$53,IF(AQ52=Цены!$H$54,Цены!$K$54,IF(AQ52=Цены!$H$55,Цены!$K$55))))))))))))))))))))))))))))))))))))))))))))))))))))))</f>
        <v>448</v>
      </c>
      <c r="AV52" s="265"/>
      <c r="AW52" s="265"/>
      <c r="AX52" s="269"/>
      <c r="AY52" s="286"/>
      <c r="AZ52" s="286"/>
      <c r="BA52" s="265"/>
      <c r="BB52" s="269"/>
      <c r="BC52" s="287"/>
      <c r="BD52" s="259"/>
      <c r="BE52" s="123" t="s">
        <v>144</v>
      </c>
      <c r="BF52" s="71">
        <v>2</v>
      </c>
      <c r="BG52" s="33">
        <f>IF(BE52=Цены!$H$3,Цены!$L$3,IF(BE52=Цены!$H$4,Цены!$L$4,IF(BE52=Цены!$H$5,Цены!$L$5,IF(BE52=Цены!$H$6,Цены!$L$6,IF(BE52=Цены!$H$7,Цены!$L$7,IF(BE52=Цены!$H$8,Цены!$L$8,IF(BE52=Цены!$H$9,Цены!$L$9,IF(BE52=Цены!$H$10,Цены!$L$10,IF(BE52=Цены!$H$11,Цены!$L$11,IF(BE52=Цены!$H$12,Цены!$L$12,IF(BE52=Цены!$H$13,Цены!$L$13,IF(BE52=Цены!$H$14,Цены!$L$14,IF(BE52=Цены!$H$14,Цены!$L$14,IF(BE52=Цены!$H$15,Цены!$L$15,IF(BE52=Цены!$H$16,Цены!$L$16,IF(BE52=Цены!$H$17,Цены!$L$17,IF(BE52=Цены!$H$18,Цены!$L$18,IF(BE52=Цены!$H$19,Цены!$L$19,IF(BE52=Цены!$H$20,Цены!$L$20,IF(BE52=Цены!$H$21,Цены!$L$21,IF(BE52=Цены!$H$22,Цены!$L$22,IF(BE52=Цены!$H$23,Цены!$L$23,IF(BE52=Цены!$H$24,Цены!$L$24,IF(BE52=Цены!$H$25,Цены!$L$25,IF(BE52=Цены!$H$26,Цены!$L$26,IF(BE52=Цены!$H$27,Цены!$L$27,IF(BE52=Цены!$H$28,Цены!$L$28,IF(BE52=Цены!$H$29,Цены!$L$29,IF(BE52=Цены!$H$30,Цены!$L$30,IF(BE52=Цены!$H$31,Цены!$L$31,IF(BE52=Цены!$H$32,Цены!$L$32,IF(BE52=Цены!$H$33,Цены!$L$33,IF(BE52=Цены!$H$34,Цены!$L$34,IF(BE52=Цены!$H$35,Цены!$L$35,IF(BE52=Цены!$H$36,Цены!$L$36,IF(BE52=Цены!$H$37,Цены!$L$37,IF(BE52=Цены!$H$38,Цены!$L$38,IF(BE52=Цены!$H$39,Цены!$L$39,IF(BE52=Цены!$H$40,Цены!$L$40,IF(BE52=Цены!$H$41,Цены!$L$41,IF(BE52=Цены!$H$42,Цены!$L$42,IF(BE52=Цены!$H$43,Цены!$L$43,IF(BE52=Цены!$H$44,Цены!$L$44,IF(BE52=Цены!$H$45,Цены!$L$45,IF(BE52=Цены!$H$46,Цены!$L$46,IF(BE52=Цены!$H$47,Цены!$L$47,IF(BE52=Цены!$H$48,Цены!$L$48,IF(BE52=Цены!$H$49,Цены!$L$49,IF(BE52=Цены!$H$50,Цены!$L$50,IF(BE52=Цены!$H$51,Цены!$L$51,IF(BE52=Цены!$H$52,Цены!$L$52,IF(BE52=Цены!$H$53,Цены!$L$53,IF(BE52=Цены!$H$54,Цены!$L$54,IF(BE52=Цены!$H$55,Цены!$L$55))))))))))))))))))))))))))))))))))))))))))))))))))))))</f>
        <v>0.19</v>
      </c>
      <c r="BH52" s="276"/>
      <c r="BI52" s="34">
        <f>IF(BE52=Цены!$H$3,Цены!$K$3,IF(BE52=Цены!$H$4,Цены!$K$4,IF(BE52=Цены!$H$5,Цены!$K$5,IF(BE52=Цены!$H$6,Цены!$K$6,IF(BE52=Цены!$H$7,Цены!$K$7,IF(BE52=Цены!$H$8,Цены!$K$8,IF(BE52=Цены!$H$9,Цены!$K$9,IF(BE52=Цены!$H$10,Цены!$K$10,IF(BE52=Цены!$H$11,Цены!$K$11,IF(BE52=Цены!$H$12,Цены!$K$12,IF(BE52=Цены!$H$13,Цены!$K$13,IF(BE52=Цены!$H$14,Цены!$K$14,IF(BE52=Цены!$H$14,Цены!$K$14,IF(BE52=Цены!$H$15,Цены!$K$15,IF(BE52=Цены!$H$16,Цены!$K$16,IF(BE52=Цены!$H$17,Цены!$K$17,IF(BE52=Цены!$H$18,Цены!$K$18,IF(BE52=Цены!$H$19,Цены!$K$19,IF(BE52=Цены!$H$20,Цены!$K$20,IF(BE52=Цены!$H$21,Цены!$K$21,IF(BE52=Цены!$H$22,Цены!$K$22,IF(BE52=Цены!$H$23,Цены!$K$23,IF(BE52=Цены!$H$24,Цены!$K$24,IF(BE52=Цены!$H$25,Цены!$K$25,IF(BE52=Цены!$H$26,Цены!$K$26,IF(BE52=Цены!$H$27,Цены!$K$27,IF(BE52=Цены!$H$28,Цены!$K$28,IF(BE52=Цены!$H$29,Цены!$K$29,IF(BE52=Цены!$H$30,Цены!$K$30,IF(BE52=Цены!$H$31,Цены!$K$31,IF(BE52=Цены!$H$32,Цены!$K$32,IF(BE52=Цены!$H$33,Цены!$K$33,IF(BE52=Цены!$H$34,Цены!$K$34,IF(BE52=Цены!$H$35,Цены!$K$35,IF(BE52=Цены!$H$36,Цены!$K$36,IF(BE52=Цены!$H$37,Цены!$K$37,IF(BE52=Цены!$H$38,Цены!$K$38,IF(BE52=Цены!$H$39,Цены!$K$39,IF(BE52=Цены!$H$40,Цены!$K$40,IF(BE52=Цены!$H$41,Цены!$K$41,IF(BE52=Цены!$H$42,Цены!$K$42,IF(BE52=Цены!$H$43,Цены!$K$43,IF(BE52=Цены!$H$44,Цены!$K$44,IF(BE52=Цены!$H$45,Цены!$K$45,IF(BE52=Цены!$H$46,Цены!$K$46,IF(BE52=Цены!$H$47,Цены!$K$47,IF(BE52=Цены!$H$48,Цены!$K$48,IF(BE52=Цены!$H$49,Цены!$K$49,IF(BE52=Цены!$H$50,Цены!$K$50,IF(BE52=Цены!$H$51,Цены!$K$51,IF(BE52=Цены!$H$52,Цены!$K$52,IF(BE52=Цены!$H$53,Цены!$K$53,IF(BE52=Цены!$H$54,Цены!$K$54,IF(BE52=Цены!$H$55,Цены!$K$55))))))))))))))))))))))))))))))))))))))))))))))))))))))</f>
        <v>448</v>
      </c>
      <c r="BJ52" s="265"/>
      <c r="BK52" s="265"/>
      <c r="BL52" s="269"/>
      <c r="BM52" s="286"/>
      <c r="BN52" s="286"/>
      <c r="BO52" s="268"/>
      <c r="BP52" s="269"/>
      <c r="BQ52" s="287"/>
      <c r="BR52" s="117" t="s">
        <v>122</v>
      </c>
      <c r="BS52" s="43">
        <v>3</v>
      </c>
      <c r="BT52" s="33">
        <f>IF(BR52=Цены!$H$3,Цены!$L$3,IF(BR52=Цены!$H$4,Цены!$L$4,IF(BR52=Цены!$H$5,Цены!$L$5,IF(BR52=Цены!$H$6,Цены!$L$6,IF(BR52=Цены!$H$7,Цены!$L$7,IF(BR52=Цены!$H$8,Цены!$L$8,IF(BR52=Цены!$H$9,Цены!$L$9,IF(BR52=Цены!$H$10,Цены!$L$10,IF(BR52=Цены!$H$11,Цены!$L$11,IF(BR52=Цены!$H$12,Цены!$L$12,IF(BR52=Цены!$H$13,Цены!$L$13,IF(BR52=Цены!$H$14,Цены!$L$14,IF(BR52=Цены!$H$14,Цены!$L$14,IF(BR52=Цены!$H$15,Цены!$L$15,IF(BR52=Цены!$H$16,Цены!$L$16,IF(BR52=Цены!$H$17,Цены!$L$17,IF(BR52=Цены!$H$18,Цены!$L$18,IF(BR52=Цены!$H$19,Цены!$L$19,IF(BR52=Цены!$H$20,Цены!$L$20,IF(BR52=Цены!$H$21,Цены!$L$21,IF(BR52=Цены!$H$22,Цены!$L$22,IF(BR52=Цены!$H$23,Цены!$L$23,IF(BR52=Цены!$H$24,Цены!$L$24,IF(BR52=Цены!$H$25,Цены!$L$25,IF(BR52=Цены!$H$26,Цены!$L$26,IF(BR52=Цены!$H$27,Цены!$L$27,IF(BR52=Цены!$H$28,Цены!$L$28,IF(BR52=Цены!$H$29,Цены!$L$29,IF(BR52=Цены!$H$30,Цены!$L$30,IF(BR52=Цены!$H$31,Цены!$L$31,IF(BR52=Цены!$H$32,Цены!$L$32,IF(BR52=Цены!$H$33,Цены!$L$33,IF(BR52=Цены!$H$34,Цены!$L$34,IF(BR52=Цены!$H$35,Цены!$L$35,IF(BR52=Цены!$H$36,Цены!$L$36,IF(BR52=Цены!$H$37,Цены!$L$37,IF(BR52=Цены!$H$38,Цены!$L$38,IF(BR52=Цены!$H$39,Цены!$L$39,IF(BR52=Цены!$H$40,Цены!$L$40,IF(BR52=Цены!$H$41,Цены!$L$41,IF(BR52=Цены!$H$42,Цены!$L$42,IF(BR52=Цены!$H$43,Цены!$L$43,IF(BR52=Цены!$H$44,Цены!$L$44,IF(BR52=Цены!$H$45,Цены!$L$45,IF(BR52=Цены!$H$46,Цены!$L$46,IF(BR52=Цены!$H$47,Цены!$L$47,IF(BR52=Цены!$H$48,Цены!$L$48,IF(BR52=Цены!$H$49,Цены!$L$49,IF(BR52=Цены!$H$50,Цены!$L$50,IF(BR52=Цены!$H$51,Цены!$L$51,IF(BR52=Цены!$H$52,Цены!$L$52,IF(BR52=Цены!$H$53,Цены!$L$53,IF(BR52=Цены!$H$54,Цены!$L$54,IF(BR52=Цены!$H$55,Цены!$L$55))))))))))))))))))))))))))))))))))))))))))))))))))))))</f>
        <v>0.6</v>
      </c>
      <c r="BU52" s="276"/>
      <c r="BV52" s="34">
        <f>IF(BR52=Цены!$H$3,Цены!$K$3,IF(BR52=Цены!$H$4,Цены!$K$4,IF(BR52=Цены!$H$5,Цены!$K$5,IF(BR52=Цены!$H$6,Цены!$K$6,IF(BR52=Цены!$H$7,Цены!$K$7,IF(BR52=Цены!$H$8,Цены!$K$8,IF(BR52=Цены!$H$9,Цены!$K$9,IF(BR52=Цены!$H$10,Цены!$K$10,IF(BR52=Цены!$H$11,Цены!$K$11,IF(BR52=Цены!$H$12,Цены!$K$12,IF(BR52=Цены!$H$13,Цены!$K$13,IF(BR52=Цены!$H$14,Цены!$K$14,IF(BR52=Цены!$H$14,Цены!$K$14,IF(BR52=Цены!$H$15,Цены!$K$15,IF(BR52=Цены!$H$16,Цены!$K$16,IF(BR52=Цены!$H$17,Цены!$K$17,IF(BR52=Цены!$H$18,Цены!$K$18,IF(BR52=Цены!$H$19,Цены!$K$19,IF(BR52=Цены!$H$20,Цены!$K$20,IF(BR52=Цены!$H$21,Цены!$K$21,IF(BR52=Цены!$H$22,Цены!$K$22,IF(BR52=Цены!$H$23,Цены!$K$23,IF(BR52=Цены!$H$24,Цены!$K$24,IF(BR52=Цены!$H$25,Цены!$K$25,IF(BR52=Цены!$H$26,Цены!$K$26,IF(BR52=Цены!$H$27,Цены!$K$27,IF(BR52=Цены!$H$28,Цены!$K$28,IF(BR52=Цены!$H$29,Цены!$K$29,IF(BR52=Цены!$H$30,Цены!$K$30,IF(BR52=Цены!$H$31,Цены!$K$31,IF(BR52=Цены!$H$32,Цены!$K$32,IF(BR52=Цены!$H$33,Цены!$K$33,IF(BR52=Цены!$H$34,Цены!$K$34,IF(BR52=Цены!$H$35,Цены!$K$35,IF(BR52=Цены!$H$36,Цены!$K$36,IF(BR52=Цены!$H$37,Цены!$K$37,IF(BR52=Цены!$H$38,Цены!$K$38,IF(BR52=Цены!$H$39,Цены!$K$39,IF(BR52=Цены!$H$40,Цены!$K$40,IF(BR52=Цены!$H$41,Цены!$K$41,IF(BR52=Цены!$H$42,Цены!$K$42,IF(BR52=Цены!$H$43,Цены!$K$43,IF(BR52=Цены!$H$44,Цены!$K$44,IF(BR52=Цены!$H$45,Цены!$K$45,IF(BR52=Цены!$H$46,Цены!$K$46,IF(BR52=Цены!$H$47,Цены!$K$47,IF(BR52=Цены!$H$48,Цены!$K$48,IF(BR52=Цены!$H$49,Цены!$K$49,IF(BR52=Цены!$H$50,Цены!$K$50,IF(BR52=Цены!$H$51,Цены!$K$51,IF(BR52=Цены!$H$52,Цены!$K$52,IF(BR52=Цены!$H$53,Цены!$K$53,IF(BR52=Цены!$H$54,Цены!$K$54,IF(BR52=Цены!$H$55,Цены!$K$55))))))))))))))))))))))))))))))))))))))))))))))))))))))</f>
        <v>166</v>
      </c>
      <c r="BW52" s="265"/>
      <c r="BX52" s="265"/>
      <c r="BY52" s="269"/>
      <c r="BZ52" s="286"/>
      <c r="CA52" s="286"/>
      <c r="CB52" s="268"/>
      <c r="CC52" s="269"/>
      <c r="CD52" s="287"/>
      <c r="CE52" s="117" t="s">
        <v>122</v>
      </c>
      <c r="CF52" s="43">
        <v>2</v>
      </c>
      <c r="CG52" s="33">
        <f>IF(CE52=Цены!$H$3,Цены!$L$3,IF(CE52=Цены!$H$4,Цены!$L$4,IF(CE52=Цены!$H$5,Цены!$L$5,IF(CE52=Цены!$H$6,Цены!$L$6,IF(CE52=Цены!$H$7,Цены!$L$7,IF(CE52=Цены!$H$8,Цены!$L$8,IF(CE52=Цены!$H$9,Цены!$L$9,IF(CE52=Цены!$H$10,Цены!$L$10,IF(CE52=Цены!$H$11,Цены!$L$11,IF(CE52=Цены!$H$12,Цены!$L$12,IF(CE52=Цены!$H$13,Цены!$L$13,IF(CE52=Цены!$H$14,Цены!$L$14,IF(CE52=Цены!$H$14,Цены!$L$14,IF(CE52=Цены!$H$15,Цены!$L$15,IF(CE52=Цены!$H$16,Цены!$L$16,IF(CE52=Цены!$H$17,Цены!$L$17,IF(CE52=Цены!$H$18,Цены!$L$18,IF(CE52=Цены!$H$19,Цены!$L$19,IF(CE52=Цены!$H$20,Цены!$L$20,IF(CE52=Цены!$H$21,Цены!$L$21,IF(CE52=Цены!$H$22,Цены!$L$22,IF(CE52=Цены!$H$23,Цены!$L$23,IF(CE52=Цены!$H$24,Цены!$L$24,IF(CE52=Цены!$H$25,Цены!$L$25,IF(CE52=Цены!$H$26,Цены!$L$26,IF(CE52=Цены!$H$27,Цены!$L$27,IF(CE52=Цены!$H$28,Цены!$L$28,IF(CE52=Цены!$H$29,Цены!$L$29,IF(CE52=Цены!$H$30,Цены!$L$30,IF(CE52=Цены!$H$31,Цены!$L$31,IF(CE52=Цены!$H$32,Цены!$L$32,IF(CE52=Цены!$H$33,Цены!$L$33,IF(CE52=Цены!$H$34,Цены!$L$34,IF(CE52=Цены!$H$35,Цены!$L$35,IF(CE52=Цены!$H$36,Цены!$L$36,IF(CE52=Цены!$H$37,Цены!$L$37,IF(CE52=Цены!$H$38,Цены!$L$38,IF(CE52=Цены!$H$39,Цены!$L$39,IF(CE52=Цены!$H$40,Цены!$L$40,IF(CE52=Цены!$H$41,Цены!$L$41,IF(CE52=Цены!$H$42,Цены!$L$42,IF(CE52=Цены!$H$43,Цены!$L$43,IF(CE52=Цены!$H$44,Цены!$L$44,IF(CE52=Цены!$H$45,Цены!$L$45,IF(CE52=Цены!$H$46,Цены!$L$46,IF(CE52=Цены!$H$47,Цены!$L$47,IF(CE52=Цены!$H$48,Цены!$L$48,IF(CE52=Цены!$H$49,Цены!$L$49,IF(CE52=Цены!$H$50,Цены!$L$50,IF(CE52=Цены!$H$51,Цены!$L$51,IF(CE52=Цены!$H$52,Цены!$L$52,IF(CE52=Цены!$H$53,Цены!$L$53,IF(CE52=Цены!$H$54,Цены!$L$54,IF(CE52=Цены!$H$55,Цены!$L$55))))))))))))))))))))))))))))))))))))))))))))))))))))))</f>
        <v>0.6</v>
      </c>
      <c r="CH52" s="276"/>
      <c r="CI52" s="34">
        <f>IF(CE52=Цены!$H$3,Цены!$K$3,IF(CE52=Цены!$H$4,Цены!$K$4,IF(CE52=Цены!$H$5,Цены!$K$5,IF(CE52=Цены!$H$6,Цены!$K$6,IF(CE52=Цены!$H$7,Цены!$K$7,IF(CE52=Цены!$H$8,Цены!$K$8,IF(CE52=Цены!$H$9,Цены!$K$9,IF(CE52=Цены!$H$10,Цены!$K$10,IF(CE52=Цены!$H$11,Цены!$K$11,IF(CE52=Цены!$H$12,Цены!$K$12,IF(CE52=Цены!$H$13,Цены!$K$13,IF(CE52=Цены!$H$14,Цены!$K$14,IF(CE52=Цены!$H$14,Цены!$K$14,IF(CE52=Цены!$H$15,Цены!$K$15,IF(CE52=Цены!$H$16,Цены!$K$16,IF(CE52=Цены!$H$17,Цены!$K$17,IF(CE52=Цены!$H$18,Цены!$K$18,IF(CE52=Цены!$H$19,Цены!$K$19,IF(CE52=Цены!$H$20,Цены!$K$20,IF(CE52=Цены!$H$21,Цены!$K$21,IF(CE52=Цены!$H$22,Цены!$K$22,IF(CE52=Цены!$H$23,Цены!$K$23,IF(CE52=Цены!$H$24,Цены!$K$24,IF(CE52=Цены!$H$25,Цены!$K$25,IF(CE52=Цены!$H$26,Цены!$K$26,IF(CE52=Цены!$H$27,Цены!$K$27,IF(CE52=Цены!$H$28,Цены!$K$28,IF(CE52=Цены!$H$29,Цены!$K$29,IF(CE52=Цены!$H$30,Цены!$K$30,IF(CE52=Цены!$H$31,Цены!$K$31,IF(CE52=Цены!$H$32,Цены!$K$32,IF(CE52=Цены!$H$33,Цены!$K$33,IF(CE52=Цены!$H$34,Цены!$K$34,IF(CE52=Цены!$H$35,Цены!$K$35,IF(CE52=Цены!$H$36,Цены!$K$36,IF(CE52=Цены!$H$37,Цены!$K$37,IF(CE52=Цены!$H$38,Цены!$K$38,IF(CE52=Цены!$H$39,Цены!$K$39,IF(CE52=Цены!$H$40,Цены!$K$40,IF(CE52=Цены!$H$41,Цены!$K$41,IF(CE52=Цены!$H$42,Цены!$K$42,IF(CE52=Цены!$H$43,Цены!$K$43,IF(CE52=Цены!$H$44,Цены!$K$44,IF(CE52=Цены!$H$45,Цены!$K$45,IF(CE52=Цены!$H$46,Цены!$K$46,IF(CE52=Цены!$H$47,Цены!$K$47,IF(CE52=Цены!$H$48,Цены!$K$48,IF(CE52=Цены!$H$49,Цены!$K$49,IF(CE52=Цены!$H$50,Цены!$K$50,IF(CE52=Цены!$H$51,Цены!$K$51,IF(CE52=Цены!$H$52,Цены!$K$52,IF(CE52=Цены!$H$53,Цены!$K$53,IF(CE52=Цены!$H$54,Цены!$K$54,IF(CE52=Цены!$H$55,Цены!$K$55))))))))))))))))))))))))))))))))))))))))))))))))))))))</f>
        <v>166</v>
      </c>
      <c r="CJ52" s="265"/>
      <c r="CK52" s="265"/>
      <c r="CL52" s="269"/>
      <c r="CM52" s="286"/>
      <c r="CN52" s="286"/>
      <c r="CO52" s="268"/>
      <c r="CP52" s="269"/>
      <c r="CQ52" s="287"/>
    </row>
    <row r="53" spans="1:95" ht="15.75" hidden="1" customHeight="1" x14ac:dyDescent="0.25">
      <c r="A53" s="341"/>
      <c r="B53" s="265"/>
      <c r="C53" s="265"/>
      <c r="D53" s="26" t="s">
        <v>123</v>
      </c>
      <c r="E53" s="25">
        <v>4</v>
      </c>
      <c r="F53" s="27">
        <f>IF(D53=Цены!$H$3,Цены!$L$3,IF(D53=Цены!$H$4,Цены!$L$4,IF(D53=Цены!$H$5,Цены!$L$5,IF(D53=Цены!$H$6,Цены!$L$6,IF(D53=Цены!$H$7,Цены!$L$7,IF(D53=Цены!$H$8,Цены!$L$8,IF(D53=Цены!$H$9,Цены!$L$9,IF(D53=Цены!$H$10,Цены!$L$10,IF(D53=Цены!$H$11,Цены!$L$11,IF(D53=Цены!$H$12,Цены!$L$12,IF(D53=Цены!$H$13,Цены!$L$13,IF(D53=Цены!$H$14,Цены!$L$14,IF(D53=Цены!$H$14,Цены!$L$14,IF(D53=Цены!$H$15,Цены!$L$15,IF(D53=Цены!$H$16,Цены!$L$16,IF(D53=Цены!$H$17,Цены!$L$17,IF(D53=Цены!$H$18,Цены!$L$18,IF(D53=Цены!$H$19,Цены!$L$19,IF(D53=Цены!$H$20,Цены!$L$20,IF(D53=Цены!$H$21,Цены!$L$21,IF(D53=Цены!$H$22,Цены!$L$22,IF(D53=Цены!$H$23,Цены!$L$23,IF(D53=Цены!$H$24,Цены!$L$24,IF(D53=Цены!$H$25,Цены!$L$25,IF(D53=Цены!$H$26,Цены!$L$26,IF(D53=Цены!$H$27,Цены!$L$27,IF(D53=Цены!$H$28,Цены!$L$28,IF(D53=Цены!$H$29,Цены!$L$29,IF(D53=Цены!$H$30,Цены!$L$30,IF(D53=Цены!$H$31,Цены!$L$31,IF(D53=Цены!$H$32,Цены!$L$32,IF(D53=Цены!$H$33,Цены!$L$33,IF(D53=Цены!$H$34,Цены!$L$34,IF(D53=Цены!$H$35,Цены!$L$35,IF(D53=Цены!$H$36,Цены!$L$36,IF(D53=Цены!$H$37,Цены!$L$37,IF(D53=Цены!$H$38,Цены!$L$38,IF(D53=Цены!$H$39,Цены!$L$39,IF(D53=Цены!$H$40,Цены!$L$40,IF(D53=Цены!$H$41,Цены!$L$41,IF(D53=Цены!$H$42,Цены!$L$42,IF(D53=Цены!$H$43,Цены!$L$43,IF(D53=Цены!$H$44,Цены!$L$44,IF(D53=Цены!$H$45,Цены!$L$45,IF(D53=Цены!$H$46,Цены!$L$46,IF(D53=Цены!$H$47,Цены!$L$47,IF(D53=Цены!$H$48,Цены!$L$48,IF(D53=Цены!$H$49,Цены!$L$49,IF(D53=Цены!$H$50,Цены!$L$50,IF(D53=Цены!$H$51,Цены!$L$51,IF(D53=Цены!$H$52,Цены!$L$52,IF(D53=Цены!$H$53,Цены!$L$53,IF(D53=Цены!$H$54,Цены!$L$54,IF(D53=Цены!$H$55,Цены!$L$55))))))))))))))))))))))))))))))))))))))))))))))))))))))</f>
        <v>0.39</v>
      </c>
      <c r="G53" s="309"/>
      <c r="H53" s="28">
        <f>IF(D53=Цены!$H$3,Цены!$K$3,IF(D53=Цены!$H$4,Цены!$K$4,IF(D53=Цены!$H$5,Цены!$K$5,IF(D53=Цены!$H$6,Цены!$K$6,IF(D53=Цены!$H$7,Цены!$K$7,IF(D53=Цены!$H$8,Цены!$K$8,IF(D53=Цены!$H$9,Цены!$K$9,IF(D53=Цены!$H$10,Цены!$K$10,IF(D53=Цены!$H$11,Цены!$K$11,IF(D53=Цены!$H$12,Цены!$K$12,IF(D53=Цены!$H$13,Цены!$K$13,IF(D53=Цены!$H$14,Цены!$K$14,IF(D53=Цены!$H$14,Цены!$K$14,IF(D53=Цены!$H$15,Цены!$K$15,IF(D53=Цены!$H$16,Цены!$K$16,IF(D53=Цены!$H$17,Цены!$K$17,IF(D53=Цены!$H$18,Цены!$K$18,IF(D53=Цены!$H$19,Цены!$K$19,IF(D53=Цены!$H$20,Цены!$K$20,IF(D53=Цены!$H$21,Цены!$K$21,IF(D53=Цены!$H$22,Цены!$K$22,IF(D53=Цены!$H$23,Цены!$K$23,IF(D53=Цены!$H$24,Цены!$K$24,IF(D53=Цены!$H$25,Цены!$K$25,IF(D53=Цены!$H$26,Цены!$K$26,IF(D53=Цены!$H$27,Цены!$K$27,IF(D53=Цены!$H$28,Цены!$K$28,IF(D53=Цены!$H$29,Цены!$K$29,IF(D53=Цены!$H$30,Цены!$K$30,IF(D53=Цены!$H$31,Цены!$K$31,IF(D53=Цены!$H$32,Цены!$K$32,IF(D53=Цены!$H$33,Цены!$K$33,IF(D53=Цены!$H$34,Цены!$K$34,IF(D53=Цены!$H$35,Цены!$K$35,IF(D53=Цены!$H$36,Цены!$K$36,IF(D53=Цены!$H$37,Цены!$K$37,IF(D53=Цены!$H$38,Цены!$K$38,IF(D53=Цены!$H$39,Цены!$K$39,IF(D53=Цены!$H$40,Цены!$K$40,IF(D53=Цены!$H$41,Цены!$K$41,IF(D53=Цены!$H$42,Цены!$K$42,IF(D53=Цены!$H$43,Цены!$K$43,IF(D53=Цены!$H$44,Цены!$K$44,IF(D53=Цены!$H$45,Цены!$K$45,IF(D53=Цены!$H$46,Цены!$K$46,IF(D53=Цены!$H$47,Цены!$K$47,IF(D53=Цены!$H$48,Цены!$K$48,IF(D53=Цены!$H$49,Цены!$K$49,IF(D53=Цены!$H$50,Цены!$K$50,IF(D53=Цены!$H$51,Цены!$K$51,IF(D53=Цены!$H$52,Цены!$K$52,IF(D53=Цены!$H$53,Цены!$K$53,IF(D53=Цены!$H$54,Цены!$K$54,IF(D53=Цены!$H$55,Цены!$K$55))))))))))))))))))))))))))))))))))))))))))))))))))))))</f>
        <v>624</v>
      </c>
      <c r="I53" s="265"/>
      <c r="J53" s="265"/>
      <c r="K53" s="310"/>
      <c r="L53" s="265"/>
      <c r="M53" s="265"/>
      <c r="N53" s="265"/>
      <c r="O53" s="310"/>
      <c r="P53" s="313"/>
      <c r="Q53" s="35"/>
      <c r="R53" s="30"/>
      <c r="S53" s="27" t="b">
        <f>IF(Q53=Цены!$H$3,Цены!$L$3,IF(Q53=Цены!$H$4,Цены!$L$4,IF(Q53=Цены!$H$5,Цены!$L$5,IF(Q53=Цены!$H$6,Цены!$L$6,IF(Q53=Цены!$H$7,Цены!$L$7,IF(Q53=Цены!$H$8,Цены!$L$8,IF(Q53=Цены!$H$9,Цены!$L$9,IF(Q53=Цены!$H$10,Цены!$L$10,IF(Q53=Цены!$H$11,Цены!$L$11,IF(Q53=Цены!$H$12,Цены!$L$12,IF(Q53=Цены!$H$13,Цены!$L$13,IF(Q53=Цены!$H$14,Цены!$L$14,IF(Q53=Цены!$H$14,Цены!$L$14,IF(Q53=Цены!$H$15,Цены!$L$15,IF(Q53=Цены!$H$16,Цены!$L$16,IF(Q53=Цены!$H$17,Цены!$L$17,IF(Q53=Цены!$H$18,Цены!$L$18,IF(Q53=Цены!$H$19,Цены!$L$19,IF(Q53=Цены!$H$20,Цены!$L$20,IF(Q53=Цены!$H$21,Цены!$L$21,IF(Q53=Цены!$H$22,Цены!$L$22,IF(Q53=Цены!$H$23,Цены!$L$23,IF(Q53=Цены!$H$24,Цены!$L$24,IF(Q53=Цены!$H$25,Цены!$L$25,IF(Q53=Цены!$H$26,Цены!$L$26,IF(Q53=Цены!$H$27,Цены!$L$27,IF(Q53=Цены!$H$28,Цены!$L$28,IF(Q53=Цены!$H$29,Цены!$L$29,IF(Q53=Цены!$H$30,Цены!$L$30,IF(Q53=Цены!$H$31,Цены!$L$31,IF(Q53=Цены!$H$32,Цены!$L$32,IF(Q53=Цены!$H$33,Цены!$L$33,IF(Q53=Цены!$H$34,Цены!$L$34,IF(Q53=Цены!$H$35,Цены!$L$35,IF(Q53=Цены!$H$36,Цены!$L$36,IF(Q53=Цены!$H$37,Цены!$L$37,IF(Q53=Цены!$H$38,Цены!$L$38,IF(Q53=Цены!$H$39,Цены!$L$39,IF(Q53=Цены!$H$40,Цены!$L$40,IF(Q53=Цены!$H$41,Цены!$L$41,IF(Q53=Цены!$H$42,Цены!$L$42,IF(Q53=Цены!$H$43,Цены!$L$43,IF(Q53=Цены!$H$44,Цены!$L$44,IF(Q53=Цены!$H$45,Цены!$L$45,IF(Q53=Цены!$H$46,Цены!$L$46,IF(Q53=Цены!$H$47,Цены!$L$47,IF(Q53=Цены!$H$48,Цены!$L$48,IF(Q53=Цены!$H$49,Цены!$L$49,IF(Q53=Цены!$H$50,Цены!$L$50,IF(Q53=Цены!$H$51,Цены!$L$51,IF(Q53=Цены!$H$52,Цены!$L$52,IF(Q53=Цены!$H$53,Цены!$L$53,IF(Q53=Цены!$H$54,Цены!$L$54,IF(Q53=Цены!$H$55,Цены!$L$55))))))))))))))))))))))))))))))))))))))))))))))))))))))</f>
        <v>0</v>
      </c>
      <c r="T53" s="309"/>
      <c r="U53" s="162" t="b">
        <f>IF(Q53=Цены!$H$3,Цены!$K$3,IF(Q53=Цены!$H$4,Цены!$K$4,IF(Q53=Цены!$H$5,Цены!$K$5,IF(Q53=Цены!$H$6,Цены!$K$6,IF(Q53=Цены!$H$7,Цены!$K$7,IF(Q53=Цены!$H$8,Цены!$K$8,IF(Q53=Цены!$H$9,Цены!$K$9,IF(Q53=Цены!$H$10,Цены!$K$10,IF(Q53=Цены!$H$11,Цены!$K$11,IF(Q53=Цены!$H$12,Цены!$K$12,IF(Q53=Цены!$H$13,Цены!$K$13,IF(Q53=Цены!$H$14,Цены!$K$14,IF(Q53=Цены!$H$14,Цены!$K$14,IF(Q53=Цены!$H$15,Цены!$K$15,IF(Q53=Цены!$H$16,Цены!$K$16,IF(Q53=Цены!$H$17,Цены!$K$17,IF(Q53=Цены!$H$18,Цены!$K$18,IF(Q53=Цены!$H$19,Цены!$K$19,IF(Q53=Цены!$H$20,Цены!$K$20,IF(Q53=Цены!$H$21,Цены!$K$21,IF(Q53=Цены!$H$22,Цены!$K$22,IF(Q53=Цены!$H$23,Цены!$K$23,IF(Q53=Цены!$H$24,Цены!$K$24,IF(Q53=Цены!$H$25,Цены!$K$25,IF(Q53=Цены!$H$26,Цены!$K$26,IF(Q53=Цены!$H$27,Цены!$K$27,IF(Q53=Цены!$H$28,Цены!$K$28,IF(Q53=Цены!$H$29,Цены!$K$29,IF(Q53=Цены!$H$30,Цены!$K$30,IF(Q53=Цены!$H$31,Цены!$K$31,IF(Q53=Цены!$H$32,Цены!$K$32,IF(Q53=Цены!$H$33,Цены!$K$33,IF(Q53=Цены!$H$34,Цены!$K$34,IF(Q53=Цены!$H$35,Цены!$K$35,IF(Q53=Цены!$H$36,Цены!$K$36,IF(Q53=Цены!$H$37,Цены!$K$37,IF(Q53=Цены!$H$38,Цены!$K$38,IF(Q53=Цены!$H$39,Цены!$K$39,IF(Q53=Цены!$H$40,Цены!$K$40,IF(Q53=Цены!$H$41,Цены!$K$41,IF(Q53=Цены!$H$42,Цены!$K$42,IF(Q53=Цены!$H$43,Цены!$K$43,IF(Q53=Цены!$H$44,Цены!$K$44,IF(Q53=Цены!$H$45,Цены!$K$45,IF(Q53=Цены!$H$46,Цены!$K$46,IF(Q53=Цены!$H$47,Цены!$K$47,IF(Q53=Цены!$H$48,Цены!$K$48,IF(Q53=Цены!$H$49,Цены!$K$49,IF(Q53=Цены!$H$50,Цены!$K$50,IF(Q53=Цены!$H$51,Цены!$K$51,IF(Q53=Цены!$H$52,Цены!$K$52,IF(Q53=Цены!$H$53,Цены!$K$53,IF(Q53=Цены!$H$54,Цены!$K$54,IF(Q53=Цены!$H$55,Цены!$K$55))))))))))))))))))))))))))))))))))))))))))))))))))))))</f>
        <v>0</v>
      </c>
      <c r="V53" s="265"/>
      <c r="W53" s="265"/>
      <c r="X53" s="310"/>
      <c r="Y53" s="265"/>
      <c r="Z53" s="265"/>
      <c r="AA53" s="265"/>
      <c r="AB53" s="310"/>
      <c r="AC53" s="313"/>
      <c r="AD53" s="123" t="s">
        <v>89</v>
      </c>
      <c r="AE53" s="30">
        <v>6</v>
      </c>
      <c r="AF53" s="27">
        <f>IF(AD53=Цены!$H$3,Цены!$L$3,IF(AD53=Цены!$H$4,Цены!$L$4,IF(AD53=Цены!$H$5,Цены!$L$5,IF(AD53=Цены!$H$6,Цены!$L$6,IF(AD53=Цены!$H$7,Цены!$L$7,IF(AD53=Цены!$H$8,Цены!$L$8,IF(AD53=Цены!$H$9,Цены!$L$9,IF(AD53=Цены!$H$10,Цены!$L$10,IF(AD53=Цены!$H$11,Цены!$L$11,IF(AD53=Цены!$H$12,Цены!$L$12,IF(AD53=Цены!$H$13,Цены!$L$13,IF(AD53=Цены!$H$14,Цены!$L$14,IF(AD53=Цены!$H$14,Цены!$L$14,IF(AD53=Цены!$H$15,Цены!$L$15,IF(AD53=Цены!$H$16,Цены!$L$16,IF(AD53=Цены!$H$17,Цены!$L$17,IF(AD53=Цены!$H$18,Цены!$L$18,IF(AD53=Цены!$H$19,Цены!$L$19,IF(AD53=Цены!$H$20,Цены!$L$20,IF(AD53=Цены!$H$21,Цены!$L$21,IF(AD53=Цены!$H$22,Цены!$L$22,IF(AD53=Цены!$H$23,Цены!$L$23,IF(AD53=Цены!$H$24,Цены!$L$24,IF(AD53=Цены!$H$25,Цены!$L$25,IF(AD53=Цены!$H$26,Цены!$L$26,IF(AD53=Цены!$H$27,Цены!$L$27,IF(AD53=Цены!$H$28,Цены!$L$28,IF(AD53=Цены!$H$29,Цены!$L$29,IF(AD53=Цены!$H$30,Цены!$L$30,IF(AD53=Цены!$H$31,Цены!$L$31,IF(AD53=Цены!$H$32,Цены!$L$32,IF(AD53=Цены!$H$33,Цены!$L$33,IF(AD53=Цены!$H$34,Цены!$L$34,IF(AD53=Цены!$H$35,Цены!$L$35,IF(AD53=Цены!$H$36,Цены!$L$36,IF(AD53=Цены!$H$37,Цены!$L$37,IF(AD53=Цены!$H$38,Цены!$L$38,IF(AD53=Цены!$H$39,Цены!$L$39,IF(AD53=Цены!$H$40,Цены!$L$40,IF(AD53=Цены!$H$41,Цены!$L$41,IF(AD53=Цены!$H$42,Цены!$L$42,IF(AD53=Цены!$H$43,Цены!$L$43,IF(AD53=Цены!$H$44,Цены!$L$44,IF(AD53=Цены!$H$45,Цены!$L$45,IF(AD53=Цены!$H$46,Цены!$L$46,IF(AD53=Цены!$H$47,Цены!$L$47,IF(AD53=Цены!$H$48,Цены!$L$48,IF(AD53=Цены!$H$49,Цены!$L$49,IF(AD53=Цены!$H$50,Цены!$L$50,IF(AD53=Цены!$H$51,Цены!$L$51,IF(AD53=Цены!$H$52,Цены!$L$52,IF(AD53=Цены!$H$53,Цены!$L$53,IF(AD53=Цены!$H$54,Цены!$L$54,IF(AD53=Цены!$H$55,Цены!$L$55))))))))))))))))))))))))))))))))))))))))))))))))))))))</f>
        <v>1.1499999999999999</v>
      </c>
      <c r="AG53" s="309"/>
      <c r="AH53" s="28">
        <f>IF(AD53=Цены!$H$3,Цены!$K$3,IF(AD53=Цены!$H$4,Цены!$K$4,IF(AD53=Цены!$H$5,Цены!$K$5,IF(AD53=Цены!$H$6,Цены!$K$6,IF(AD53=Цены!$H$7,Цены!$K$7,IF(AD53=Цены!$H$8,Цены!$K$8,IF(AD53=Цены!$H$9,Цены!$K$9,IF(AD53=Цены!$H$10,Цены!$K$10,IF(AD53=Цены!$H$11,Цены!$K$11,IF(AD53=Цены!$H$12,Цены!$K$12,IF(AD53=Цены!$H$13,Цены!$K$13,IF(AD53=Цены!$H$14,Цены!$K$14,IF(AD53=Цены!$H$14,Цены!$K$14,IF(AD53=Цены!$H$15,Цены!$K$15,IF(AD53=Цены!$H$16,Цены!$K$16,IF(AD53=Цены!$H$17,Цены!$K$17,IF(AD53=Цены!$H$18,Цены!$K$18,IF(AD53=Цены!$H$19,Цены!$K$19,IF(AD53=Цены!$H$20,Цены!$K$20,IF(AD53=Цены!$H$21,Цены!$K$21,IF(AD53=Цены!$H$22,Цены!$K$22,IF(AD53=Цены!$H$23,Цены!$K$23,IF(AD53=Цены!$H$24,Цены!$K$24,IF(AD53=Цены!$H$25,Цены!$K$25,IF(AD53=Цены!$H$26,Цены!$K$26,IF(AD53=Цены!$H$27,Цены!$K$27,IF(AD53=Цены!$H$28,Цены!$K$28,IF(AD53=Цены!$H$29,Цены!$K$29,IF(AD53=Цены!$H$30,Цены!$K$30,IF(AD53=Цены!$H$31,Цены!$K$31,IF(AD53=Цены!$H$32,Цены!$K$32,IF(AD53=Цены!$H$33,Цены!$K$33,IF(AD53=Цены!$H$34,Цены!$K$34,IF(AD53=Цены!$H$35,Цены!$K$35,IF(AD53=Цены!$H$36,Цены!$K$36,IF(AD53=Цены!$H$37,Цены!$K$37,IF(AD53=Цены!$H$38,Цены!$K$38,IF(AD53=Цены!$H$39,Цены!$K$39,IF(AD53=Цены!$H$40,Цены!$K$40,IF(AD53=Цены!$H$41,Цены!$K$41,IF(AD53=Цены!$H$42,Цены!$K$42,IF(AD53=Цены!$H$43,Цены!$K$43,IF(AD53=Цены!$H$44,Цены!$K$44,IF(AD53=Цены!$H$45,Цены!$K$45,IF(AD53=Цены!$H$46,Цены!$K$46,IF(AD53=Цены!$H$47,Цены!$K$47,IF(AD53=Цены!$H$48,Цены!$K$48,IF(AD53=Цены!$H$49,Цены!$K$49,IF(AD53=Цены!$H$50,Цены!$K$50,IF(AD53=Цены!$H$51,Цены!$K$51,IF(AD53=Цены!$H$52,Цены!$K$52,IF(AD53=Цены!$H$53,Цены!$K$53,IF(AD53=Цены!$H$54,Цены!$K$54,IF(AD53=Цены!$H$55,Цены!$K$55))))))))))))))))))))))))))))))))))))))))))))))))))))))</f>
        <v>400</v>
      </c>
      <c r="AI53" s="265"/>
      <c r="AJ53" s="265"/>
      <c r="AK53" s="310"/>
      <c r="AL53" s="265"/>
      <c r="AM53" s="265"/>
      <c r="AN53" s="265"/>
      <c r="AO53" s="310"/>
      <c r="AP53" s="313"/>
      <c r="AQ53" s="123"/>
      <c r="AR53" s="129"/>
      <c r="AS53" s="33" t="b">
        <f>IF(AQ53=Цены!$H$3,Цены!$L$3,IF(AQ53=Цены!$H$4,Цены!$L$4,IF(AQ53=Цены!$H$5,Цены!$L$5,IF(AQ53=Цены!$H$6,Цены!$L$6,IF(AQ53=Цены!$H$7,Цены!$L$7,IF(AQ53=Цены!$H$8,Цены!$L$8,IF(AQ53=Цены!$H$9,Цены!$L$9,IF(AQ53=Цены!$H$10,Цены!$L$10,IF(AQ53=Цены!$H$11,Цены!$L$11,IF(AQ53=Цены!$H$12,Цены!$L$12,IF(AQ53=Цены!$H$13,Цены!$L$13,IF(AQ53=Цены!$H$14,Цены!$L$14,IF(AQ53=Цены!$H$14,Цены!$L$14,IF(AQ53=Цены!$H$15,Цены!$L$15,IF(AQ53=Цены!$H$16,Цены!$L$16,IF(AQ53=Цены!$H$17,Цены!$L$17,IF(AQ53=Цены!$H$18,Цены!$L$18,IF(AQ53=Цены!$H$19,Цены!$L$19,IF(AQ53=Цены!$H$20,Цены!$L$20,IF(AQ53=Цены!$H$21,Цены!$L$21,IF(AQ53=Цены!$H$22,Цены!$L$22,IF(AQ53=Цены!$H$23,Цены!$L$23,IF(AQ53=Цены!$H$24,Цены!$L$24,IF(AQ53=Цены!$H$25,Цены!$L$25,IF(AQ53=Цены!$H$26,Цены!$L$26,IF(AQ53=Цены!$H$27,Цены!$L$27,IF(AQ53=Цены!$H$28,Цены!$L$28,IF(AQ53=Цены!$H$29,Цены!$L$29,IF(AQ53=Цены!$H$30,Цены!$L$30,IF(AQ53=Цены!$H$31,Цены!$L$31,IF(AQ53=Цены!$H$32,Цены!$L$32,IF(AQ53=Цены!$H$33,Цены!$L$33,IF(AQ53=Цены!$H$34,Цены!$L$34,IF(AQ53=Цены!$H$35,Цены!$L$35,IF(AQ53=Цены!$H$36,Цены!$L$36,IF(AQ53=Цены!$H$37,Цены!$L$37,IF(AQ53=Цены!$H$38,Цены!$L$38,IF(AQ53=Цены!$H$39,Цены!$L$39,IF(AQ53=Цены!$H$40,Цены!$L$40,IF(AQ53=Цены!$H$41,Цены!$L$41,IF(AQ53=Цены!$H$42,Цены!$L$42,IF(AQ53=Цены!$H$43,Цены!$L$43,IF(AQ53=Цены!$H$44,Цены!$L$44,IF(AQ53=Цены!$H$45,Цены!$L$45,IF(AQ53=Цены!$H$46,Цены!$L$46,IF(AQ53=Цены!$H$47,Цены!$L$47,IF(AQ53=Цены!$H$48,Цены!$L$48,IF(AQ53=Цены!$H$49,Цены!$L$49,IF(AQ53=Цены!$H$50,Цены!$L$50,IF(AQ53=Цены!$H$51,Цены!$L$51,IF(AQ53=Цены!$H$52,Цены!$L$52,IF(AQ53=Цены!$H$53,Цены!$L$53,IF(AQ53=Цены!$H$54,Цены!$L$54,IF(AQ53=Цены!$H$55,Цены!$L$55))))))))))))))))))))))))))))))))))))))))))))))))))))))</f>
        <v>0</v>
      </c>
      <c r="AT53" s="276"/>
      <c r="AU53" s="34" t="b">
        <f>IF(AQ53=Цены!$H$3,Цены!$K$3,IF(AQ53=Цены!$H$4,Цены!$K$4,IF(AQ53=Цены!$H$5,Цены!$K$5,IF(AQ53=Цены!$H$6,Цены!$K$6,IF(AQ53=Цены!$H$7,Цены!$K$7,IF(AQ53=Цены!$H$8,Цены!$K$8,IF(AQ53=Цены!$H$9,Цены!$K$9,IF(AQ53=Цены!$H$10,Цены!$K$10,IF(AQ53=Цены!$H$11,Цены!$K$11,IF(AQ53=Цены!$H$12,Цены!$K$12,IF(AQ53=Цены!$H$13,Цены!$K$13,IF(AQ53=Цены!$H$14,Цены!$K$14,IF(AQ53=Цены!$H$14,Цены!$K$14,IF(AQ53=Цены!$H$15,Цены!$K$15,IF(AQ53=Цены!$H$16,Цены!$K$16,IF(AQ53=Цены!$H$17,Цены!$K$17,IF(AQ53=Цены!$H$18,Цены!$K$18,IF(AQ53=Цены!$H$19,Цены!$K$19,IF(AQ53=Цены!$H$20,Цены!$K$20,IF(AQ53=Цены!$H$21,Цены!$K$21,IF(AQ53=Цены!$H$22,Цены!$K$22,IF(AQ53=Цены!$H$23,Цены!$K$23,IF(AQ53=Цены!$H$24,Цены!$K$24,IF(AQ53=Цены!$H$25,Цены!$K$25,IF(AQ53=Цены!$H$26,Цены!$K$26,IF(AQ53=Цены!$H$27,Цены!$K$27,IF(AQ53=Цены!$H$28,Цены!$K$28,IF(AQ53=Цены!$H$29,Цены!$K$29,IF(AQ53=Цены!$H$30,Цены!$K$30,IF(AQ53=Цены!$H$31,Цены!$K$31,IF(AQ53=Цены!$H$32,Цены!$K$32,IF(AQ53=Цены!$H$33,Цены!$K$33,IF(AQ53=Цены!$H$34,Цены!$K$34,IF(AQ53=Цены!$H$35,Цены!$K$35,IF(AQ53=Цены!$H$36,Цены!$K$36,IF(AQ53=Цены!$H$37,Цены!$K$37,IF(AQ53=Цены!$H$38,Цены!$K$38,IF(AQ53=Цены!$H$39,Цены!$K$39,IF(AQ53=Цены!$H$40,Цены!$K$40,IF(AQ53=Цены!$H$41,Цены!$K$41,IF(AQ53=Цены!$H$42,Цены!$K$42,IF(AQ53=Цены!$H$43,Цены!$K$43,IF(AQ53=Цены!$H$44,Цены!$K$44,IF(AQ53=Цены!$H$45,Цены!$K$45,IF(AQ53=Цены!$H$46,Цены!$K$46,IF(AQ53=Цены!$H$47,Цены!$K$47,IF(AQ53=Цены!$H$48,Цены!$K$48,IF(AQ53=Цены!$H$49,Цены!$K$49,IF(AQ53=Цены!$H$50,Цены!$K$50,IF(AQ53=Цены!$H$51,Цены!$K$51,IF(AQ53=Цены!$H$52,Цены!$K$52,IF(AQ53=Цены!$H$53,Цены!$K$53,IF(AQ53=Цены!$H$54,Цены!$K$54,IF(AQ53=Цены!$H$55,Цены!$K$55))))))))))))))))))))))))))))))))))))))))))))))))))))))</f>
        <v>0</v>
      </c>
      <c r="AV53" s="265"/>
      <c r="AW53" s="265"/>
      <c r="AX53" s="269"/>
      <c r="AY53" s="286"/>
      <c r="AZ53" s="286"/>
      <c r="BA53" s="265"/>
      <c r="BB53" s="269"/>
      <c r="BC53" s="287"/>
      <c r="BD53" s="259"/>
      <c r="BE53" s="35"/>
      <c r="BF53" s="71"/>
      <c r="BG53" s="33" t="b">
        <f>IF(BE53=Цены!$H$3,Цены!$L$3,IF(BE53=Цены!$H$4,Цены!$L$4,IF(BE53=Цены!$H$5,Цены!$L$5,IF(BE53=Цены!$H$6,Цены!$L$6,IF(BE53=Цены!$H$7,Цены!$L$7,IF(BE53=Цены!$H$8,Цены!$L$8,IF(BE53=Цены!$H$9,Цены!$L$9,IF(BE53=Цены!$H$10,Цены!$L$10,IF(BE53=Цены!$H$11,Цены!$L$11,IF(BE53=Цены!$H$12,Цены!$L$12,IF(BE53=Цены!$H$13,Цены!$L$13,IF(BE53=Цены!$H$14,Цены!$L$14,IF(BE53=Цены!$H$14,Цены!$L$14,IF(BE53=Цены!$H$15,Цены!$L$15,IF(BE53=Цены!$H$16,Цены!$L$16,IF(BE53=Цены!$H$17,Цены!$L$17,IF(BE53=Цены!$H$18,Цены!$L$18,IF(BE53=Цены!$H$19,Цены!$L$19,IF(BE53=Цены!$H$20,Цены!$L$20,IF(BE53=Цены!$H$21,Цены!$L$21,IF(BE53=Цены!$H$22,Цены!$L$22,IF(BE53=Цены!$H$23,Цены!$L$23,IF(BE53=Цены!$H$24,Цены!$L$24,IF(BE53=Цены!$H$25,Цены!$L$25,IF(BE53=Цены!$H$26,Цены!$L$26,IF(BE53=Цены!$H$27,Цены!$L$27,IF(BE53=Цены!$H$28,Цены!$L$28,IF(BE53=Цены!$H$29,Цены!$L$29,IF(BE53=Цены!$H$30,Цены!$L$30,IF(BE53=Цены!$H$31,Цены!$L$31,IF(BE53=Цены!$H$32,Цены!$L$32,IF(BE53=Цены!$H$33,Цены!$L$33,IF(BE53=Цены!$H$34,Цены!$L$34,IF(BE53=Цены!$H$35,Цены!$L$35,IF(BE53=Цены!$H$36,Цены!$L$36,IF(BE53=Цены!$H$37,Цены!$L$37,IF(BE53=Цены!$H$38,Цены!$L$38,IF(BE53=Цены!$H$39,Цены!$L$39,IF(BE53=Цены!$H$40,Цены!$L$40,IF(BE53=Цены!$H$41,Цены!$L$41,IF(BE53=Цены!$H$42,Цены!$L$42,IF(BE53=Цены!$H$43,Цены!$L$43,IF(BE53=Цены!$H$44,Цены!$L$44,IF(BE53=Цены!$H$45,Цены!$L$45,IF(BE53=Цены!$H$46,Цены!$L$46,IF(BE53=Цены!$H$47,Цены!$L$47,IF(BE53=Цены!$H$48,Цены!$L$48,IF(BE53=Цены!$H$49,Цены!$L$49,IF(BE53=Цены!$H$50,Цены!$L$50,IF(BE53=Цены!$H$51,Цены!$L$51,IF(BE53=Цены!$H$52,Цены!$L$52,IF(BE53=Цены!$H$53,Цены!$L$53,IF(BE53=Цены!$H$54,Цены!$L$54,IF(BE53=Цены!$H$55,Цены!$L$55))))))))))))))))))))))))))))))))))))))))))))))))))))))</f>
        <v>0</v>
      </c>
      <c r="BH53" s="276"/>
      <c r="BI53" s="34" t="b">
        <f>IF(BE53=Цены!$H$3,Цены!$K$3,IF(BE53=Цены!$H$4,Цены!$K$4,IF(BE53=Цены!$H$5,Цены!$K$5,IF(BE53=Цены!$H$6,Цены!$K$6,IF(BE53=Цены!$H$7,Цены!$K$7,IF(BE53=Цены!$H$8,Цены!$K$8,IF(BE53=Цены!$H$9,Цены!$K$9,IF(BE53=Цены!$H$10,Цены!$K$10,IF(BE53=Цены!$H$11,Цены!$K$11,IF(BE53=Цены!$H$12,Цены!$K$12,IF(BE53=Цены!$H$13,Цены!$K$13,IF(BE53=Цены!$H$14,Цены!$K$14,IF(BE53=Цены!$H$14,Цены!$K$14,IF(BE53=Цены!$H$15,Цены!$K$15,IF(BE53=Цены!$H$16,Цены!$K$16,IF(BE53=Цены!$H$17,Цены!$K$17,IF(BE53=Цены!$H$18,Цены!$K$18,IF(BE53=Цены!$H$19,Цены!$K$19,IF(BE53=Цены!$H$20,Цены!$K$20,IF(BE53=Цены!$H$21,Цены!$K$21,IF(BE53=Цены!$H$22,Цены!$K$22,IF(BE53=Цены!$H$23,Цены!$K$23,IF(BE53=Цены!$H$24,Цены!$K$24,IF(BE53=Цены!$H$25,Цены!$K$25,IF(BE53=Цены!$H$26,Цены!$K$26,IF(BE53=Цены!$H$27,Цены!$K$27,IF(BE53=Цены!$H$28,Цены!$K$28,IF(BE53=Цены!$H$29,Цены!$K$29,IF(BE53=Цены!$H$30,Цены!$K$30,IF(BE53=Цены!$H$31,Цены!$K$31,IF(BE53=Цены!$H$32,Цены!$K$32,IF(BE53=Цены!$H$33,Цены!$K$33,IF(BE53=Цены!$H$34,Цены!$K$34,IF(BE53=Цены!$H$35,Цены!$K$35,IF(BE53=Цены!$H$36,Цены!$K$36,IF(BE53=Цены!$H$37,Цены!$K$37,IF(BE53=Цены!$H$38,Цены!$K$38,IF(BE53=Цены!$H$39,Цены!$K$39,IF(BE53=Цены!$H$40,Цены!$K$40,IF(BE53=Цены!$H$41,Цены!$K$41,IF(BE53=Цены!$H$42,Цены!$K$42,IF(BE53=Цены!$H$43,Цены!$K$43,IF(BE53=Цены!$H$44,Цены!$K$44,IF(BE53=Цены!$H$45,Цены!$K$45,IF(BE53=Цены!$H$46,Цены!$K$46,IF(BE53=Цены!$H$47,Цены!$K$47,IF(BE53=Цены!$H$48,Цены!$K$48,IF(BE53=Цены!$H$49,Цены!$K$49,IF(BE53=Цены!$H$50,Цены!$K$50,IF(BE53=Цены!$H$51,Цены!$K$51,IF(BE53=Цены!$H$52,Цены!$K$52,IF(BE53=Цены!$H$53,Цены!$K$53,IF(BE53=Цены!$H$54,Цены!$K$54,IF(BE53=Цены!$H$55,Цены!$K$55))))))))))))))))))))))))))))))))))))))))))))))))))))))</f>
        <v>0</v>
      </c>
      <c r="BJ53" s="265"/>
      <c r="BK53" s="265"/>
      <c r="BL53" s="269"/>
      <c r="BM53" s="286"/>
      <c r="BN53" s="286"/>
      <c r="BO53" s="268"/>
      <c r="BP53" s="269"/>
      <c r="BQ53" s="287"/>
      <c r="BR53" s="35"/>
      <c r="BS53" s="43"/>
      <c r="BT53" s="33" t="b">
        <f>IF(BR53=Цены!$H$3,Цены!$L$3,IF(BR53=Цены!$H$4,Цены!$L$4,IF(BR53=Цены!$H$5,Цены!$L$5,IF(BR53=Цены!$H$6,Цены!$L$6,IF(BR53=Цены!$H$7,Цены!$L$7,IF(BR53=Цены!$H$8,Цены!$L$8,IF(BR53=Цены!$H$9,Цены!$L$9,IF(BR53=Цены!$H$10,Цены!$L$10,IF(BR53=Цены!$H$11,Цены!$L$11,IF(BR53=Цены!$H$12,Цены!$L$12,IF(BR53=Цены!$H$13,Цены!$L$13,IF(BR53=Цены!$H$14,Цены!$L$14,IF(BR53=Цены!$H$14,Цены!$L$14,IF(BR53=Цены!$H$15,Цены!$L$15,IF(BR53=Цены!$H$16,Цены!$L$16,IF(BR53=Цены!$H$17,Цены!$L$17,IF(BR53=Цены!$H$18,Цены!$L$18,IF(BR53=Цены!$H$19,Цены!$L$19,IF(BR53=Цены!$H$20,Цены!$L$20,IF(BR53=Цены!$H$21,Цены!$L$21,IF(BR53=Цены!$H$22,Цены!$L$22,IF(BR53=Цены!$H$23,Цены!$L$23,IF(BR53=Цены!$H$24,Цены!$L$24,IF(BR53=Цены!$H$25,Цены!$L$25,IF(BR53=Цены!$H$26,Цены!$L$26,IF(BR53=Цены!$H$27,Цены!$L$27,IF(BR53=Цены!$H$28,Цены!$L$28,IF(BR53=Цены!$H$29,Цены!$L$29,IF(BR53=Цены!$H$30,Цены!$L$30,IF(BR53=Цены!$H$31,Цены!$L$31,IF(BR53=Цены!$H$32,Цены!$L$32,IF(BR53=Цены!$H$33,Цены!$L$33,IF(BR53=Цены!$H$34,Цены!$L$34,IF(BR53=Цены!$H$35,Цены!$L$35,IF(BR53=Цены!$H$36,Цены!$L$36,IF(BR53=Цены!$H$37,Цены!$L$37,IF(BR53=Цены!$H$38,Цены!$L$38,IF(BR53=Цены!$H$39,Цены!$L$39,IF(BR53=Цены!$H$40,Цены!$L$40,IF(BR53=Цены!$H$41,Цены!$L$41,IF(BR53=Цены!$H$42,Цены!$L$42,IF(BR53=Цены!$H$43,Цены!$L$43,IF(BR53=Цены!$H$44,Цены!$L$44,IF(BR53=Цены!$H$45,Цены!$L$45,IF(BR53=Цены!$H$46,Цены!$L$46,IF(BR53=Цены!$H$47,Цены!$L$47,IF(BR53=Цены!$H$48,Цены!$L$48,IF(BR53=Цены!$H$49,Цены!$L$49,IF(BR53=Цены!$H$50,Цены!$L$50,IF(BR53=Цены!$H$51,Цены!$L$51,IF(BR53=Цены!$H$52,Цены!$L$52,IF(BR53=Цены!$H$53,Цены!$L$53,IF(BR53=Цены!$H$54,Цены!$L$54,IF(BR53=Цены!$H$55,Цены!$L$55))))))))))))))))))))))))))))))))))))))))))))))))))))))</f>
        <v>0</v>
      </c>
      <c r="BU53" s="276"/>
      <c r="BV53" s="34" t="b">
        <f>IF(BR53=Цены!$H$3,Цены!$K$3,IF(BR53=Цены!$H$4,Цены!$K$4,IF(BR53=Цены!$H$5,Цены!$K$5,IF(BR53=Цены!$H$6,Цены!$K$6,IF(BR53=Цены!$H$7,Цены!$K$7,IF(BR53=Цены!$H$8,Цены!$K$8,IF(BR53=Цены!$H$9,Цены!$K$9,IF(BR53=Цены!$H$10,Цены!$K$10,IF(BR53=Цены!$H$11,Цены!$K$11,IF(BR53=Цены!$H$12,Цены!$K$12,IF(BR53=Цены!$H$13,Цены!$K$13,IF(BR53=Цены!$H$14,Цены!$K$14,IF(BR53=Цены!$H$14,Цены!$K$14,IF(BR53=Цены!$H$15,Цены!$K$15,IF(BR53=Цены!$H$16,Цены!$K$16,IF(BR53=Цены!$H$17,Цены!$K$17,IF(BR53=Цены!$H$18,Цены!$K$18,IF(BR53=Цены!$H$19,Цены!$K$19,IF(BR53=Цены!$H$20,Цены!$K$20,IF(BR53=Цены!$H$21,Цены!$K$21,IF(BR53=Цены!$H$22,Цены!$K$22,IF(BR53=Цены!$H$23,Цены!$K$23,IF(BR53=Цены!$H$24,Цены!$K$24,IF(BR53=Цены!$H$25,Цены!$K$25,IF(BR53=Цены!$H$26,Цены!$K$26,IF(BR53=Цены!$H$27,Цены!$K$27,IF(BR53=Цены!$H$28,Цены!$K$28,IF(BR53=Цены!$H$29,Цены!$K$29,IF(BR53=Цены!$H$30,Цены!$K$30,IF(BR53=Цены!$H$31,Цены!$K$31,IF(BR53=Цены!$H$32,Цены!$K$32,IF(BR53=Цены!$H$33,Цены!$K$33,IF(BR53=Цены!$H$34,Цены!$K$34,IF(BR53=Цены!$H$35,Цены!$K$35,IF(BR53=Цены!$H$36,Цены!$K$36,IF(BR53=Цены!$H$37,Цены!$K$37,IF(BR53=Цены!$H$38,Цены!$K$38,IF(BR53=Цены!$H$39,Цены!$K$39,IF(BR53=Цены!$H$40,Цены!$K$40,IF(BR53=Цены!$H$41,Цены!$K$41,IF(BR53=Цены!$H$42,Цены!$K$42,IF(BR53=Цены!$H$43,Цены!$K$43,IF(BR53=Цены!$H$44,Цены!$K$44,IF(BR53=Цены!$H$45,Цены!$K$45,IF(BR53=Цены!$H$46,Цены!$K$46,IF(BR53=Цены!$H$47,Цены!$K$47,IF(BR53=Цены!$H$48,Цены!$K$48,IF(BR53=Цены!$H$49,Цены!$K$49,IF(BR53=Цены!$H$50,Цены!$K$50,IF(BR53=Цены!$H$51,Цены!$K$51,IF(BR53=Цены!$H$52,Цены!$K$52,IF(BR53=Цены!$H$53,Цены!$K$53,IF(BR53=Цены!$H$54,Цены!$K$54,IF(BR53=Цены!$H$55,Цены!$K$55))))))))))))))))))))))))))))))))))))))))))))))))))))))</f>
        <v>0</v>
      </c>
      <c r="BW53" s="265"/>
      <c r="BX53" s="265"/>
      <c r="BY53" s="269"/>
      <c r="BZ53" s="286"/>
      <c r="CA53" s="286"/>
      <c r="CB53" s="268"/>
      <c r="CC53" s="269"/>
      <c r="CD53" s="287"/>
      <c r="CE53" s="117" t="s">
        <v>121</v>
      </c>
      <c r="CF53" s="43">
        <v>1</v>
      </c>
      <c r="CG53" s="33">
        <f>IF(CE53=Цены!$H$3,Цены!$L$3,IF(CE53=Цены!$H$4,Цены!$L$4,IF(CE53=Цены!$H$5,Цены!$L$5,IF(CE53=Цены!$H$6,Цены!$L$6,IF(CE53=Цены!$H$7,Цены!$L$7,IF(CE53=Цены!$H$8,Цены!$L$8,IF(CE53=Цены!$H$9,Цены!$L$9,IF(CE53=Цены!$H$10,Цены!$L$10,IF(CE53=Цены!$H$11,Цены!$L$11,IF(CE53=Цены!$H$12,Цены!$L$12,IF(CE53=Цены!$H$13,Цены!$L$13,IF(CE53=Цены!$H$14,Цены!$L$14,IF(CE53=Цены!$H$14,Цены!$L$14,IF(CE53=Цены!$H$15,Цены!$L$15,IF(CE53=Цены!$H$16,Цены!$L$16,IF(CE53=Цены!$H$17,Цены!$L$17,IF(CE53=Цены!$H$18,Цены!$L$18,IF(CE53=Цены!$H$19,Цены!$L$19,IF(CE53=Цены!$H$20,Цены!$L$20,IF(CE53=Цены!$H$21,Цены!$L$21,IF(CE53=Цены!$H$22,Цены!$L$22,IF(CE53=Цены!$H$23,Цены!$L$23,IF(CE53=Цены!$H$24,Цены!$L$24,IF(CE53=Цены!$H$25,Цены!$L$25,IF(CE53=Цены!$H$26,Цены!$L$26,IF(CE53=Цены!$H$27,Цены!$L$27,IF(CE53=Цены!$H$28,Цены!$L$28,IF(CE53=Цены!$H$29,Цены!$L$29,IF(CE53=Цены!$H$30,Цены!$L$30,IF(CE53=Цены!$H$31,Цены!$L$31,IF(CE53=Цены!$H$32,Цены!$L$32,IF(CE53=Цены!$H$33,Цены!$L$33,IF(CE53=Цены!$H$34,Цены!$L$34,IF(CE53=Цены!$H$35,Цены!$L$35,IF(CE53=Цены!$H$36,Цены!$L$36,IF(CE53=Цены!$H$37,Цены!$L$37,IF(CE53=Цены!$H$38,Цены!$L$38,IF(CE53=Цены!$H$39,Цены!$L$39,IF(CE53=Цены!$H$40,Цены!$L$40,IF(CE53=Цены!$H$41,Цены!$L$41,IF(CE53=Цены!$H$42,Цены!$L$42,IF(CE53=Цены!$H$43,Цены!$L$43,IF(CE53=Цены!$H$44,Цены!$L$44,IF(CE53=Цены!$H$45,Цены!$L$45,IF(CE53=Цены!$H$46,Цены!$L$46,IF(CE53=Цены!$H$47,Цены!$L$47,IF(CE53=Цены!$H$48,Цены!$L$48,IF(CE53=Цены!$H$49,Цены!$L$49,IF(CE53=Цены!$H$50,Цены!$L$50,IF(CE53=Цены!$H$51,Цены!$L$51,IF(CE53=Цены!$H$52,Цены!$L$52,IF(CE53=Цены!$H$53,Цены!$L$53,IF(CE53=Цены!$H$54,Цены!$L$54,IF(CE53=Цены!$H$55,Цены!$L$55))))))))))))))))))))))))))))))))))))))))))))))))))))))</f>
        <v>1.32E-2</v>
      </c>
      <c r="CH53" s="276"/>
      <c r="CI53" s="34">
        <f>IF(CE53=Цены!$H$3,Цены!$K$3,IF(CE53=Цены!$H$4,Цены!$K$4,IF(CE53=Цены!$H$5,Цены!$K$5,IF(CE53=Цены!$H$6,Цены!$K$6,IF(CE53=Цены!$H$7,Цены!$K$7,IF(CE53=Цены!$H$8,Цены!$K$8,IF(CE53=Цены!$H$9,Цены!$K$9,IF(CE53=Цены!$H$10,Цены!$K$10,IF(CE53=Цены!$H$11,Цены!$K$11,IF(CE53=Цены!$H$12,Цены!$K$12,IF(CE53=Цены!$H$13,Цены!$K$13,IF(CE53=Цены!$H$14,Цены!$K$14,IF(CE53=Цены!$H$14,Цены!$K$14,IF(CE53=Цены!$H$15,Цены!$K$15,IF(CE53=Цены!$H$16,Цены!$K$16,IF(CE53=Цены!$H$17,Цены!$K$17,IF(CE53=Цены!$H$18,Цены!$K$18,IF(CE53=Цены!$H$19,Цены!$K$19,IF(CE53=Цены!$H$20,Цены!$K$20,IF(CE53=Цены!$H$21,Цены!$K$21,IF(CE53=Цены!$H$22,Цены!$K$22,IF(CE53=Цены!$H$23,Цены!$K$23,IF(CE53=Цены!$H$24,Цены!$K$24,IF(CE53=Цены!$H$25,Цены!$K$25,IF(CE53=Цены!$H$26,Цены!$K$26,IF(CE53=Цены!$H$27,Цены!$K$27,IF(CE53=Цены!$H$28,Цены!$K$28,IF(CE53=Цены!$H$29,Цены!$K$29,IF(CE53=Цены!$H$30,Цены!$K$30,IF(CE53=Цены!$H$31,Цены!$K$31,IF(CE53=Цены!$H$32,Цены!$K$32,IF(CE53=Цены!$H$33,Цены!$K$33,IF(CE53=Цены!$H$34,Цены!$K$34,IF(CE53=Цены!$H$35,Цены!$K$35,IF(CE53=Цены!$H$36,Цены!$K$36,IF(CE53=Цены!$H$37,Цены!$K$37,IF(CE53=Цены!$H$38,Цены!$K$38,IF(CE53=Цены!$H$39,Цены!$K$39,IF(CE53=Цены!$H$40,Цены!$K$40,IF(CE53=Цены!$H$41,Цены!$K$41,IF(CE53=Цены!$H$42,Цены!$K$42,IF(CE53=Цены!$H$43,Цены!$K$43,IF(CE53=Цены!$H$44,Цены!$K$44,IF(CE53=Цены!$H$45,Цены!$K$45,IF(CE53=Цены!$H$46,Цены!$K$46,IF(CE53=Цены!$H$47,Цены!$K$47,IF(CE53=Цены!$H$48,Цены!$K$48,IF(CE53=Цены!$H$49,Цены!$K$49,IF(CE53=Цены!$H$50,Цены!$K$50,IF(CE53=Цены!$H$51,Цены!$K$51,IF(CE53=Цены!$H$52,Цены!$K$52,IF(CE53=Цены!$H$53,Цены!$K$53,IF(CE53=Цены!$H$54,Цены!$K$54,IF(CE53=Цены!$H$55,Цены!$K$55))))))))))))))))))))))))))))))))))))))))))))))))))))))</f>
        <v>54</v>
      </c>
      <c r="CJ53" s="265"/>
      <c r="CK53" s="265"/>
      <c r="CL53" s="269"/>
      <c r="CM53" s="286"/>
      <c r="CN53" s="286"/>
      <c r="CO53" s="268"/>
      <c r="CP53" s="269"/>
      <c r="CQ53" s="287"/>
    </row>
    <row r="54" spans="1:95" ht="15.75" hidden="1" customHeight="1" x14ac:dyDescent="0.25">
      <c r="A54" s="341"/>
      <c r="B54" s="265"/>
      <c r="C54" s="265"/>
      <c r="D54" s="26" t="s">
        <v>121</v>
      </c>
      <c r="E54" s="25">
        <v>3</v>
      </c>
      <c r="F54" s="27">
        <f>IF(D54=Цены!$H$3,Цены!$L$3,IF(D54=Цены!$H$4,Цены!$L$4,IF(D54=Цены!$H$5,Цены!$L$5,IF(D54=Цены!$H$6,Цены!$L$6,IF(D54=Цены!$H$7,Цены!$L$7,IF(D54=Цены!$H$8,Цены!$L$8,IF(D54=Цены!$H$9,Цены!$L$9,IF(D54=Цены!$H$10,Цены!$L$10,IF(D54=Цены!$H$11,Цены!$L$11,IF(D54=Цены!$H$12,Цены!$L$12,IF(D54=Цены!$H$13,Цены!$L$13,IF(D54=Цены!$H$14,Цены!$L$14,IF(D54=Цены!$H$14,Цены!$L$14,IF(D54=Цены!$H$15,Цены!$L$15,IF(D54=Цены!$H$16,Цены!$L$16,IF(D54=Цены!$H$17,Цены!$L$17,IF(D54=Цены!$H$18,Цены!$L$18,IF(D54=Цены!$H$19,Цены!$L$19,IF(D54=Цены!$H$20,Цены!$L$20,IF(D54=Цены!$H$21,Цены!$L$21,IF(D54=Цены!$H$22,Цены!$L$22,IF(D54=Цены!$H$23,Цены!$L$23,IF(D54=Цены!$H$24,Цены!$L$24,IF(D54=Цены!$H$25,Цены!$L$25,IF(D54=Цены!$H$26,Цены!$L$26,IF(D54=Цены!$H$27,Цены!$L$27,IF(D54=Цены!$H$28,Цены!$L$28,IF(D54=Цены!$H$29,Цены!$L$29,IF(D54=Цены!$H$30,Цены!$L$30,IF(D54=Цены!$H$31,Цены!$L$31,IF(D54=Цены!$H$32,Цены!$L$32,IF(D54=Цены!$H$33,Цены!$L$33,IF(D54=Цены!$H$34,Цены!$L$34,IF(D54=Цены!$H$35,Цены!$L$35,IF(D54=Цены!$H$36,Цены!$L$36,IF(D54=Цены!$H$37,Цены!$L$37,IF(D54=Цены!$H$38,Цены!$L$38,IF(D54=Цены!$H$39,Цены!$L$39,IF(D54=Цены!$H$40,Цены!$L$40,IF(D54=Цены!$H$41,Цены!$L$41,IF(D54=Цены!$H$42,Цены!$L$42,IF(D54=Цены!$H$43,Цены!$L$43,IF(D54=Цены!$H$44,Цены!$L$44,IF(D54=Цены!$H$45,Цены!$L$45,IF(D54=Цены!$H$46,Цены!$L$46,IF(D54=Цены!$H$47,Цены!$L$47,IF(D54=Цены!$H$48,Цены!$L$48,IF(D54=Цены!$H$49,Цены!$L$49,IF(D54=Цены!$H$50,Цены!$L$50,IF(D54=Цены!$H$51,Цены!$L$51,IF(D54=Цены!$H$52,Цены!$L$52,IF(D54=Цены!$H$53,Цены!$L$53,IF(D54=Цены!$H$54,Цены!$L$54,IF(D54=Цены!$H$55,Цены!$L$55))))))))))))))))))))))))))))))))))))))))))))))))))))))</f>
        <v>1.32E-2</v>
      </c>
      <c r="G54" s="309"/>
      <c r="H54" s="28">
        <f>IF(D54=Цены!$H$3,Цены!$K$3,IF(D54=Цены!$H$4,Цены!$K$4,IF(D54=Цены!$H$5,Цены!$K$5,IF(D54=Цены!$H$6,Цены!$K$6,IF(D54=Цены!$H$7,Цены!$K$7,IF(D54=Цены!$H$8,Цены!$K$8,IF(D54=Цены!$H$9,Цены!$K$9,IF(D54=Цены!$H$10,Цены!$K$10,IF(D54=Цены!$H$11,Цены!$K$11,IF(D54=Цены!$H$12,Цены!$K$12,IF(D54=Цены!$H$13,Цены!$K$13,IF(D54=Цены!$H$14,Цены!$K$14,IF(D54=Цены!$H$14,Цены!$K$14,IF(D54=Цены!$H$15,Цены!$K$15,IF(D54=Цены!$H$16,Цены!$K$16,IF(D54=Цены!$H$17,Цены!$K$17,IF(D54=Цены!$H$18,Цены!$K$18,IF(D54=Цены!$H$19,Цены!$K$19,IF(D54=Цены!$H$20,Цены!$K$20,IF(D54=Цены!$H$21,Цены!$K$21,IF(D54=Цены!$H$22,Цены!$K$22,IF(D54=Цены!$H$23,Цены!$K$23,IF(D54=Цены!$H$24,Цены!$K$24,IF(D54=Цены!$H$25,Цены!$K$25,IF(D54=Цены!$H$26,Цены!$K$26,IF(D54=Цены!$H$27,Цены!$K$27,IF(D54=Цены!$H$28,Цены!$K$28,IF(D54=Цены!$H$29,Цены!$K$29,IF(D54=Цены!$H$30,Цены!$K$30,IF(D54=Цены!$H$31,Цены!$K$31,IF(D54=Цены!$H$32,Цены!$K$32,IF(D54=Цены!$H$33,Цены!$K$33,IF(D54=Цены!$H$34,Цены!$K$34,IF(D54=Цены!$H$35,Цены!$K$35,IF(D54=Цены!$H$36,Цены!$K$36,IF(D54=Цены!$H$37,Цены!$K$37,IF(D54=Цены!$H$38,Цены!$K$38,IF(D54=Цены!$H$39,Цены!$K$39,IF(D54=Цены!$H$40,Цены!$K$40,IF(D54=Цены!$H$41,Цены!$K$41,IF(D54=Цены!$H$42,Цены!$K$42,IF(D54=Цены!$H$43,Цены!$K$43,IF(D54=Цены!$H$44,Цены!$K$44,IF(D54=Цены!$H$45,Цены!$K$45,IF(D54=Цены!$H$46,Цены!$K$46,IF(D54=Цены!$H$47,Цены!$K$47,IF(D54=Цены!$H$48,Цены!$K$48,IF(D54=Цены!$H$49,Цены!$K$49,IF(D54=Цены!$H$50,Цены!$K$50,IF(D54=Цены!$H$51,Цены!$K$51,IF(D54=Цены!$H$52,Цены!$K$52,IF(D54=Цены!$H$53,Цены!$K$53,IF(D54=Цены!$H$54,Цены!$K$54,IF(D54=Цены!$H$55,Цены!$K$55))))))))))))))))))))))))))))))))))))))))))))))))))))))</f>
        <v>54</v>
      </c>
      <c r="I54" s="265"/>
      <c r="J54" s="265"/>
      <c r="K54" s="310"/>
      <c r="L54" s="265"/>
      <c r="M54" s="265"/>
      <c r="N54" s="265"/>
      <c r="O54" s="310"/>
      <c r="P54" s="313"/>
      <c r="Q54" s="35"/>
      <c r="R54" s="30"/>
      <c r="S54" s="27" t="b">
        <f>IF(Q54=Цены!$H$3,Цены!$L$3,IF(Q54=Цены!$H$4,Цены!$L$4,IF(Q54=Цены!$H$5,Цены!$L$5,IF(Q54=Цены!$H$6,Цены!$L$6,IF(Q54=Цены!$H$7,Цены!$L$7,IF(Q54=Цены!$H$8,Цены!$L$8,IF(Q54=Цены!$H$9,Цены!$L$9,IF(Q54=Цены!$H$10,Цены!$L$10,IF(Q54=Цены!$H$11,Цены!$L$11,IF(Q54=Цены!$H$12,Цены!$L$12,IF(Q54=Цены!$H$13,Цены!$L$13,IF(Q54=Цены!$H$14,Цены!$L$14,IF(Q54=Цены!$H$14,Цены!$L$14,IF(Q54=Цены!$H$15,Цены!$L$15,IF(Q54=Цены!$H$16,Цены!$L$16,IF(Q54=Цены!$H$17,Цены!$L$17,IF(Q54=Цены!$H$18,Цены!$L$18,IF(Q54=Цены!$H$19,Цены!$L$19,IF(Q54=Цены!$H$20,Цены!$L$20,IF(Q54=Цены!$H$21,Цены!$L$21,IF(Q54=Цены!$H$22,Цены!$L$22,IF(Q54=Цены!$H$23,Цены!$L$23,IF(Q54=Цены!$H$24,Цены!$L$24,IF(Q54=Цены!$H$25,Цены!$L$25,IF(Q54=Цены!$H$26,Цены!$L$26,IF(Q54=Цены!$H$27,Цены!$L$27,IF(Q54=Цены!$H$28,Цены!$L$28,IF(Q54=Цены!$H$29,Цены!$L$29,IF(Q54=Цены!$H$30,Цены!$L$30,IF(Q54=Цены!$H$31,Цены!$L$31,IF(Q54=Цены!$H$32,Цены!$L$32,IF(Q54=Цены!$H$33,Цены!$L$33,IF(Q54=Цены!$H$34,Цены!$L$34,IF(Q54=Цены!$H$35,Цены!$L$35,IF(Q54=Цены!$H$36,Цены!$L$36,IF(Q54=Цены!$H$37,Цены!$L$37,IF(Q54=Цены!$H$38,Цены!$L$38,IF(Q54=Цены!$H$39,Цены!$L$39,IF(Q54=Цены!$H$40,Цены!$L$40,IF(Q54=Цены!$H$41,Цены!$L$41,IF(Q54=Цены!$H$42,Цены!$L$42,IF(Q54=Цены!$H$43,Цены!$L$43,IF(Q54=Цены!$H$44,Цены!$L$44,IF(Q54=Цены!$H$45,Цены!$L$45,IF(Q54=Цены!$H$46,Цены!$L$46,IF(Q54=Цены!$H$47,Цены!$L$47,IF(Q54=Цены!$H$48,Цены!$L$48,IF(Q54=Цены!$H$49,Цены!$L$49,IF(Q54=Цены!$H$50,Цены!$L$50,IF(Q54=Цены!$H$51,Цены!$L$51,IF(Q54=Цены!$H$52,Цены!$L$52,IF(Q54=Цены!$H$53,Цены!$L$53,IF(Q54=Цены!$H$54,Цены!$L$54,IF(Q54=Цены!$H$55,Цены!$L$55))))))))))))))))))))))))))))))))))))))))))))))))))))))</f>
        <v>0</v>
      </c>
      <c r="T54" s="309"/>
      <c r="U54" s="162" t="b">
        <f>IF(Q54=Цены!$H$3,Цены!$K$3,IF(Q54=Цены!$H$4,Цены!$K$4,IF(Q54=Цены!$H$5,Цены!$K$5,IF(Q54=Цены!$H$6,Цены!$K$6,IF(Q54=Цены!$H$7,Цены!$K$7,IF(Q54=Цены!$H$8,Цены!$K$8,IF(Q54=Цены!$H$9,Цены!$K$9,IF(Q54=Цены!$H$10,Цены!$K$10,IF(Q54=Цены!$H$11,Цены!$K$11,IF(Q54=Цены!$H$12,Цены!$K$12,IF(Q54=Цены!$H$13,Цены!$K$13,IF(Q54=Цены!$H$14,Цены!$K$14,IF(Q54=Цены!$H$14,Цены!$K$14,IF(Q54=Цены!$H$15,Цены!$K$15,IF(Q54=Цены!$H$16,Цены!$K$16,IF(Q54=Цены!$H$17,Цены!$K$17,IF(Q54=Цены!$H$18,Цены!$K$18,IF(Q54=Цены!$H$19,Цены!$K$19,IF(Q54=Цены!$H$20,Цены!$K$20,IF(Q54=Цены!$H$21,Цены!$K$21,IF(Q54=Цены!$H$22,Цены!$K$22,IF(Q54=Цены!$H$23,Цены!$K$23,IF(Q54=Цены!$H$24,Цены!$K$24,IF(Q54=Цены!$H$25,Цены!$K$25,IF(Q54=Цены!$H$26,Цены!$K$26,IF(Q54=Цены!$H$27,Цены!$K$27,IF(Q54=Цены!$H$28,Цены!$K$28,IF(Q54=Цены!$H$29,Цены!$K$29,IF(Q54=Цены!$H$30,Цены!$K$30,IF(Q54=Цены!$H$31,Цены!$K$31,IF(Q54=Цены!$H$32,Цены!$K$32,IF(Q54=Цены!$H$33,Цены!$K$33,IF(Q54=Цены!$H$34,Цены!$K$34,IF(Q54=Цены!$H$35,Цены!$K$35,IF(Q54=Цены!$H$36,Цены!$K$36,IF(Q54=Цены!$H$37,Цены!$K$37,IF(Q54=Цены!$H$38,Цены!$K$38,IF(Q54=Цены!$H$39,Цены!$K$39,IF(Q54=Цены!$H$40,Цены!$K$40,IF(Q54=Цены!$H$41,Цены!$K$41,IF(Q54=Цены!$H$42,Цены!$K$42,IF(Q54=Цены!$H$43,Цены!$K$43,IF(Q54=Цены!$H$44,Цены!$K$44,IF(Q54=Цены!$H$45,Цены!$K$45,IF(Q54=Цены!$H$46,Цены!$K$46,IF(Q54=Цены!$H$47,Цены!$K$47,IF(Q54=Цены!$H$48,Цены!$K$48,IF(Q54=Цены!$H$49,Цены!$K$49,IF(Q54=Цены!$H$50,Цены!$K$50,IF(Q54=Цены!$H$51,Цены!$K$51,IF(Q54=Цены!$H$52,Цены!$K$52,IF(Q54=Цены!$H$53,Цены!$K$53,IF(Q54=Цены!$H$54,Цены!$K$54,IF(Q54=Цены!$H$55,Цены!$K$55))))))))))))))))))))))))))))))))))))))))))))))))))))))</f>
        <v>0</v>
      </c>
      <c r="V54" s="265"/>
      <c r="W54" s="265"/>
      <c r="X54" s="310"/>
      <c r="Y54" s="265"/>
      <c r="Z54" s="265"/>
      <c r="AA54" s="265"/>
      <c r="AB54" s="310"/>
      <c r="AC54" s="313"/>
      <c r="AD54" s="123" t="s">
        <v>144</v>
      </c>
      <c r="AE54" s="30">
        <v>3</v>
      </c>
      <c r="AF54" s="27">
        <f>IF(AD54=Цены!$H$3,Цены!$L$3,IF(AD54=Цены!$H$4,Цены!$L$4,IF(AD54=Цены!$H$5,Цены!$L$5,IF(AD54=Цены!$H$6,Цены!$L$6,IF(AD54=Цены!$H$7,Цены!$L$7,IF(AD54=Цены!$H$8,Цены!$L$8,IF(AD54=Цены!$H$9,Цены!$L$9,IF(AD54=Цены!$H$10,Цены!$L$10,IF(AD54=Цены!$H$11,Цены!$L$11,IF(AD54=Цены!$H$12,Цены!$L$12,IF(AD54=Цены!$H$13,Цены!$L$13,IF(AD54=Цены!$H$14,Цены!$L$14,IF(AD54=Цены!$H$14,Цены!$L$14,IF(AD54=Цены!$H$15,Цены!$L$15,IF(AD54=Цены!$H$16,Цены!$L$16,IF(AD54=Цены!$H$17,Цены!$L$17,IF(AD54=Цены!$H$18,Цены!$L$18,IF(AD54=Цены!$H$19,Цены!$L$19,IF(AD54=Цены!$H$20,Цены!$L$20,IF(AD54=Цены!$H$21,Цены!$L$21,IF(AD54=Цены!$H$22,Цены!$L$22,IF(AD54=Цены!$H$23,Цены!$L$23,IF(AD54=Цены!$H$24,Цены!$L$24,IF(AD54=Цены!$H$25,Цены!$L$25,IF(AD54=Цены!$H$26,Цены!$L$26,IF(AD54=Цены!$H$27,Цены!$L$27,IF(AD54=Цены!$H$28,Цены!$L$28,IF(AD54=Цены!$H$29,Цены!$L$29,IF(AD54=Цены!$H$30,Цены!$L$30,IF(AD54=Цены!$H$31,Цены!$L$31,IF(AD54=Цены!$H$32,Цены!$L$32,IF(AD54=Цены!$H$33,Цены!$L$33,IF(AD54=Цены!$H$34,Цены!$L$34,IF(AD54=Цены!$H$35,Цены!$L$35,IF(AD54=Цены!$H$36,Цены!$L$36,IF(AD54=Цены!$H$37,Цены!$L$37,IF(AD54=Цены!$H$38,Цены!$L$38,IF(AD54=Цены!$H$39,Цены!$L$39,IF(AD54=Цены!$H$40,Цены!$L$40,IF(AD54=Цены!$H$41,Цены!$L$41,IF(AD54=Цены!$H$42,Цены!$L$42,IF(AD54=Цены!$H$43,Цены!$L$43,IF(AD54=Цены!$H$44,Цены!$L$44,IF(AD54=Цены!$H$45,Цены!$L$45,IF(AD54=Цены!$H$46,Цены!$L$46,IF(AD54=Цены!$H$47,Цены!$L$47,IF(AD54=Цены!$H$48,Цены!$L$48,IF(AD54=Цены!$H$49,Цены!$L$49,IF(AD54=Цены!$H$50,Цены!$L$50,IF(AD54=Цены!$H$51,Цены!$L$51,IF(AD54=Цены!$H$52,Цены!$L$52,IF(AD54=Цены!$H$53,Цены!$L$53,IF(AD54=Цены!$H$54,Цены!$L$54,IF(AD54=Цены!$H$55,Цены!$L$55))))))))))))))))))))))))))))))))))))))))))))))))))))))</f>
        <v>0.19</v>
      </c>
      <c r="AG54" s="309"/>
      <c r="AH54" s="28">
        <f>IF(AD54=Цены!$H$3,Цены!$K$3,IF(AD54=Цены!$H$4,Цены!$K$4,IF(AD54=Цены!$H$5,Цены!$K$5,IF(AD54=Цены!$H$6,Цены!$K$6,IF(AD54=Цены!$H$7,Цены!$K$7,IF(AD54=Цены!$H$8,Цены!$K$8,IF(AD54=Цены!$H$9,Цены!$K$9,IF(AD54=Цены!$H$10,Цены!$K$10,IF(AD54=Цены!$H$11,Цены!$K$11,IF(AD54=Цены!$H$12,Цены!$K$12,IF(AD54=Цены!$H$13,Цены!$K$13,IF(AD54=Цены!$H$14,Цены!$K$14,IF(AD54=Цены!$H$14,Цены!$K$14,IF(AD54=Цены!$H$15,Цены!$K$15,IF(AD54=Цены!$H$16,Цены!$K$16,IF(AD54=Цены!$H$17,Цены!$K$17,IF(AD54=Цены!$H$18,Цены!$K$18,IF(AD54=Цены!$H$19,Цены!$K$19,IF(AD54=Цены!$H$20,Цены!$K$20,IF(AD54=Цены!$H$21,Цены!$K$21,IF(AD54=Цены!$H$22,Цены!$K$22,IF(AD54=Цены!$H$23,Цены!$K$23,IF(AD54=Цены!$H$24,Цены!$K$24,IF(AD54=Цены!$H$25,Цены!$K$25,IF(AD54=Цены!$H$26,Цены!$K$26,IF(AD54=Цены!$H$27,Цены!$K$27,IF(AD54=Цены!$H$28,Цены!$K$28,IF(AD54=Цены!$H$29,Цены!$K$29,IF(AD54=Цены!$H$30,Цены!$K$30,IF(AD54=Цены!$H$31,Цены!$K$31,IF(AD54=Цены!$H$32,Цены!$K$32,IF(AD54=Цены!$H$33,Цены!$K$33,IF(AD54=Цены!$H$34,Цены!$K$34,IF(AD54=Цены!$H$35,Цены!$K$35,IF(AD54=Цены!$H$36,Цены!$K$36,IF(AD54=Цены!$H$37,Цены!$K$37,IF(AD54=Цены!$H$38,Цены!$K$38,IF(AD54=Цены!$H$39,Цены!$K$39,IF(AD54=Цены!$H$40,Цены!$K$40,IF(AD54=Цены!$H$41,Цены!$K$41,IF(AD54=Цены!$H$42,Цены!$K$42,IF(AD54=Цены!$H$43,Цены!$K$43,IF(AD54=Цены!$H$44,Цены!$K$44,IF(AD54=Цены!$H$45,Цены!$K$45,IF(AD54=Цены!$H$46,Цены!$K$46,IF(AD54=Цены!$H$47,Цены!$K$47,IF(AD54=Цены!$H$48,Цены!$K$48,IF(AD54=Цены!$H$49,Цены!$K$49,IF(AD54=Цены!$H$50,Цены!$K$50,IF(AD54=Цены!$H$51,Цены!$K$51,IF(AD54=Цены!$H$52,Цены!$K$52,IF(AD54=Цены!$H$53,Цены!$K$53,IF(AD54=Цены!$H$54,Цены!$K$54,IF(AD54=Цены!$H$55,Цены!$K$55))))))))))))))))))))))))))))))))))))))))))))))))))))))</f>
        <v>448</v>
      </c>
      <c r="AI54" s="265"/>
      <c r="AJ54" s="265"/>
      <c r="AK54" s="310"/>
      <c r="AL54" s="265"/>
      <c r="AM54" s="265"/>
      <c r="AN54" s="265"/>
      <c r="AO54" s="310"/>
      <c r="AP54" s="313"/>
      <c r="AQ54" s="117"/>
      <c r="AR54" s="129"/>
      <c r="AS54" s="33" t="b">
        <f>IF(AQ54=Цены!$H$3,Цены!$L$3,IF(AQ54=Цены!$H$4,Цены!$L$4,IF(AQ54=Цены!$H$5,Цены!$L$5,IF(AQ54=Цены!$H$6,Цены!$L$6,IF(AQ54=Цены!$H$7,Цены!$L$7,IF(AQ54=Цены!$H$8,Цены!$L$8,IF(AQ54=Цены!$H$9,Цены!$L$9,IF(AQ54=Цены!$H$10,Цены!$L$10,IF(AQ54=Цены!$H$11,Цены!$L$11,IF(AQ54=Цены!$H$12,Цены!$L$12,IF(AQ54=Цены!$H$13,Цены!$L$13,IF(AQ54=Цены!$H$14,Цены!$L$14,IF(AQ54=Цены!$H$14,Цены!$L$14,IF(AQ54=Цены!$H$15,Цены!$L$15,IF(AQ54=Цены!$H$16,Цены!$L$16,IF(AQ54=Цены!$H$17,Цены!$L$17,IF(AQ54=Цены!$H$18,Цены!$L$18,IF(AQ54=Цены!$H$19,Цены!$L$19,IF(AQ54=Цены!$H$20,Цены!$L$20,IF(AQ54=Цены!$H$21,Цены!$L$21,IF(AQ54=Цены!$H$22,Цены!$L$22,IF(AQ54=Цены!$H$23,Цены!$L$23,IF(AQ54=Цены!$H$24,Цены!$L$24,IF(AQ54=Цены!$H$25,Цены!$L$25,IF(AQ54=Цены!$H$26,Цены!$L$26,IF(AQ54=Цены!$H$27,Цены!$L$27,IF(AQ54=Цены!$H$28,Цены!$L$28,IF(AQ54=Цены!$H$29,Цены!$L$29,IF(AQ54=Цены!$H$30,Цены!$L$30,IF(AQ54=Цены!$H$31,Цены!$L$31,IF(AQ54=Цены!$H$32,Цены!$L$32,IF(AQ54=Цены!$H$33,Цены!$L$33,IF(AQ54=Цены!$H$34,Цены!$L$34,IF(AQ54=Цены!$H$35,Цены!$L$35,IF(AQ54=Цены!$H$36,Цены!$L$36,IF(AQ54=Цены!$H$37,Цены!$L$37,IF(AQ54=Цены!$H$38,Цены!$L$38,IF(AQ54=Цены!$H$39,Цены!$L$39,IF(AQ54=Цены!$H$40,Цены!$L$40,IF(AQ54=Цены!$H$41,Цены!$L$41,IF(AQ54=Цены!$H$42,Цены!$L$42,IF(AQ54=Цены!$H$43,Цены!$L$43,IF(AQ54=Цены!$H$44,Цены!$L$44,IF(AQ54=Цены!$H$45,Цены!$L$45,IF(AQ54=Цены!$H$46,Цены!$L$46,IF(AQ54=Цены!$H$47,Цены!$L$47,IF(AQ54=Цены!$H$48,Цены!$L$48,IF(AQ54=Цены!$H$49,Цены!$L$49,IF(AQ54=Цены!$H$50,Цены!$L$50,IF(AQ54=Цены!$H$51,Цены!$L$51,IF(AQ54=Цены!$H$52,Цены!$L$52,IF(AQ54=Цены!$H$53,Цены!$L$53,IF(AQ54=Цены!$H$54,Цены!$L$54,IF(AQ54=Цены!$H$55,Цены!$L$55))))))))))))))))))))))))))))))))))))))))))))))))))))))</f>
        <v>0</v>
      </c>
      <c r="AT54" s="276"/>
      <c r="AU54" s="34" t="b">
        <f>IF(AQ54=Цены!$H$3,Цены!$K$3,IF(AQ54=Цены!$H$4,Цены!$K$4,IF(AQ54=Цены!$H$5,Цены!$K$5,IF(AQ54=Цены!$H$6,Цены!$K$6,IF(AQ54=Цены!$H$7,Цены!$K$7,IF(AQ54=Цены!$H$8,Цены!$K$8,IF(AQ54=Цены!$H$9,Цены!$K$9,IF(AQ54=Цены!$H$10,Цены!$K$10,IF(AQ54=Цены!$H$11,Цены!$K$11,IF(AQ54=Цены!$H$12,Цены!$K$12,IF(AQ54=Цены!$H$13,Цены!$K$13,IF(AQ54=Цены!$H$14,Цены!$K$14,IF(AQ54=Цены!$H$14,Цены!$K$14,IF(AQ54=Цены!$H$15,Цены!$K$15,IF(AQ54=Цены!$H$16,Цены!$K$16,IF(AQ54=Цены!$H$17,Цены!$K$17,IF(AQ54=Цены!$H$18,Цены!$K$18,IF(AQ54=Цены!$H$19,Цены!$K$19,IF(AQ54=Цены!$H$20,Цены!$K$20,IF(AQ54=Цены!$H$21,Цены!$K$21,IF(AQ54=Цены!$H$22,Цены!$K$22,IF(AQ54=Цены!$H$23,Цены!$K$23,IF(AQ54=Цены!$H$24,Цены!$K$24,IF(AQ54=Цены!$H$25,Цены!$K$25,IF(AQ54=Цены!$H$26,Цены!$K$26,IF(AQ54=Цены!$H$27,Цены!$K$27,IF(AQ54=Цены!$H$28,Цены!$K$28,IF(AQ54=Цены!$H$29,Цены!$K$29,IF(AQ54=Цены!$H$30,Цены!$K$30,IF(AQ54=Цены!$H$31,Цены!$K$31,IF(AQ54=Цены!$H$32,Цены!$K$32,IF(AQ54=Цены!$H$33,Цены!$K$33,IF(AQ54=Цены!$H$34,Цены!$K$34,IF(AQ54=Цены!$H$35,Цены!$K$35,IF(AQ54=Цены!$H$36,Цены!$K$36,IF(AQ54=Цены!$H$37,Цены!$K$37,IF(AQ54=Цены!$H$38,Цены!$K$38,IF(AQ54=Цены!$H$39,Цены!$K$39,IF(AQ54=Цены!$H$40,Цены!$K$40,IF(AQ54=Цены!$H$41,Цены!$K$41,IF(AQ54=Цены!$H$42,Цены!$K$42,IF(AQ54=Цены!$H$43,Цены!$K$43,IF(AQ54=Цены!$H$44,Цены!$K$44,IF(AQ54=Цены!$H$45,Цены!$K$45,IF(AQ54=Цены!$H$46,Цены!$K$46,IF(AQ54=Цены!$H$47,Цены!$K$47,IF(AQ54=Цены!$H$48,Цены!$K$48,IF(AQ54=Цены!$H$49,Цены!$K$49,IF(AQ54=Цены!$H$50,Цены!$K$50,IF(AQ54=Цены!$H$51,Цены!$K$51,IF(AQ54=Цены!$H$52,Цены!$K$52,IF(AQ54=Цены!$H$53,Цены!$K$53,IF(AQ54=Цены!$H$54,Цены!$K$54,IF(AQ54=Цены!$H$55,Цены!$K$55))))))))))))))))))))))))))))))))))))))))))))))))))))))</f>
        <v>0</v>
      </c>
      <c r="AV54" s="265"/>
      <c r="AW54" s="265"/>
      <c r="AX54" s="269"/>
      <c r="AY54" s="286"/>
      <c r="AZ54" s="286"/>
      <c r="BA54" s="265"/>
      <c r="BB54" s="269"/>
      <c r="BC54" s="287"/>
      <c r="BD54" s="260"/>
      <c r="BE54" s="35"/>
      <c r="BF54" s="71"/>
      <c r="BG54" s="33" t="b">
        <f>IF(BE54=Цены!$H$3,Цены!$L$3,IF(BE54=Цены!$H$4,Цены!$L$4,IF(BE54=Цены!$H$5,Цены!$L$5,IF(BE54=Цены!$H$6,Цены!$L$6,IF(BE54=Цены!$H$7,Цены!$L$7,IF(BE54=Цены!$H$8,Цены!$L$8,IF(BE54=Цены!$H$9,Цены!$L$9,IF(BE54=Цены!$H$10,Цены!$L$10,IF(BE54=Цены!$H$11,Цены!$L$11,IF(BE54=Цены!$H$12,Цены!$L$12,IF(BE54=Цены!$H$13,Цены!$L$13,IF(BE54=Цены!$H$14,Цены!$L$14,IF(BE54=Цены!$H$14,Цены!$L$14,IF(BE54=Цены!$H$15,Цены!$L$15,IF(BE54=Цены!$H$16,Цены!$L$16,IF(BE54=Цены!$H$17,Цены!$L$17,IF(BE54=Цены!$H$18,Цены!$L$18,IF(BE54=Цены!$H$19,Цены!$L$19,IF(BE54=Цены!$H$20,Цены!$L$20,IF(BE54=Цены!$H$21,Цены!$L$21,IF(BE54=Цены!$H$22,Цены!$L$22,IF(BE54=Цены!$H$23,Цены!$L$23,IF(BE54=Цены!$H$24,Цены!$L$24,IF(BE54=Цены!$H$25,Цены!$L$25,IF(BE54=Цены!$H$26,Цены!$L$26,IF(BE54=Цены!$H$27,Цены!$L$27,IF(BE54=Цены!$H$28,Цены!$L$28,IF(BE54=Цены!$H$29,Цены!$L$29,IF(BE54=Цены!$H$30,Цены!$L$30,IF(BE54=Цены!$H$31,Цены!$L$31,IF(BE54=Цены!$H$32,Цены!$L$32,IF(BE54=Цены!$H$33,Цены!$L$33,IF(BE54=Цены!$H$34,Цены!$L$34,IF(BE54=Цены!$H$35,Цены!$L$35,IF(BE54=Цены!$H$36,Цены!$L$36,IF(BE54=Цены!$H$37,Цены!$L$37,IF(BE54=Цены!$H$38,Цены!$L$38,IF(BE54=Цены!$H$39,Цены!$L$39,IF(BE54=Цены!$H$40,Цены!$L$40,IF(BE54=Цены!$H$41,Цены!$L$41,IF(BE54=Цены!$H$42,Цены!$L$42,IF(BE54=Цены!$H$43,Цены!$L$43,IF(BE54=Цены!$H$44,Цены!$L$44,IF(BE54=Цены!$H$45,Цены!$L$45,IF(BE54=Цены!$H$46,Цены!$L$46,IF(BE54=Цены!$H$47,Цены!$L$47,IF(BE54=Цены!$H$48,Цены!$L$48,IF(BE54=Цены!$H$49,Цены!$L$49,IF(BE54=Цены!$H$50,Цены!$L$50,IF(BE54=Цены!$H$51,Цены!$L$51,IF(BE54=Цены!$H$52,Цены!$L$52,IF(BE54=Цены!$H$53,Цены!$L$53,IF(BE54=Цены!$H$54,Цены!$L$54,IF(BE54=Цены!$H$55,Цены!$L$55))))))))))))))))))))))))))))))))))))))))))))))))))))))</f>
        <v>0</v>
      </c>
      <c r="BH54" s="276"/>
      <c r="BI54" s="34" t="b">
        <f>IF(BE54=Цены!$H$3,Цены!$K$3,IF(BE54=Цены!$H$4,Цены!$K$4,IF(BE54=Цены!$H$5,Цены!$K$5,IF(BE54=Цены!$H$6,Цены!$K$6,IF(BE54=Цены!$H$7,Цены!$K$7,IF(BE54=Цены!$H$8,Цены!$K$8,IF(BE54=Цены!$H$9,Цены!$K$9,IF(BE54=Цены!$H$10,Цены!$K$10,IF(BE54=Цены!$H$11,Цены!$K$11,IF(BE54=Цены!$H$12,Цены!$K$12,IF(BE54=Цены!$H$13,Цены!$K$13,IF(BE54=Цены!$H$14,Цены!$K$14,IF(BE54=Цены!$H$14,Цены!$K$14,IF(BE54=Цены!$H$15,Цены!$K$15,IF(BE54=Цены!$H$16,Цены!$K$16,IF(BE54=Цены!$H$17,Цены!$K$17,IF(BE54=Цены!$H$18,Цены!$K$18,IF(BE54=Цены!$H$19,Цены!$K$19,IF(BE54=Цены!$H$20,Цены!$K$20,IF(BE54=Цены!$H$21,Цены!$K$21,IF(BE54=Цены!$H$22,Цены!$K$22,IF(BE54=Цены!$H$23,Цены!$K$23,IF(BE54=Цены!$H$24,Цены!$K$24,IF(BE54=Цены!$H$25,Цены!$K$25,IF(BE54=Цены!$H$26,Цены!$K$26,IF(BE54=Цены!$H$27,Цены!$K$27,IF(BE54=Цены!$H$28,Цены!$K$28,IF(BE54=Цены!$H$29,Цены!$K$29,IF(BE54=Цены!$H$30,Цены!$K$30,IF(BE54=Цены!$H$31,Цены!$K$31,IF(BE54=Цены!$H$32,Цены!$K$32,IF(BE54=Цены!$H$33,Цены!$K$33,IF(BE54=Цены!$H$34,Цены!$K$34,IF(BE54=Цены!$H$35,Цены!$K$35,IF(BE54=Цены!$H$36,Цены!$K$36,IF(BE54=Цены!$H$37,Цены!$K$37,IF(BE54=Цены!$H$38,Цены!$K$38,IF(BE54=Цены!$H$39,Цены!$K$39,IF(BE54=Цены!$H$40,Цены!$K$40,IF(BE54=Цены!$H$41,Цены!$K$41,IF(BE54=Цены!$H$42,Цены!$K$42,IF(BE54=Цены!$H$43,Цены!$K$43,IF(BE54=Цены!$H$44,Цены!$K$44,IF(BE54=Цены!$H$45,Цены!$K$45,IF(BE54=Цены!$H$46,Цены!$K$46,IF(BE54=Цены!$H$47,Цены!$K$47,IF(BE54=Цены!$H$48,Цены!$K$48,IF(BE54=Цены!$H$49,Цены!$K$49,IF(BE54=Цены!$H$50,Цены!$K$50,IF(BE54=Цены!$H$51,Цены!$K$51,IF(BE54=Цены!$H$52,Цены!$K$52,IF(BE54=Цены!$H$53,Цены!$K$53,IF(BE54=Цены!$H$54,Цены!$K$54,IF(BE54=Цены!$H$55,Цены!$K$55))))))))))))))))))))))))))))))))))))))))))))))))))))))</f>
        <v>0</v>
      </c>
      <c r="BJ54" s="265"/>
      <c r="BK54" s="265"/>
      <c r="BL54" s="269"/>
      <c r="BM54" s="286"/>
      <c r="BN54" s="286"/>
      <c r="BO54" s="268"/>
      <c r="BP54" s="269"/>
      <c r="BQ54" s="287"/>
      <c r="BR54" s="35"/>
      <c r="BS54" s="43"/>
      <c r="BT54" s="33" t="b">
        <f>IF(BR54=Цены!$H$3,Цены!$L$3,IF(BR54=Цены!$H$4,Цены!$L$4,IF(BR54=Цены!$H$5,Цены!$L$5,IF(BR54=Цены!$H$6,Цены!$L$6,IF(BR54=Цены!$H$7,Цены!$L$7,IF(BR54=Цены!$H$8,Цены!$L$8,IF(BR54=Цены!$H$9,Цены!$L$9,IF(BR54=Цены!$H$10,Цены!$L$10,IF(BR54=Цены!$H$11,Цены!$L$11,IF(BR54=Цены!$H$12,Цены!$L$12,IF(BR54=Цены!$H$13,Цены!$L$13,IF(BR54=Цены!$H$14,Цены!$L$14,IF(BR54=Цены!$H$14,Цены!$L$14,IF(BR54=Цены!$H$15,Цены!$L$15,IF(BR54=Цены!$H$16,Цены!$L$16,IF(BR54=Цены!$H$17,Цены!$L$17,IF(BR54=Цены!$H$18,Цены!$L$18,IF(BR54=Цены!$H$19,Цены!$L$19,IF(BR54=Цены!$H$20,Цены!$L$20,IF(BR54=Цены!$H$21,Цены!$L$21,IF(BR54=Цены!$H$22,Цены!$L$22,IF(BR54=Цены!$H$23,Цены!$L$23,IF(BR54=Цены!$H$24,Цены!$L$24,IF(BR54=Цены!$H$25,Цены!$L$25,IF(BR54=Цены!$H$26,Цены!$L$26,IF(BR54=Цены!$H$27,Цены!$L$27,IF(BR54=Цены!$H$28,Цены!$L$28,IF(BR54=Цены!$H$29,Цены!$L$29,IF(BR54=Цены!$H$30,Цены!$L$30,IF(BR54=Цены!$H$31,Цены!$L$31,IF(BR54=Цены!$H$32,Цены!$L$32,IF(BR54=Цены!$H$33,Цены!$L$33,IF(BR54=Цены!$H$34,Цены!$L$34,IF(BR54=Цены!$H$35,Цены!$L$35,IF(BR54=Цены!$H$36,Цены!$L$36,IF(BR54=Цены!$H$37,Цены!$L$37,IF(BR54=Цены!$H$38,Цены!$L$38,IF(BR54=Цены!$H$39,Цены!$L$39,IF(BR54=Цены!$H$40,Цены!$L$40,IF(BR54=Цены!$H$41,Цены!$L$41,IF(BR54=Цены!$H$42,Цены!$L$42,IF(BR54=Цены!$H$43,Цены!$L$43,IF(BR54=Цены!$H$44,Цены!$L$44,IF(BR54=Цены!$H$45,Цены!$L$45,IF(BR54=Цены!$H$46,Цены!$L$46,IF(BR54=Цены!$H$47,Цены!$L$47,IF(BR54=Цены!$H$48,Цены!$L$48,IF(BR54=Цены!$H$49,Цены!$L$49,IF(BR54=Цены!$H$50,Цены!$L$50,IF(BR54=Цены!$H$51,Цены!$L$51,IF(BR54=Цены!$H$52,Цены!$L$52,IF(BR54=Цены!$H$53,Цены!$L$53,IF(BR54=Цены!$H$54,Цены!$L$54,IF(BR54=Цены!$H$55,Цены!$L$55))))))))))))))))))))))))))))))))))))))))))))))))))))))</f>
        <v>0</v>
      </c>
      <c r="BU54" s="276"/>
      <c r="BV54" s="34" t="b">
        <f>IF(BR54=Цены!$H$3,Цены!$K$3,IF(BR54=Цены!$H$4,Цены!$K$4,IF(BR54=Цены!$H$5,Цены!$K$5,IF(BR54=Цены!$H$6,Цены!$K$6,IF(BR54=Цены!$H$7,Цены!$K$7,IF(BR54=Цены!$H$8,Цены!$K$8,IF(BR54=Цены!$H$9,Цены!$K$9,IF(BR54=Цены!$H$10,Цены!$K$10,IF(BR54=Цены!$H$11,Цены!$K$11,IF(BR54=Цены!$H$12,Цены!$K$12,IF(BR54=Цены!$H$13,Цены!$K$13,IF(BR54=Цены!$H$14,Цены!$K$14,IF(BR54=Цены!$H$14,Цены!$K$14,IF(BR54=Цены!$H$15,Цены!$K$15,IF(BR54=Цены!$H$16,Цены!$K$16,IF(BR54=Цены!$H$17,Цены!$K$17,IF(BR54=Цены!$H$18,Цены!$K$18,IF(BR54=Цены!$H$19,Цены!$K$19,IF(BR54=Цены!$H$20,Цены!$K$20,IF(BR54=Цены!$H$21,Цены!$K$21,IF(BR54=Цены!$H$22,Цены!$K$22,IF(BR54=Цены!$H$23,Цены!$K$23,IF(BR54=Цены!$H$24,Цены!$K$24,IF(BR54=Цены!$H$25,Цены!$K$25,IF(BR54=Цены!$H$26,Цены!$K$26,IF(BR54=Цены!$H$27,Цены!$K$27,IF(BR54=Цены!$H$28,Цены!$K$28,IF(BR54=Цены!$H$29,Цены!$K$29,IF(BR54=Цены!$H$30,Цены!$K$30,IF(BR54=Цены!$H$31,Цены!$K$31,IF(BR54=Цены!$H$32,Цены!$K$32,IF(BR54=Цены!$H$33,Цены!$K$33,IF(BR54=Цены!$H$34,Цены!$K$34,IF(BR54=Цены!$H$35,Цены!$K$35,IF(BR54=Цены!$H$36,Цены!$K$36,IF(BR54=Цены!$H$37,Цены!$K$37,IF(BR54=Цены!$H$38,Цены!$K$38,IF(BR54=Цены!$H$39,Цены!$K$39,IF(BR54=Цены!$H$40,Цены!$K$40,IF(BR54=Цены!$H$41,Цены!$K$41,IF(BR54=Цены!$H$42,Цены!$K$42,IF(BR54=Цены!$H$43,Цены!$K$43,IF(BR54=Цены!$H$44,Цены!$K$44,IF(BR54=Цены!$H$45,Цены!$K$45,IF(BR54=Цены!$H$46,Цены!$K$46,IF(BR54=Цены!$H$47,Цены!$K$47,IF(BR54=Цены!$H$48,Цены!$K$48,IF(BR54=Цены!$H$49,Цены!$K$49,IF(BR54=Цены!$H$50,Цены!$K$50,IF(BR54=Цены!$H$51,Цены!$K$51,IF(BR54=Цены!$H$52,Цены!$K$52,IF(BR54=Цены!$H$53,Цены!$K$53,IF(BR54=Цены!$H$54,Цены!$K$54,IF(BR54=Цены!$H$55,Цены!$K$55))))))))))))))))))))))))))))))))))))))))))))))))))))))</f>
        <v>0</v>
      </c>
      <c r="BW54" s="265"/>
      <c r="BX54" s="265"/>
      <c r="BY54" s="269"/>
      <c r="BZ54" s="286"/>
      <c r="CA54" s="286"/>
      <c r="CB54" s="268"/>
      <c r="CC54" s="269"/>
      <c r="CD54" s="287"/>
      <c r="CE54" s="117"/>
      <c r="CF54" s="43"/>
      <c r="CG54" s="33" t="b">
        <f>IF(CE54=Цены!$H$3,Цены!$L$3,IF(CE54=Цены!$H$4,Цены!$L$4,IF(CE54=Цены!$H$5,Цены!$L$5,IF(CE54=Цены!$H$6,Цены!$L$6,IF(CE54=Цены!$H$7,Цены!$L$7,IF(CE54=Цены!$H$8,Цены!$L$8,IF(CE54=Цены!$H$9,Цены!$L$9,IF(CE54=Цены!$H$10,Цены!$L$10,IF(CE54=Цены!$H$11,Цены!$L$11,IF(CE54=Цены!$H$12,Цены!$L$12,IF(CE54=Цены!$H$13,Цены!$L$13,IF(CE54=Цены!$H$14,Цены!$L$14,IF(CE54=Цены!$H$14,Цены!$L$14,IF(CE54=Цены!$H$15,Цены!$L$15,IF(CE54=Цены!$H$16,Цены!$L$16,IF(CE54=Цены!$H$17,Цены!$L$17,IF(CE54=Цены!$H$18,Цены!$L$18,IF(CE54=Цены!$H$19,Цены!$L$19,IF(CE54=Цены!$H$20,Цены!$L$20,IF(CE54=Цены!$H$21,Цены!$L$21,IF(CE54=Цены!$H$22,Цены!$L$22,IF(CE54=Цены!$H$23,Цены!$L$23,IF(CE54=Цены!$H$24,Цены!$L$24,IF(CE54=Цены!$H$25,Цены!$L$25,IF(CE54=Цены!$H$26,Цены!$L$26,IF(CE54=Цены!$H$27,Цены!$L$27,IF(CE54=Цены!$H$28,Цены!$L$28,IF(CE54=Цены!$H$29,Цены!$L$29,IF(CE54=Цены!$H$30,Цены!$L$30,IF(CE54=Цены!$H$31,Цены!$L$31,IF(CE54=Цены!$H$32,Цены!$L$32,IF(CE54=Цены!$H$33,Цены!$L$33,IF(CE54=Цены!$H$34,Цены!$L$34,IF(CE54=Цены!$H$35,Цены!$L$35,IF(CE54=Цены!$H$36,Цены!$L$36,IF(CE54=Цены!$H$37,Цены!$L$37,IF(CE54=Цены!$H$38,Цены!$L$38,IF(CE54=Цены!$H$39,Цены!$L$39,IF(CE54=Цены!$H$40,Цены!$L$40,IF(CE54=Цены!$H$41,Цены!$L$41,IF(CE54=Цены!$H$42,Цены!$L$42,IF(CE54=Цены!$H$43,Цены!$L$43,IF(CE54=Цены!$H$44,Цены!$L$44,IF(CE54=Цены!$H$45,Цены!$L$45,IF(CE54=Цены!$H$46,Цены!$L$46,IF(CE54=Цены!$H$47,Цены!$L$47,IF(CE54=Цены!$H$48,Цены!$L$48,IF(CE54=Цены!$H$49,Цены!$L$49,IF(CE54=Цены!$H$50,Цены!$L$50,IF(CE54=Цены!$H$51,Цены!$L$51,IF(CE54=Цены!$H$52,Цены!$L$52,IF(CE54=Цены!$H$53,Цены!$L$53,IF(CE54=Цены!$H$54,Цены!$L$54,IF(CE54=Цены!$H$55,Цены!$L$55))))))))))))))))))))))))))))))))))))))))))))))))))))))</f>
        <v>0</v>
      </c>
      <c r="CH54" s="276"/>
      <c r="CI54" s="34" t="b">
        <f>IF(CE54=Цены!$H$3,Цены!$K$3,IF(CE54=Цены!$H$4,Цены!$K$4,IF(CE54=Цены!$H$5,Цены!$K$5,IF(CE54=Цены!$H$6,Цены!$K$6,IF(CE54=Цены!$H$7,Цены!$K$7,IF(CE54=Цены!$H$8,Цены!$K$8,IF(CE54=Цены!$H$9,Цены!$K$9,IF(CE54=Цены!$H$10,Цены!$K$10,IF(CE54=Цены!$H$11,Цены!$K$11,IF(CE54=Цены!$H$12,Цены!$K$12,IF(CE54=Цены!$H$13,Цены!$K$13,IF(CE54=Цены!$H$14,Цены!$K$14,IF(CE54=Цены!$H$14,Цены!$K$14,IF(CE54=Цены!$H$15,Цены!$K$15,IF(CE54=Цены!$H$16,Цены!$K$16,IF(CE54=Цены!$H$17,Цены!$K$17,IF(CE54=Цены!$H$18,Цены!$K$18,IF(CE54=Цены!$H$19,Цены!$K$19,IF(CE54=Цены!$H$20,Цены!$K$20,IF(CE54=Цены!$H$21,Цены!$K$21,IF(CE54=Цены!$H$22,Цены!$K$22,IF(CE54=Цены!$H$23,Цены!$K$23,IF(CE54=Цены!$H$24,Цены!$K$24,IF(CE54=Цены!$H$25,Цены!$K$25,IF(CE54=Цены!$H$26,Цены!$K$26,IF(CE54=Цены!$H$27,Цены!$K$27,IF(CE54=Цены!$H$28,Цены!$K$28,IF(CE54=Цены!$H$29,Цены!$K$29,IF(CE54=Цены!$H$30,Цены!$K$30,IF(CE54=Цены!$H$31,Цены!$K$31,IF(CE54=Цены!$H$32,Цены!$K$32,IF(CE54=Цены!$H$33,Цены!$K$33,IF(CE54=Цены!$H$34,Цены!$K$34,IF(CE54=Цены!$H$35,Цены!$K$35,IF(CE54=Цены!$H$36,Цены!$K$36,IF(CE54=Цены!$H$37,Цены!$K$37,IF(CE54=Цены!$H$38,Цены!$K$38,IF(CE54=Цены!$H$39,Цены!$K$39,IF(CE54=Цены!$H$40,Цены!$K$40,IF(CE54=Цены!$H$41,Цены!$K$41,IF(CE54=Цены!$H$42,Цены!$K$42,IF(CE54=Цены!$H$43,Цены!$K$43,IF(CE54=Цены!$H$44,Цены!$K$44,IF(CE54=Цены!$H$45,Цены!$K$45,IF(CE54=Цены!$H$46,Цены!$K$46,IF(CE54=Цены!$H$47,Цены!$K$47,IF(CE54=Цены!$H$48,Цены!$K$48,IF(CE54=Цены!$H$49,Цены!$K$49,IF(CE54=Цены!$H$50,Цены!$K$50,IF(CE54=Цены!$H$51,Цены!$K$51,IF(CE54=Цены!$H$52,Цены!$K$52,IF(CE54=Цены!$H$53,Цены!$K$53,IF(CE54=Цены!$H$54,Цены!$K$54,IF(CE54=Цены!$H$55,Цены!$K$55))))))))))))))))))))))))))))))))))))))))))))))))))))))</f>
        <v>0</v>
      </c>
      <c r="CJ54" s="265"/>
      <c r="CK54" s="265"/>
      <c r="CL54" s="269"/>
      <c r="CM54" s="286"/>
      <c r="CN54" s="286"/>
      <c r="CO54" s="268"/>
      <c r="CP54" s="269"/>
      <c r="CQ54" s="287"/>
    </row>
    <row r="55" spans="1:95" s="40" customFormat="1" ht="15.75" hidden="1" customHeight="1" x14ac:dyDescent="0.25">
      <c r="A55" s="341"/>
      <c r="B55" s="265"/>
      <c r="C55" s="336" t="s">
        <v>120</v>
      </c>
      <c r="D55" s="44" t="s">
        <v>67</v>
      </c>
      <c r="E55" s="45">
        <v>8</v>
      </c>
      <c r="F55" s="46">
        <f>IF(D55=Цены!$H$3,Цены!$L$3,IF(D55=Цены!$H$4,Цены!$L$4,IF(D55=Цены!$H$5,Цены!$L$5,IF(D55=Цены!$H$6,Цены!$L$6,IF(D55=Цены!$H$7,Цены!$L$7,IF(D55=Цены!$H$8,Цены!$L$8,IF(D55=Цены!$H$9,Цены!$L$9,IF(D55=Цены!$H$10,Цены!$L$10,IF(D55=Цены!$H$11,Цены!$L$11,IF(D55=Цены!$H$12,Цены!$L$12,IF(D55=Цены!$H$13,Цены!$L$13,IF(D55=Цены!$H$14,Цены!$L$14,IF(D55=Цены!$H$14,Цены!$L$14,IF(D55=Цены!$H$15,Цены!$L$15,IF(D55=Цены!$H$16,Цены!$L$16,IF(D55=Цены!$H$17,Цены!$L$17,IF(D55=Цены!$H$18,Цены!$L$18,IF(D55=Цены!$H$19,Цены!$L$19,IF(D55=Цены!$H$20,Цены!$L$20,IF(D55=Цены!$H$21,Цены!$L$21,IF(D55=Цены!$H$22,Цены!$L$22,IF(D55=Цены!$H$23,Цены!$L$23,IF(D55=Цены!$H$24,Цены!$L$24,IF(D55=Цены!$H$25,Цены!$L$25,IF(D55=Цены!$H$26,Цены!$L$26,IF(D55=Цены!$H$27,Цены!$L$27,IF(D55=Цены!$H$28,Цены!$L$28,IF(D55=Цены!$H$29,Цены!$L$29,IF(D55=Цены!$H$30,Цены!$L$30,IF(D55=Цены!$H$31,Цены!$L$31,IF(D55=Цены!$H$32,Цены!$L$32,IF(D55=Цены!$H$33,Цены!$L$33,IF(D55=Цены!$H$34,Цены!$L$34,IF(D55=Цены!$H$35,Цены!$L$35,IF(D55=Цены!$H$36,Цены!$L$36,IF(D55=Цены!$H$37,Цены!$L$37,IF(D55=Цены!$H$38,Цены!$L$38,IF(D55=Цены!$H$39,Цены!$L$39,IF(D55=Цены!$H$40,Цены!$L$40,IF(D55=Цены!$H$41,Цены!$L$41,IF(D55=Цены!$H$42,Цены!$L$42,IF(D55=Цены!$H$43,Цены!$L$43,IF(D55=Цены!$H$44,Цены!$L$44,IF(D55=Цены!$H$45,Цены!$L$45,IF(D55=Цены!$H$46,Цены!$L$46,IF(D55=Цены!$H$47,Цены!$L$47,IF(D55=Цены!$H$48,Цены!$L$48,IF(D55=Цены!$H$49,Цены!$L$49,IF(D55=Цены!$H$50,Цены!$L$50,IF(D55=Цены!$H$51,Цены!$L$51,IF(D55=Цены!$H$52,Цены!$L$52,IF(D55=Цены!$H$53,Цены!$L$53,IF(D55=Цены!$H$54,Цены!$L$54,IF(D55=Цены!$H$55,Цены!$L$55))))))))))))))))))))))))))))))))))))))))))))))))))))))</f>
        <v>0.9</v>
      </c>
      <c r="G55" s="339">
        <f>E55*F55+E56*F56+E57*F57+E58*F58</f>
        <v>17.1996</v>
      </c>
      <c r="H55" s="47">
        <f>IF(D55=Цены!$H$3,Цены!$K$3,IF(D55=Цены!$H$4,Цены!$K$4,IF(D55=Цены!$H$5,Цены!$K$5,IF(D55=Цены!$H$6,Цены!$K$6,IF(D55=Цены!$H$7,Цены!$K$7,IF(D55=Цены!$H$8,Цены!$K$8,IF(D55=Цены!$H$9,Цены!$K$9,IF(D55=Цены!$H$10,Цены!$K$10,IF(D55=Цены!$H$11,Цены!$K$11,IF(D55=Цены!$H$12,Цены!$K$12,IF(D55=Цены!$H$13,Цены!$K$13,IF(D55=Цены!$H$14,Цены!$K$14,IF(D55=Цены!$H$14,Цены!$K$14,IF(D55=Цены!$H$15,Цены!$K$15,IF(D55=Цены!$H$16,Цены!$K$16,IF(D55=Цены!$H$17,Цены!$K$17,IF(D55=Цены!$H$18,Цены!$K$18,IF(D55=Цены!$H$19,Цены!$K$19,IF(D55=Цены!$H$20,Цены!$K$20,IF(D55=Цены!$H$21,Цены!$K$21,IF(D55=Цены!$H$22,Цены!$K$22,IF(D55=Цены!$H$23,Цены!$K$23,IF(D55=Цены!$H$24,Цены!$K$24,IF(D55=Цены!$H$25,Цены!$K$25,IF(D55=Цены!$H$26,Цены!$K$26,IF(D55=Цены!$H$27,Цены!$K$27,IF(D55=Цены!$H$28,Цены!$K$28,IF(D55=Цены!$H$29,Цены!$K$29,IF(D55=Цены!$H$30,Цены!$K$30,IF(D55=Цены!$H$31,Цены!$K$31,IF(D55=Цены!$H$32,Цены!$K$32,IF(D55=Цены!$H$33,Цены!$K$33,IF(D55=Цены!$H$34,Цены!$K$34,IF(D55=Цены!$H$35,Цены!$K$35,IF(D55=Цены!$H$36,Цены!$K$36,IF(D55=Цены!$H$37,Цены!$K$37,IF(D55=Цены!$H$38,Цены!$K$38,IF(D55=Цены!$H$39,Цены!$K$39,IF(D55=Цены!$H$40,Цены!$K$40,IF(D55=Цены!$H$41,Цены!$K$41,IF(D55=Цены!$H$42,Цены!$K$42,IF(D55=Цены!$H$43,Цены!$K$43,IF(D55=Цены!$H$44,Цены!$K$44,IF(D55=Цены!$H$45,Цены!$K$45,IF(D55=Цены!$H$46,Цены!$K$46,IF(D55=Цены!$H$47,Цены!$K$47,IF(D55=Цены!$H$48,Цены!$K$48,IF(D55=Цены!$H$49,Цены!$K$49,IF(D55=Цены!$H$50,Цены!$K$50,IF(D55=Цены!$H$51,Цены!$K$51,IF(D55=Цены!$H$52,Цены!$K$52,IF(D55=Цены!$H$53,Цены!$K$53,IF(D55=Цены!$H$54,Цены!$K$54,IF(D55=Цены!$H$55,Цены!$K$55))))))))))))))))))))))))))))))))))))))))))))))))))))))</f>
        <v>338</v>
      </c>
      <c r="I55" s="265"/>
      <c r="J55" s="265"/>
      <c r="K55" s="332">
        <f t="shared" ref="K55" si="93">E55*H55+E56*H56+E57*H57+E58*H58</f>
        <v>8800</v>
      </c>
      <c r="L55" s="334">
        <f>$I$51*$J$51</f>
        <v>3200</v>
      </c>
      <c r="M55" s="332">
        <f t="shared" ref="M55" si="94">K55+L55</f>
        <v>12000</v>
      </c>
      <c r="N55" s="265"/>
      <c r="O55" s="332">
        <f>N51/M55*100</f>
        <v>29.333333333333339</v>
      </c>
      <c r="P55" s="331">
        <f>MROUND(M55+N51,500)</f>
        <v>15500</v>
      </c>
      <c r="Q55" s="124" t="s">
        <v>143</v>
      </c>
      <c r="R55" s="37">
        <v>9</v>
      </c>
      <c r="S55" s="38">
        <f>IF(Q55=Цены!$H$3,Цены!$L$3,IF(Q55=Цены!$H$4,Цены!$L$4,IF(Q55=Цены!$H$5,Цены!$L$5,IF(Q55=Цены!$H$6,Цены!$L$6,IF(Q55=Цены!$H$7,Цены!$L$7,IF(Q55=Цены!$H$8,Цены!$L$8,IF(Q55=Цены!$H$9,Цены!$L$9,IF(Q55=Цены!$H$10,Цены!$L$10,IF(Q55=Цены!$H$11,Цены!$L$11,IF(Q55=Цены!$H$12,Цены!$L$12,IF(Q55=Цены!$H$13,Цены!$L$13,IF(Q55=Цены!$H$14,Цены!$L$14,IF(Q55=Цены!$H$14,Цены!$L$14,IF(Q55=Цены!$H$15,Цены!$L$15,IF(Q55=Цены!$H$16,Цены!$L$16,IF(Q55=Цены!$H$17,Цены!$L$17,IF(Q55=Цены!$H$18,Цены!$L$18,IF(Q55=Цены!$H$19,Цены!$L$19,IF(Q55=Цены!$H$20,Цены!$L$20,IF(Q55=Цены!$H$21,Цены!$L$21,IF(Q55=Цены!$H$22,Цены!$L$22,IF(Q55=Цены!$H$23,Цены!$L$23,IF(Q55=Цены!$H$24,Цены!$L$24,IF(Q55=Цены!$H$25,Цены!$L$25,IF(Q55=Цены!$H$26,Цены!$L$26,IF(Q55=Цены!$H$27,Цены!$L$27,IF(Q55=Цены!$H$28,Цены!$L$28,IF(Q55=Цены!$H$29,Цены!$L$29,IF(Q55=Цены!$H$30,Цены!$L$30,IF(Q55=Цены!$H$31,Цены!$L$31,IF(Q55=Цены!$H$32,Цены!$L$32,IF(Q55=Цены!$H$33,Цены!$L$33,IF(Q55=Цены!$H$34,Цены!$L$34,IF(Q55=Цены!$H$35,Цены!$L$35,IF(Q55=Цены!$H$36,Цены!$L$36,IF(Q55=Цены!$H$37,Цены!$L$37,IF(Q55=Цены!$H$38,Цены!$L$38,IF(Q55=Цены!$H$39,Цены!$L$39,IF(Q55=Цены!$H$40,Цены!$L$40,IF(Q55=Цены!$H$41,Цены!$L$41,IF(Q55=Цены!$H$42,Цены!$L$42,IF(Q55=Цены!$H$43,Цены!$L$43,IF(Q55=Цены!$H$44,Цены!$L$44,IF(Q55=Цены!$H$45,Цены!$L$45,IF(Q55=Цены!$H$46,Цены!$L$46,IF(Q55=Цены!$H$47,Цены!$L$47,IF(Q55=Цены!$H$48,Цены!$L$48,IF(Q55=Цены!$H$49,Цены!$L$49,IF(Q55=Цены!$H$50,Цены!$L$50,IF(Q55=Цены!$H$51,Цены!$L$51,IF(Q55=Цены!$H$52,Цены!$L$52,IF(Q55=Цены!$H$53,Цены!$L$53,IF(Q55=Цены!$H$54,Цены!$L$54,IF(Q55=Цены!$H$55,Цены!$L$55))))))))))))))))))))))))))))))))))))))))))))))))))))))</f>
        <v>2.4</v>
      </c>
      <c r="T55" s="322">
        <f>R55*S55+R56*S56+R57*S57+R58*S58</f>
        <v>27.349999999999998</v>
      </c>
      <c r="U55" s="161">
        <f>IF(Q55=Цены!$H$3,Цены!$K$3,IF(Q55=Цены!$H$4,Цены!$K$4,IF(Q55=Цены!$H$5,Цены!$K$5,IF(Q55=Цены!$H$6,Цены!$K$6,IF(Q55=Цены!$H$7,Цены!$K$7,IF(Q55=Цены!$H$8,Цены!$K$8,IF(Q55=Цены!$H$9,Цены!$K$9,IF(Q55=Цены!$H$10,Цены!$K$10,IF(Q55=Цены!$H$11,Цены!$K$11,IF(Q55=Цены!$H$12,Цены!$K$12,IF(Q55=Цены!$H$13,Цены!$K$13,IF(Q55=Цены!$H$14,Цены!$K$14,IF(Q55=Цены!$H$14,Цены!$K$14,IF(Q55=Цены!$H$15,Цены!$K$15,IF(Q55=Цены!$H$16,Цены!$K$16,IF(Q55=Цены!$H$17,Цены!$K$17,IF(Q55=Цены!$H$18,Цены!$K$18,IF(Q55=Цены!$H$19,Цены!$K$19,IF(Q55=Цены!$H$20,Цены!$K$20,IF(Q55=Цены!$H$21,Цены!$K$21,IF(Q55=Цены!$H$22,Цены!$K$22,IF(Q55=Цены!$H$23,Цены!$K$23,IF(Q55=Цены!$H$24,Цены!$K$24,IF(Q55=Цены!$H$25,Цены!$K$25,IF(Q55=Цены!$H$26,Цены!$K$26,IF(Q55=Цены!$H$27,Цены!$K$27,IF(Q55=Цены!$H$28,Цены!$K$28,IF(Q55=Цены!$H$29,Цены!$K$29,IF(Q55=Цены!$H$30,Цены!$K$30,IF(Q55=Цены!$H$31,Цены!$K$31,IF(Q55=Цены!$H$32,Цены!$K$32,IF(Q55=Цены!$H$33,Цены!$K$33,IF(Q55=Цены!$H$34,Цены!$K$34,IF(Q55=Цены!$H$35,Цены!$K$35,IF(Q55=Цены!$H$36,Цены!$K$36,IF(Q55=Цены!$H$37,Цены!$K$37,IF(Q55=Цены!$H$38,Цены!$K$38,IF(Q55=Цены!$H$39,Цены!$K$39,IF(Q55=Цены!$H$40,Цены!$K$40,IF(Q55=Цены!$H$41,Цены!$K$41,IF(Q55=Цены!$H$42,Цены!$K$42,IF(Q55=Цены!$H$43,Цены!$K$43,IF(Q55=Цены!$H$44,Цены!$K$44,IF(Q55=Цены!$H$45,Цены!$K$45,IF(Q55=Цены!$H$46,Цены!$K$46,IF(Q55=Цены!$H$47,Цены!$K$47,IF(Q55=Цены!$H$48,Цены!$K$48,IF(Q55=Цены!$H$49,Цены!$K$49,IF(Q55=Цены!$H$50,Цены!$K$50,IF(Q55=Цены!$H$51,Цены!$K$51,IF(Q55=Цены!$H$52,Цены!$K$52,IF(Q55=Цены!$H$53,Цены!$K$53,IF(Q55=Цены!$H$54,Цены!$K$54,IF(Q55=Цены!$H$55,Цены!$K$55))))))))))))))))))))))))))))))))))))))))))))))))))))))</f>
        <v>469</v>
      </c>
      <c r="V55" s="265"/>
      <c r="W55" s="265"/>
      <c r="X55" s="323">
        <f t="shared" ref="X55" si="95">R55*U55+R56*U56+R57*U57+R58*U58</f>
        <v>6221</v>
      </c>
      <c r="Y55" s="324">
        <f>V51*W51</f>
        <v>3200</v>
      </c>
      <c r="Z55" s="323">
        <f t="shared" ref="Z55" si="96">X55+Y55</f>
        <v>9421</v>
      </c>
      <c r="AA55" s="265"/>
      <c r="AB55" s="323">
        <f>AA51/Z55*100</f>
        <v>37.363337225347628</v>
      </c>
      <c r="AC55" s="325">
        <f>MROUND(Z55+AA51,500)</f>
        <v>13000</v>
      </c>
      <c r="AD55" s="66" t="s">
        <v>69</v>
      </c>
      <c r="AE55" s="130">
        <v>5</v>
      </c>
      <c r="AF55" s="68">
        <f>IF(AD55=Цены!$H$3,Цены!$L$3,IF(AD55=Цены!$H$4,Цены!$L$4,IF(AD55=Цены!$H$5,Цены!$L$5,IF(AD55=Цены!$H$6,Цены!$L$6,IF(AD55=Цены!$H$7,Цены!$L$7,IF(AD55=Цены!$H$8,Цены!$L$8,IF(AD55=Цены!$H$9,Цены!$L$9,IF(AD55=Цены!$H$10,Цены!$L$10,IF(AD55=Цены!$H$11,Цены!$L$11,IF(AD55=Цены!$H$12,Цены!$L$12,IF(AD55=Цены!$H$13,Цены!$L$13,IF(AD55=Цены!$H$14,Цены!$L$14,IF(AD55=Цены!$H$14,Цены!$L$14,IF(AD55=Цены!$H$15,Цены!$L$15,IF(AD55=Цены!$H$16,Цены!$L$16,IF(AD55=Цены!$H$17,Цены!$L$17,IF(AD55=Цены!$H$18,Цены!$L$18,IF(AD55=Цены!$H$19,Цены!$L$19,IF(AD55=Цены!$H$20,Цены!$L$20,IF(AD55=Цены!$H$21,Цены!$L$21,IF(AD55=Цены!$H$22,Цены!$L$22,IF(AD55=Цены!$H$23,Цены!$L$23,IF(AD55=Цены!$H$24,Цены!$L$24,IF(AD55=Цены!$H$25,Цены!$L$25,IF(AD55=Цены!$H$26,Цены!$L$26,IF(AD55=Цены!$H$27,Цены!$L$27,IF(AD55=Цены!$H$28,Цены!$L$28,IF(AD55=Цены!$H$29,Цены!$L$29,IF(AD55=Цены!$H$30,Цены!$L$30,IF(AD55=Цены!$H$31,Цены!$L$31,IF(AD55=Цены!$H$32,Цены!$L$32,IF(AD55=Цены!$H$33,Цены!$L$33,IF(AD55=Цены!$H$34,Цены!$L$34,IF(AD55=Цены!$H$35,Цены!$L$35,IF(AD55=Цены!$H$36,Цены!$L$36,IF(AD55=Цены!$H$37,Цены!$L$37,IF(AD55=Цены!$H$38,Цены!$L$38,IF(AD55=Цены!$H$39,Цены!$L$39,IF(AD55=Цены!$H$40,Цены!$L$40,IF(AD55=Цены!$H$41,Цены!$L$41,IF(AD55=Цены!$H$42,Цены!$L$42,IF(AD55=Цены!$H$43,Цены!$L$43,IF(AD55=Цены!$H$44,Цены!$L$44,IF(AD55=Цены!$H$45,Цены!$L$45,IF(AD55=Цены!$H$46,Цены!$L$46,IF(AD55=Цены!$H$47,Цены!$L$47,IF(AD55=Цены!$H$48,Цены!$L$48,IF(AD55=Цены!$H$49,Цены!$L$49,IF(AD55=Цены!$H$50,Цены!$L$50,IF(AD55=Цены!$H$51,Цены!$L$51,IF(AD55=Цены!$H$52,Цены!$L$52,IF(AD55=Цены!$H$53,Цены!$L$53,IF(AD55=Цены!$H$54,Цены!$L$54,IF(AD55=Цены!$H$55,Цены!$L$55))))))))))))))))))))))))))))))))))))))))))))))))))))))</f>
        <v>1.19</v>
      </c>
      <c r="AG55" s="311">
        <f>AE55*AF55+AE56*AF56+AE57*AF57+AE58*AF58</f>
        <v>34.15</v>
      </c>
      <c r="AH55" s="69">
        <f>IF(AD55=Цены!$H$3,Цены!$K$3,IF(AD55=Цены!$H$4,Цены!$K$4,IF(AD55=Цены!$H$5,Цены!$K$5,IF(AD55=Цены!$H$6,Цены!$K$6,IF(AD55=Цены!$H$7,Цены!$K$7,IF(AD55=Цены!$H$8,Цены!$K$8,IF(AD55=Цены!$H$9,Цены!$K$9,IF(AD55=Цены!$H$10,Цены!$K$10,IF(AD55=Цены!$H$11,Цены!$K$11,IF(AD55=Цены!$H$12,Цены!$K$12,IF(AD55=Цены!$H$13,Цены!$K$13,IF(AD55=Цены!$H$14,Цены!$K$14,IF(AD55=Цены!$H$14,Цены!$K$14,IF(AD55=Цены!$H$15,Цены!$K$15,IF(AD55=Цены!$H$16,Цены!$K$16,IF(AD55=Цены!$H$17,Цены!$K$17,IF(AD55=Цены!$H$18,Цены!$K$18,IF(AD55=Цены!$H$19,Цены!$K$19,IF(AD55=Цены!$H$20,Цены!$K$20,IF(AD55=Цены!$H$21,Цены!$K$21,IF(AD55=Цены!$H$22,Цены!$K$22,IF(AD55=Цены!$H$23,Цены!$K$23,IF(AD55=Цены!$H$24,Цены!$K$24,IF(AD55=Цены!$H$25,Цены!$K$25,IF(AD55=Цены!$H$26,Цены!$K$26,IF(AD55=Цены!$H$27,Цены!$K$27,IF(AD55=Цены!$H$28,Цены!$K$28,IF(AD55=Цены!$H$29,Цены!$K$29,IF(AD55=Цены!$H$30,Цены!$K$30,IF(AD55=Цены!$H$31,Цены!$K$31,IF(AD55=Цены!$H$32,Цены!$K$32,IF(AD55=Цены!$H$33,Цены!$K$33,IF(AD55=Цены!$H$34,Цены!$K$34,IF(AD55=Цены!$H$35,Цены!$K$35,IF(AD55=Цены!$H$36,Цены!$K$36,IF(AD55=Цены!$H$37,Цены!$K$37,IF(AD55=Цены!$H$38,Цены!$K$38,IF(AD55=Цены!$H$39,Цены!$K$39,IF(AD55=Цены!$H$40,Цены!$K$40,IF(AD55=Цены!$H$41,Цены!$K$41,IF(AD55=Цены!$H$42,Цены!$K$42,IF(AD55=Цены!$H$43,Цены!$K$43,IF(AD55=Цены!$H$44,Цены!$K$44,IF(AD55=Цены!$H$45,Цены!$K$45,IF(AD55=Цены!$H$46,Цены!$K$46,IF(AD55=Цены!$H$47,Цены!$K$47,IF(AD55=Цены!$H$48,Цены!$K$48,IF(AD55=Цены!$H$49,Цены!$K$49,IF(AD55=Цены!$H$50,Цены!$K$50,IF(AD55=Цены!$H$51,Цены!$K$51,IF(AD55=Цены!$H$52,Цены!$K$52,IF(AD55=Цены!$H$53,Цены!$K$53,IF(AD55=Цены!$H$54,Цены!$K$54,IF(AD55=Цены!$H$55,Цены!$K$55))))))))))))))))))))))))))))))))))))))))))))))))))))))</f>
        <v>398</v>
      </c>
      <c r="AI55" s="265"/>
      <c r="AJ55" s="265"/>
      <c r="AK55" s="312">
        <f t="shared" ref="AK55" si="97">AE55*AH55+AE56*AH56+AE57*AH57+AE58*AH58</f>
        <v>7873</v>
      </c>
      <c r="AL55" s="314">
        <f>AI51*AJ51</f>
        <v>4400</v>
      </c>
      <c r="AM55" s="312">
        <f t="shared" ref="AM55" si="98">AK55+AL55</f>
        <v>12273</v>
      </c>
      <c r="AN55" s="265"/>
      <c r="AO55" s="312">
        <f>AN51/AM55*100</f>
        <v>39.436160677910856</v>
      </c>
      <c r="AP55" s="315">
        <f>MROUND(AM55+AN51,500)</f>
        <v>17000</v>
      </c>
      <c r="AQ55" s="125" t="s">
        <v>146</v>
      </c>
      <c r="AR55" s="131">
        <v>4</v>
      </c>
      <c r="AS55" s="80">
        <f>IF(AQ55=Цены!$H$3,Цены!$L$3,IF(AQ55=Цены!$H$4,Цены!$L$4,IF(AQ55=Цены!$H$5,Цены!$L$5,IF(AQ55=Цены!$H$6,Цены!$L$6,IF(AQ55=Цены!$H$7,Цены!$L$7,IF(AQ55=Цены!$H$8,Цены!$L$8,IF(AQ55=Цены!$H$9,Цены!$L$9,IF(AQ55=Цены!$H$10,Цены!$L$10,IF(AQ55=Цены!$H$11,Цены!$L$11,IF(AQ55=Цены!$H$12,Цены!$L$12,IF(AQ55=Цены!$H$13,Цены!$L$13,IF(AQ55=Цены!$H$14,Цены!$L$14,IF(AQ55=Цены!$H$14,Цены!$L$14,IF(AQ55=Цены!$H$15,Цены!$L$15,IF(AQ55=Цены!$H$16,Цены!$L$16,IF(AQ55=Цены!$H$17,Цены!$L$17,IF(AQ55=Цены!$H$18,Цены!$L$18,IF(AQ55=Цены!$H$19,Цены!$L$19,IF(AQ55=Цены!$H$20,Цены!$L$20,IF(AQ55=Цены!$H$21,Цены!$L$21,IF(AQ55=Цены!$H$22,Цены!$L$22,IF(AQ55=Цены!$H$23,Цены!$L$23,IF(AQ55=Цены!$H$24,Цены!$L$24,IF(AQ55=Цены!$H$25,Цены!$L$25,IF(AQ55=Цены!$H$26,Цены!$L$26,IF(AQ55=Цены!$H$27,Цены!$L$27,IF(AQ55=Цены!$H$28,Цены!$L$28,IF(AQ55=Цены!$H$29,Цены!$L$29,IF(AQ55=Цены!$H$30,Цены!$L$30,IF(AQ55=Цены!$H$31,Цены!$L$31,IF(AQ55=Цены!$H$32,Цены!$L$32,IF(AQ55=Цены!$H$33,Цены!$L$33,IF(AQ55=Цены!$H$34,Цены!$L$34,IF(AQ55=Цены!$H$35,Цены!$L$35,IF(AQ55=Цены!$H$36,Цены!$L$36,IF(AQ55=Цены!$H$37,Цены!$L$37,IF(AQ55=Цены!$H$38,Цены!$L$38,IF(AQ55=Цены!$H$39,Цены!$L$39,IF(AQ55=Цены!$H$40,Цены!$L$40,IF(AQ55=Цены!$H$41,Цены!$L$41,IF(AQ55=Цены!$H$42,Цены!$L$42,IF(AQ55=Цены!$H$43,Цены!$L$43,IF(AQ55=Цены!$H$44,Цены!$L$44,IF(AQ55=Цены!$H$45,Цены!$L$45,IF(AQ55=Цены!$H$46,Цены!$L$46,IF(AQ55=Цены!$H$47,Цены!$L$47,IF(AQ55=Цены!$H$48,Цены!$L$48,IF(AQ55=Цены!$H$49,Цены!$L$49,IF(AQ55=Цены!$H$50,Цены!$L$50,IF(AQ55=Цены!$H$51,Цены!$L$51,IF(AQ55=Цены!$H$52,Цены!$L$52,IF(AQ55=Цены!$H$53,Цены!$L$53,IF(AQ55=Цены!$H$54,Цены!$L$54,IF(AQ55=Цены!$H$55,Цены!$L$55))))))))))))))))))))))))))))))))))))))))))))))))))))))</f>
        <v>1.19</v>
      </c>
      <c r="AT55" s="271">
        <f>AR55*AS55+AR56*AS56+AR57*AS57+AR58*AS58</f>
        <v>13.67</v>
      </c>
      <c r="AU55" s="81">
        <f>IF(AQ55=Цены!$H$3,Цены!$K$3,IF(AQ55=Цены!$H$4,Цены!$K$4,IF(AQ55=Цены!$H$5,Цены!$K$5,IF(AQ55=Цены!$H$6,Цены!$K$6,IF(AQ55=Цены!$H$7,Цены!$K$7,IF(AQ55=Цены!$H$8,Цены!$K$8,IF(AQ55=Цены!$H$9,Цены!$K$9,IF(AQ55=Цены!$H$10,Цены!$K$10,IF(AQ55=Цены!$H$11,Цены!$K$11,IF(AQ55=Цены!$H$12,Цены!$K$12,IF(AQ55=Цены!$H$13,Цены!$K$13,IF(AQ55=Цены!$H$14,Цены!$K$14,IF(AQ55=Цены!$H$14,Цены!$K$14,IF(AQ55=Цены!$H$15,Цены!$K$15,IF(AQ55=Цены!$H$16,Цены!$K$16,IF(AQ55=Цены!$H$17,Цены!$K$17,IF(AQ55=Цены!$H$18,Цены!$K$18,IF(AQ55=Цены!$H$19,Цены!$K$19,IF(AQ55=Цены!$H$20,Цены!$K$20,IF(AQ55=Цены!$H$21,Цены!$K$21,IF(AQ55=Цены!$H$22,Цены!$K$22,IF(AQ55=Цены!$H$23,Цены!$K$23,IF(AQ55=Цены!$H$24,Цены!$K$24,IF(AQ55=Цены!$H$25,Цены!$K$25,IF(AQ55=Цены!$H$26,Цены!$K$26,IF(AQ55=Цены!$H$27,Цены!$K$27,IF(AQ55=Цены!$H$28,Цены!$K$28,IF(AQ55=Цены!$H$29,Цены!$K$29,IF(AQ55=Цены!$H$30,Цены!$K$30,IF(AQ55=Цены!$H$31,Цены!$K$31,IF(AQ55=Цены!$H$32,Цены!$K$32,IF(AQ55=Цены!$H$33,Цены!$K$33,IF(AQ55=Цены!$H$34,Цены!$K$34,IF(AQ55=Цены!$H$35,Цены!$K$35,IF(AQ55=Цены!$H$36,Цены!$K$36,IF(AQ55=Цены!$H$37,Цены!$K$37,IF(AQ55=Цены!$H$38,Цены!$K$38,IF(AQ55=Цены!$H$39,Цены!$K$39,IF(AQ55=Цены!$H$40,Цены!$K$40,IF(AQ55=Цены!$H$41,Цены!$K$41,IF(AQ55=Цены!$H$42,Цены!$K$42,IF(AQ55=Цены!$H$43,Цены!$K$43,IF(AQ55=Цены!$H$44,Цены!$K$44,IF(AQ55=Цены!$H$45,Цены!$K$45,IF(AQ55=Цены!$H$46,Цены!$K$46,IF(AQ55=Цены!$H$47,Цены!$K$47,IF(AQ55=Цены!$H$48,Цены!$K$48,IF(AQ55=Цены!$H$49,Цены!$K$49,IF(AQ55=Цены!$H$50,Цены!$K$50,IF(AQ55=Цены!$H$51,Цены!$K$51,IF(AQ55=Цены!$H$52,Цены!$K$52,IF(AQ55=Цены!$H$53,Цены!$K$53,IF(AQ55=Цены!$H$54,Цены!$K$54,IF(AQ55=Цены!$H$55,Цены!$K$55))))))))))))))))))))))))))))))))))))))))))))))))))))))</f>
        <v>398</v>
      </c>
      <c r="AV55" s="265"/>
      <c r="AW55" s="265"/>
      <c r="AX55" s="274">
        <f t="shared" ref="AX55" si="99">AR55*AU55+AR56*AU56+AR57*AU57+AR58*AU58</f>
        <v>5438</v>
      </c>
      <c r="AY55" s="304">
        <f>AV51*AW51</f>
        <v>4000</v>
      </c>
      <c r="AZ55" s="274">
        <f t="shared" ref="AZ55" si="100">AX55+AY55</f>
        <v>9438</v>
      </c>
      <c r="BA55" s="265"/>
      <c r="BB55" s="274">
        <f>BA51/AZ55*100</f>
        <v>46.620046620046615</v>
      </c>
      <c r="BC55" s="305">
        <f>MROUND(AZ55+BA51,500)</f>
        <v>14000</v>
      </c>
      <c r="BD55" s="258">
        <f t="shared" ref="BD55" si="101">BC55+CQ55</f>
        <v>19000</v>
      </c>
      <c r="BE55" s="127" t="s">
        <v>141</v>
      </c>
      <c r="BF55" s="106">
        <v>3</v>
      </c>
      <c r="BG55" s="103">
        <f>IF(BE55=Цены!$H$3,Цены!$L$3,IF(BE55=Цены!$H$4,Цены!$L$4,IF(BE55=Цены!$H$5,Цены!$L$5,IF(BE55=Цены!$H$6,Цены!$L$6,IF(BE55=Цены!$H$7,Цены!$L$7,IF(BE55=Цены!$H$8,Цены!$L$8,IF(BE55=Цены!$H$9,Цены!$L$9,IF(BE55=Цены!$H$10,Цены!$L$10,IF(BE55=Цены!$H$11,Цены!$L$11,IF(BE55=Цены!$H$12,Цены!$L$12,IF(BE55=Цены!$H$13,Цены!$L$13,IF(BE55=Цены!$H$14,Цены!$L$14,IF(BE55=Цены!$H$14,Цены!$L$14,IF(BE55=Цены!$H$15,Цены!$L$15,IF(BE55=Цены!$H$16,Цены!$L$16,IF(BE55=Цены!$H$17,Цены!$L$17,IF(BE55=Цены!$H$18,Цены!$L$18,IF(BE55=Цены!$H$19,Цены!$L$19,IF(BE55=Цены!$H$20,Цены!$L$20,IF(BE55=Цены!$H$21,Цены!$L$21,IF(BE55=Цены!$H$22,Цены!$L$22,IF(BE55=Цены!$H$23,Цены!$L$23,IF(BE55=Цены!$H$24,Цены!$L$24,IF(BE55=Цены!$H$25,Цены!$L$25,IF(BE55=Цены!$H$26,Цены!$L$26,IF(BE55=Цены!$H$27,Цены!$L$27,IF(BE55=Цены!$H$28,Цены!$L$28,IF(BE55=Цены!$H$29,Цены!$L$29,IF(BE55=Цены!$H$30,Цены!$L$30,IF(BE55=Цены!$H$31,Цены!$L$31,IF(BE55=Цены!$H$32,Цены!$L$32,IF(BE55=Цены!$H$33,Цены!$L$33,IF(BE55=Цены!$H$34,Цены!$L$34,IF(BE55=Цены!$H$35,Цены!$L$35,IF(BE55=Цены!$H$36,Цены!$L$36,IF(BE55=Цены!$H$37,Цены!$L$37,IF(BE55=Цены!$H$38,Цены!$L$38,IF(BE55=Цены!$H$39,Цены!$L$39,IF(BE55=Цены!$H$40,Цены!$L$40,IF(BE55=Цены!$H$41,Цены!$L$41,IF(BE55=Цены!$H$42,Цены!$L$42,IF(BE55=Цены!$H$43,Цены!$L$43,IF(BE55=Цены!$H$44,Цены!$L$44,IF(BE55=Цены!$H$45,Цены!$L$45,IF(BE55=Цены!$H$46,Цены!$L$46,IF(BE55=Цены!$H$47,Цены!$L$47,IF(BE55=Цены!$H$48,Цены!$L$48,IF(BE55=Цены!$H$49,Цены!$L$49,IF(BE55=Цены!$H$50,Цены!$L$50,IF(BE55=Цены!$H$51,Цены!$L$51,IF(BE55=Цены!$H$52,Цены!$L$52,IF(BE55=Цены!$H$53,Цены!$L$53,IF(BE55=Цены!$H$54,Цены!$L$54,IF(BE55=Цены!$H$55,Цены!$L$55))))))))))))))))))))))))))))))))))))))))))))))))))))))</f>
        <v>0.9</v>
      </c>
      <c r="BH55" s="280">
        <f>BF55*BG55+BF56*BG56+BF57*BG57+BF58*BG58</f>
        <v>4.26</v>
      </c>
      <c r="BI55" s="104">
        <f>IF(BE55=Цены!$H$3,Цены!$K$3,IF(BE55=Цены!$H$4,Цены!$K$4,IF(BE55=Цены!$H$5,Цены!$K$5,IF(BE55=Цены!$H$6,Цены!$K$6,IF(BE55=Цены!$H$7,Цены!$K$7,IF(BE55=Цены!$H$8,Цены!$K$8,IF(BE55=Цены!$H$9,Цены!$K$9,IF(BE55=Цены!$H$10,Цены!$K$10,IF(BE55=Цены!$H$11,Цены!$K$11,IF(BE55=Цены!$H$12,Цены!$K$12,IF(BE55=Цены!$H$13,Цены!$K$13,IF(BE55=Цены!$H$14,Цены!$K$14,IF(BE55=Цены!$H$14,Цены!$K$14,IF(BE55=Цены!$H$15,Цены!$K$15,IF(BE55=Цены!$H$16,Цены!$K$16,IF(BE55=Цены!$H$17,Цены!$K$17,IF(BE55=Цены!$H$18,Цены!$K$18,IF(BE55=Цены!$H$19,Цены!$K$19,IF(BE55=Цены!$H$20,Цены!$K$20,IF(BE55=Цены!$H$21,Цены!$K$21,IF(BE55=Цены!$H$22,Цены!$K$22,IF(BE55=Цены!$H$23,Цены!$K$23,IF(BE55=Цены!$H$24,Цены!$K$24,IF(BE55=Цены!$H$25,Цены!$K$25,IF(BE55=Цены!$H$26,Цены!$K$26,IF(BE55=Цены!$H$27,Цены!$K$27,IF(BE55=Цены!$H$28,Цены!$K$28,IF(BE55=Цены!$H$29,Цены!$K$29,IF(BE55=Цены!$H$30,Цены!$K$30,IF(BE55=Цены!$H$31,Цены!$K$31,IF(BE55=Цены!$H$32,Цены!$K$32,IF(BE55=Цены!$H$33,Цены!$K$33,IF(BE55=Цены!$H$34,Цены!$K$34,IF(BE55=Цены!$H$35,Цены!$K$35,IF(BE55=Цены!$H$36,Цены!$K$36,IF(BE55=Цены!$H$37,Цены!$K$37,IF(BE55=Цены!$H$38,Цены!$K$38,IF(BE55=Цены!$H$39,Цены!$K$39,IF(BE55=Цены!$H$40,Цены!$K$40,IF(BE55=Цены!$H$41,Цены!$K$41,IF(BE55=Цены!$H$42,Цены!$K$42,IF(BE55=Цены!$H$43,Цены!$K$43,IF(BE55=Цены!$H$44,Цены!$K$44,IF(BE55=Цены!$H$45,Цены!$K$45,IF(BE55=Цены!$H$46,Цены!$K$46,IF(BE55=Цены!$H$47,Цены!$K$47,IF(BE55=Цены!$H$48,Цены!$K$48,IF(BE55=Цены!$H$49,Цены!$K$49,IF(BE55=Цены!$H$50,Цены!$K$50,IF(BE55=Цены!$H$51,Цены!$K$51,IF(BE55=Цены!$H$52,Цены!$K$52,IF(BE55=Цены!$H$53,Цены!$K$53,IF(BE55=Цены!$H$54,Цены!$K$54,IF(BE55=Цены!$H$55,Цены!$K$55))))))))))))))))))))))))))))))))))))))))))))))))))))))</f>
        <v>338</v>
      </c>
      <c r="BJ55" s="265"/>
      <c r="BK55" s="265"/>
      <c r="BL55" s="281">
        <f t="shared" ref="BL55" si="102">BF55*BI55+BF56*BI56+BF57*BI57+BF58*BI58</f>
        <v>1908</v>
      </c>
      <c r="BM55" s="292">
        <f>BJ51*BK51</f>
        <v>3600</v>
      </c>
      <c r="BN55" s="281">
        <f t="shared" ref="BN55" si="103">BL55+BM55</f>
        <v>5508</v>
      </c>
      <c r="BO55" s="268"/>
      <c r="BP55" s="281">
        <f>BO51/BN55*100</f>
        <v>71.895424836601322</v>
      </c>
      <c r="BQ55" s="293">
        <f>MROUND(BN55+BO51,500)</f>
        <v>9500</v>
      </c>
      <c r="BR55" s="133" t="s">
        <v>67</v>
      </c>
      <c r="BS55" s="108">
        <v>3</v>
      </c>
      <c r="BT55" s="109">
        <f>IF(BR55=Цены!$H$3,Цены!$L$3,IF(BR55=Цены!$H$4,Цены!$L$4,IF(BR55=Цены!$H$5,Цены!$L$5,IF(BR55=Цены!$H$6,Цены!$L$6,IF(BR55=Цены!$H$7,Цены!$L$7,IF(BR55=Цены!$H$8,Цены!$L$8,IF(BR55=Цены!$H$9,Цены!$L$9,IF(BR55=Цены!$H$10,Цены!$L$10,IF(BR55=Цены!$H$11,Цены!$L$11,IF(BR55=Цены!$H$12,Цены!$L$12,IF(BR55=Цены!$H$13,Цены!$L$13,IF(BR55=Цены!$H$14,Цены!$L$14,IF(BR55=Цены!$H$14,Цены!$L$14,IF(BR55=Цены!$H$15,Цены!$L$15,IF(BR55=Цены!$H$16,Цены!$L$16,IF(BR55=Цены!$H$17,Цены!$L$17,IF(BR55=Цены!$H$18,Цены!$L$18,IF(BR55=Цены!$H$19,Цены!$L$19,IF(BR55=Цены!$H$20,Цены!$L$20,IF(BR55=Цены!$H$21,Цены!$L$21,IF(BR55=Цены!$H$22,Цены!$L$22,IF(BR55=Цены!$H$23,Цены!$L$23,IF(BR55=Цены!$H$24,Цены!$L$24,IF(BR55=Цены!$H$25,Цены!$L$25,IF(BR55=Цены!$H$26,Цены!$L$26,IF(BR55=Цены!$H$27,Цены!$L$27,IF(BR55=Цены!$H$28,Цены!$L$28,IF(BR55=Цены!$H$29,Цены!$L$29,IF(BR55=Цены!$H$30,Цены!$L$30,IF(BR55=Цены!$H$31,Цены!$L$31,IF(BR55=Цены!$H$32,Цены!$L$32,IF(BR55=Цены!$H$33,Цены!$L$33,IF(BR55=Цены!$H$34,Цены!$L$34,IF(BR55=Цены!$H$35,Цены!$L$35,IF(BR55=Цены!$H$36,Цены!$L$36,IF(BR55=Цены!$H$37,Цены!$L$37,IF(BR55=Цены!$H$38,Цены!$L$38,IF(BR55=Цены!$H$39,Цены!$L$39,IF(BR55=Цены!$H$40,Цены!$L$40,IF(BR55=Цены!$H$41,Цены!$L$41,IF(BR55=Цены!$H$42,Цены!$L$42,IF(BR55=Цены!$H$43,Цены!$L$43,IF(BR55=Цены!$H$44,Цены!$L$44,IF(BR55=Цены!$H$45,Цены!$L$45,IF(BR55=Цены!$H$46,Цены!$L$46,IF(BR55=Цены!$H$47,Цены!$L$47,IF(BR55=Цены!$H$48,Цены!$L$48,IF(BR55=Цены!$H$49,Цены!$L$49,IF(BR55=Цены!$H$50,Цены!$L$50,IF(BR55=Цены!$H$51,Цены!$L$51,IF(BR55=Цены!$H$52,Цены!$L$52,IF(BR55=Цены!$H$53,Цены!$L$53,IF(BR55=Цены!$H$54,Цены!$L$54,IF(BR55=Цены!$H$55,Цены!$L$55))))))))))))))))))))))))))))))))))))))))))))))))))))))</f>
        <v>0.9</v>
      </c>
      <c r="BU55" s="284">
        <f>BS55*BT55+BS56*BT56+BS57*BT57+BS58*BT58</f>
        <v>5.04</v>
      </c>
      <c r="BV55" s="110">
        <f>IF(BR55=Цены!$H$3,Цены!$K$3,IF(BR55=Цены!$H$4,Цены!$K$4,IF(BR55=Цены!$H$5,Цены!$K$5,IF(BR55=Цены!$H$6,Цены!$K$6,IF(BR55=Цены!$H$7,Цены!$K$7,IF(BR55=Цены!$H$8,Цены!$K$8,IF(BR55=Цены!$H$9,Цены!$K$9,IF(BR55=Цены!$H$10,Цены!$K$10,IF(BR55=Цены!$H$11,Цены!$K$11,IF(BR55=Цены!$H$12,Цены!$K$12,IF(BR55=Цены!$H$13,Цены!$K$13,IF(BR55=Цены!$H$14,Цены!$K$14,IF(BR55=Цены!$H$14,Цены!$K$14,IF(BR55=Цены!$H$15,Цены!$K$15,IF(BR55=Цены!$H$16,Цены!$K$16,IF(BR55=Цены!$H$17,Цены!$K$17,IF(BR55=Цены!$H$18,Цены!$K$18,IF(BR55=Цены!$H$19,Цены!$K$19,IF(BR55=Цены!$H$20,Цены!$K$20,IF(BR55=Цены!$H$21,Цены!$K$21,IF(BR55=Цены!$H$22,Цены!$K$22,IF(BR55=Цены!$H$23,Цены!$K$23,IF(BR55=Цены!$H$24,Цены!$K$24,IF(BR55=Цены!$H$25,Цены!$K$25,IF(BR55=Цены!$H$26,Цены!$K$26,IF(BR55=Цены!$H$27,Цены!$K$27,IF(BR55=Цены!$H$28,Цены!$K$28,IF(BR55=Цены!$H$29,Цены!$K$29,IF(BR55=Цены!$H$30,Цены!$K$30,IF(BR55=Цены!$H$31,Цены!$K$31,IF(BR55=Цены!$H$32,Цены!$K$32,IF(BR55=Цены!$H$33,Цены!$K$33,IF(BR55=Цены!$H$34,Цены!$K$34,IF(BR55=Цены!$H$35,Цены!$K$35,IF(BR55=Цены!$H$36,Цены!$K$36,IF(BR55=Цены!$H$37,Цены!$K$37,IF(BR55=Цены!$H$38,Цены!$K$38,IF(BR55=Цены!$H$39,Цены!$K$39,IF(BR55=Цены!$H$40,Цены!$K$40,IF(BR55=Цены!$H$41,Цены!$K$41,IF(BR55=Цены!$H$42,Цены!$K$42,IF(BR55=Цены!$H$43,Цены!$K$43,IF(BR55=Цены!$H$44,Цены!$K$44,IF(BR55=Цены!$H$45,Цены!$K$45,IF(BR55=Цены!$H$46,Цены!$K$46,IF(BR55=Цены!$H$47,Цены!$K$47,IF(BR55=Цены!$H$48,Цены!$K$48,IF(BR55=Цены!$H$49,Цены!$K$49,IF(BR55=Цены!$H$50,Цены!$K$50,IF(BR55=Цены!$H$51,Цены!$K$51,IF(BR55=Цены!$H$52,Цены!$K$52,IF(BR55=Цены!$H$53,Цены!$K$53,IF(BR55=Цены!$H$54,Цены!$K$54,IF(BR55=Цены!$H$55,Цены!$K$55))))))))))))))))))))))))))))))))))))))))))))))))))))))</f>
        <v>338</v>
      </c>
      <c r="BW55" s="265"/>
      <c r="BX55" s="265"/>
      <c r="BY55" s="285">
        <f t="shared" ref="BY55" si="104">BS55*BV55+BS56*BV56+BS57*BV57+BS58*BV58</f>
        <v>2355</v>
      </c>
      <c r="BZ55" s="290">
        <f>BW51*BX51</f>
        <v>800</v>
      </c>
      <c r="CA55" s="285">
        <f t="shared" ref="CA55" si="105">BY55+BZ55</f>
        <v>3155</v>
      </c>
      <c r="CB55" s="268"/>
      <c r="CC55" s="285">
        <f>CB51/CA55*100</f>
        <v>27.892234548335974</v>
      </c>
      <c r="CD55" s="291">
        <f>MROUND(CA55+CB51,500)</f>
        <v>4000</v>
      </c>
      <c r="CE55" s="119" t="s">
        <v>67</v>
      </c>
      <c r="CF55" s="112">
        <v>2</v>
      </c>
      <c r="CG55" s="113">
        <f>IF(CE55=Цены!$H$3,Цены!$L$3,IF(CE55=Цены!$H$4,Цены!$L$4,IF(CE55=Цены!$H$5,Цены!$L$5,IF(CE55=Цены!$H$6,Цены!$L$6,IF(CE55=Цены!$H$7,Цены!$L$7,IF(CE55=Цены!$H$8,Цены!$L$8,IF(CE55=Цены!$H$9,Цены!$L$9,IF(CE55=Цены!$H$10,Цены!$L$10,IF(CE55=Цены!$H$11,Цены!$L$11,IF(CE55=Цены!$H$12,Цены!$L$12,IF(CE55=Цены!$H$13,Цены!$L$13,IF(CE55=Цены!$H$14,Цены!$L$14,IF(CE55=Цены!$H$14,Цены!$L$14,IF(CE55=Цены!$H$15,Цены!$L$15,IF(CE55=Цены!$H$16,Цены!$L$16,IF(CE55=Цены!$H$17,Цены!$L$17,IF(CE55=Цены!$H$18,Цены!$L$18,IF(CE55=Цены!$H$19,Цены!$L$19,IF(CE55=Цены!$H$20,Цены!$L$20,IF(CE55=Цены!$H$21,Цены!$L$21,IF(CE55=Цены!$H$22,Цены!$L$22,IF(CE55=Цены!$H$23,Цены!$L$23,IF(CE55=Цены!$H$24,Цены!$L$24,IF(CE55=Цены!$H$25,Цены!$L$25,IF(CE55=Цены!$H$26,Цены!$L$26,IF(CE55=Цены!$H$27,Цены!$L$27,IF(CE55=Цены!$H$28,Цены!$L$28,IF(CE55=Цены!$H$29,Цены!$L$29,IF(CE55=Цены!$H$30,Цены!$L$30,IF(CE55=Цены!$H$31,Цены!$L$31,IF(CE55=Цены!$H$32,Цены!$L$32,IF(CE55=Цены!$H$33,Цены!$L$33,IF(CE55=Цены!$H$34,Цены!$L$34,IF(CE55=Цены!$H$35,Цены!$L$35,IF(CE55=Цены!$H$36,Цены!$L$36,IF(CE55=Цены!$H$37,Цены!$L$37,IF(CE55=Цены!$H$38,Цены!$L$38,IF(CE55=Цены!$H$39,Цены!$L$39,IF(CE55=Цены!$H$40,Цены!$L$40,IF(CE55=Цены!$H$41,Цены!$L$41,IF(CE55=Цены!$H$42,Цены!$L$42,IF(CE55=Цены!$H$43,Цены!$L$43,IF(CE55=Цены!$H$44,Цены!$L$44,IF(CE55=Цены!$H$45,Цены!$L$45,IF(CE55=Цены!$H$46,Цены!$L$46,IF(CE55=Цены!$H$47,Цены!$L$47,IF(CE55=Цены!$H$48,Цены!$L$48,IF(CE55=Цены!$H$49,Цены!$L$49,IF(CE55=Цены!$H$50,Цены!$L$50,IF(CE55=Цены!$H$51,Цены!$L$51,IF(CE55=Цены!$H$52,Цены!$L$52,IF(CE55=Цены!$H$53,Цены!$L$53,IF(CE55=Цены!$H$54,Цены!$L$54,IF(CE55=Цены!$H$55,Цены!$L$55))))))))))))))))))))))))))))))))))))))))))))))))))))))</f>
        <v>0.9</v>
      </c>
      <c r="CH55" s="282">
        <f>CF55*CG55+CF56*CG56+CF57*CG57+CF58*CG58</f>
        <v>3.3732000000000002</v>
      </c>
      <c r="CI55" s="114">
        <f>IF(CE55=Цены!$H$3,Цены!$K$3,IF(CE55=Цены!$H$4,Цены!$K$4,IF(CE55=Цены!$H$5,Цены!$K$5,IF(CE55=Цены!$H$6,Цены!$K$6,IF(CE55=Цены!$H$7,Цены!$K$7,IF(CE55=Цены!$H$8,Цены!$K$8,IF(CE55=Цены!$H$9,Цены!$K$9,IF(CE55=Цены!$H$10,Цены!$K$10,IF(CE55=Цены!$H$11,Цены!$K$11,IF(CE55=Цены!$H$12,Цены!$K$12,IF(CE55=Цены!$H$13,Цены!$K$13,IF(CE55=Цены!$H$14,Цены!$K$14,IF(CE55=Цены!$H$14,Цены!$K$14,IF(CE55=Цены!$H$15,Цены!$K$15,IF(CE55=Цены!$H$16,Цены!$K$16,IF(CE55=Цены!$H$17,Цены!$K$17,IF(CE55=Цены!$H$18,Цены!$K$18,IF(CE55=Цены!$H$19,Цены!$K$19,IF(CE55=Цены!$H$20,Цены!$K$20,IF(CE55=Цены!$H$21,Цены!$K$21,IF(CE55=Цены!$H$22,Цены!$K$22,IF(CE55=Цены!$H$23,Цены!$K$23,IF(CE55=Цены!$H$24,Цены!$K$24,IF(CE55=Цены!$H$25,Цены!$K$25,IF(CE55=Цены!$H$26,Цены!$K$26,IF(CE55=Цены!$H$27,Цены!$K$27,IF(CE55=Цены!$H$28,Цены!$K$28,IF(CE55=Цены!$H$29,Цены!$K$29,IF(CE55=Цены!$H$30,Цены!$K$30,IF(CE55=Цены!$H$31,Цены!$K$31,IF(CE55=Цены!$H$32,Цены!$K$32,IF(CE55=Цены!$H$33,Цены!$K$33,IF(CE55=Цены!$H$34,Цены!$K$34,IF(CE55=Цены!$H$35,Цены!$K$35,IF(CE55=Цены!$H$36,Цены!$K$36,IF(CE55=Цены!$H$37,Цены!$K$37,IF(CE55=Цены!$H$38,Цены!$K$38,IF(CE55=Цены!$H$39,Цены!$K$39,IF(CE55=Цены!$H$40,Цены!$K$40,IF(CE55=Цены!$H$41,Цены!$K$41,IF(CE55=Цены!$H$42,Цены!$K$42,IF(CE55=Цены!$H$43,Цены!$K$43,IF(CE55=Цены!$H$44,Цены!$K$44,IF(CE55=Цены!$H$45,Цены!$K$45,IF(CE55=Цены!$H$46,Цены!$K$46,IF(CE55=Цены!$H$47,Цены!$K$47,IF(CE55=Цены!$H$48,Цены!$K$48,IF(CE55=Цены!$H$49,Цены!$K$49,IF(CE55=Цены!$H$50,Цены!$K$50,IF(CE55=Цены!$H$51,Цены!$K$51,IF(CE55=Цены!$H$52,Цены!$K$52,IF(CE55=Цены!$H$53,Цены!$K$53,IF(CE55=Цены!$H$54,Цены!$K$54,IF(CE55=Цены!$H$55,Цены!$K$55))))))))))))))))))))))))))))))))))))))))))))))))))))))</f>
        <v>338</v>
      </c>
      <c r="CJ55" s="265"/>
      <c r="CK55" s="265"/>
      <c r="CL55" s="283">
        <f t="shared" ref="CL55" si="106">CF55*CI55+CF56*CI56+CF57*CI57+CF58*CI58</f>
        <v>1624</v>
      </c>
      <c r="CM55" s="288">
        <f>CJ51*CK51</f>
        <v>1600</v>
      </c>
      <c r="CN55" s="283">
        <f t="shared" ref="CN55" si="107">CL55+CM55</f>
        <v>3224</v>
      </c>
      <c r="CO55" s="268"/>
      <c r="CP55" s="283">
        <f>CO51/CN55*100</f>
        <v>54.590570719602979</v>
      </c>
      <c r="CQ55" s="289">
        <f>MROUND(CN55+CO51,500)</f>
        <v>5000</v>
      </c>
    </row>
    <row r="56" spans="1:95" s="40" customFormat="1" ht="15.75" hidden="1" customHeight="1" x14ac:dyDescent="0.25">
      <c r="A56" s="341"/>
      <c r="B56" s="265"/>
      <c r="C56" s="336"/>
      <c r="D56" s="44" t="s">
        <v>87</v>
      </c>
      <c r="E56" s="45">
        <v>7</v>
      </c>
      <c r="F56" s="46">
        <f>IF(D56=Цены!$H$3,Цены!$L$3,IF(D56=Цены!$H$4,Цены!$L$4,IF(D56=Цены!$H$5,Цены!$L$5,IF(D56=Цены!$H$6,Цены!$L$6,IF(D56=Цены!$H$7,Цены!$L$7,IF(D56=Цены!$H$8,Цены!$L$8,IF(D56=Цены!$H$9,Цены!$L$9,IF(D56=Цены!$H$10,Цены!$L$10,IF(D56=Цены!$H$11,Цены!$L$11,IF(D56=Цены!$H$12,Цены!$L$12,IF(D56=Цены!$H$13,Цены!$L$13,IF(D56=Цены!$H$14,Цены!$L$14,IF(D56=Цены!$H$14,Цены!$L$14,IF(D56=Цены!$H$15,Цены!$L$15,IF(D56=Цены!$H$16,Цены!$L$16,IF(D56=Цены!$H$17,Цены!$L$17,IF(D56=Цены!$H$18,Цены!$L$18,IF(D56=Цены!$H$19,Цены!$L$19,IF(D56=Цены!$H$20,Цены!$L$20,IF(D56=Цены!$H$21,Цены!$L$21,IF(D56=Цены!$H$22,Цены!$L$22,IF(D56=Цены!$H$23,Цены!$L$23,IF(D56=Цены!$H$24,Цены!$L$24,IF(D56=Цены!$H$25,Цены!$L$25,IF(D56=Цены!$H$26,Цены!$L$26,IF(D56=Цены!$H$27,Цены!$L$27,IF(D56=Цены!$H$28,Цены!$L$28,IF(D56=Цены!$H$29,Цены!$L$29,IF(D56=Цены!$H$30,Цены!$L$30,IF(D56=Цены!$H$31,Цены!$L$31,IF(D56=Цены!$H$32,Цены!$L$32,IF(D56=Цены!$H$33,Цены!$L$33,IF(D56=Цены!$H$34,Цены!$L$34,IF(D56=Цены!$H$35,Цены!$L$35,IF(D56=Цены!$H$36,Цены!$L$36,IF(D56=Цены!$H$37,Цены!$L$37,IF(D56=Цены!$H$38,Цены!$L$38,IF(D56=Цены!$H$39,Цены!$L$39,IF(D56=Цены!$H$40,Цены!$L$40,IF(D56=Цены!$H$41,Цены!$L$41,IF(D56=Цены!$H$42,Цены!$L$42,IF(D56=Цены!$H$43,Цены!$L$43,IF(D56=Цены!$H$44,Цены!$L$44,IF(D56=Цены!$H$45,Цены!$L$45,IF(D56=Цены!$H$46,Цены!$L$46,IF(D56=Цены!$H$47,Цены!$L$47,IF(D56=Цены!$H$48,Цены!$L$48,IF(D56=Цены!$H$49,Цены!$L$49,IF(D56=Цены!$H$50,Цены!$L$50,IF(D56=Цены!$H$51,Цены!$L$51,IF(D56=Цены!$H$52,Цены!$L$52,IF(D56=Цены!$H$53,Цены!$L$53,IF(D56=Цены!$H$54,Цены!$L$54,IF(D56=Цены!$H$55,Цены!$L$55))))))))))))))))))))))))))))))))))))))))))))))))))))))</f>
        <v>1.2</v>
      </c>
      <c r="G56" s="339"/>
      <c r="H56" s="47">
        <f>IF(D56=Цены!$H$3,Цены!$K$3,IF(D56=Цены!$H$4,Цены!$K$4,IF(D56=Цены!$H$5,Цены!$K$5,IF(D56=Цены!$H$6,Цены!$K$6,IF(D56=Цены!$H$7,Цены!$K$7,IF(D56=Цены!$H$8,Цены!$K$8,IF(D56=Цены!$H$9,Цены!$K$9,IF(D56=Цены!$H$10,Цены!$K$10,IF(D56=Цены!$H$11,Цены!$K$11,IF(D56=Цены!$H$12,Цены!$K$12,IF(D56=Цены!$H$13,Цены!$K$13,IF(D56=Цены!$H$14,Цены!$K$14,IF(D56=Цены!$H$14,Цены!$K$14,IF(D56=Цены!$H$15,Цены!$K$15,IF(D56=Цены!$H$16,Цены!$K$16,IF(D56=Цены!$H$17,Цены!$K$17,IF(D56=Цены!$H$18,Цены!$K$18,IF(D56=Цены!$H$19,Цены!$K$19,IF(D56=Цены!$H$20,Цены!$K$20,IF(D56=Цены!$H$21,Цены!$K$21,IF(D56=Цены!$H$22,Цены!$K$22,IF(D56=Цены!$H$23,Цены!$K$23,IF(D56=Цены!$H$24,Цены!$K$24,IF(D56=Цены!$H$25,Цены!$K$25,IF(D56=Цены!$H$26,Цены!$K$26,IF(D56=Цены!$H$27,Цены!$K$27,IF(D56=Цены!$H$28,Цены!$K$28,IF(D56=Цены!$H$29,Цены!$K$29,IF(D56=Цены!$H$30,Цены!$K$30,IF(D56=Цены!$H$31,Цены!$K$31,IF(D56=Цены!$H$32,Цены!$K$32,IF(D56=Цены!$H$33,Цены!$K$33,IF(D56=Цены!$H$34,Цены!$K$34,IF(D56=Цены!$H$35,Цены!$K$35,IF(D56=Цены!$H$36,Цены!$K$36,IF(D56=Цены!$H$37,Цены!$K$37,IF(D56=Цены!$H$38,Цены!$K$38,IF(D56=Цены!$H$39,Цены!$K$39,IF(D56=Цены!$H$40,Цены!$K$40,IF(D56=Цены!$H$41,Цены!$K$41,IF(D56=Цены!$H$42,Цены!$K$42,IF(D56=Цены!$H$43,Цены!$K$43,IF(D56=Цены!$H$44,Цены!$K$44,IF(D56=Цены!$H$45,Цены!$K$45,IF(D56=Цены!$H$46,Цены!$K$46,IF(D56=Цены!$H$47,Цены!$K$47,IF(D56=Цены!$H$48,Цены!$K$48,IF(D56=Цены!$H$49,Цены!$K$49,IF(D56=Цены!$H$50,Цены!$K$50,IF(D56=Цены!$H$51,Цены!$K$51,IF(D56=Цены!$H$52,Цены!$K$52,IF(D56=Цены!$H$53,Цены!$K$53,IF(D56=Цены!$H$54,Цены!$K$54,IF(D56=Цены!$H$55,Цены!$K$55))))))))))))))))))))))))))))))))))))))))))))))))))))))</f>
        <v>378</v>
      </c>
      <c r="I56" s="265"/>
      <c r="J56" s="265"/>
      <c r="K56" s="332"/>
      <c r="L56" s="334"/>
      <c r="M56" s="334"/>
      <c r="N56" s="265"/>
      <c r="O56" s="332"/>
      <c r="P56" s="331"/>
      <c r="Q56" s="132" t="s">
        <v>148</v>
      </c>
      <c r="R56" s="37">
        <v>5</v>
      </c>
      <c r="S56" s="38">
        <f>IF(Q56=Цены!$H$3,Цены!$L$3,IF(Q56=Цены!$H$4,Цены!$L$4,IF(Q56=Цены!$H$5,Цены!$L$5,IF(Q56=Цены!$H$6,Цены!$L$6,IF(Q56=Цены!$H$7,Цены!$L$7,IF(Q56=Цены!$H$8,Цены!$L$8,IF(Q56=Цены!$H$9,Цены!$L$9,IF(Q56=Цены!$H$10,Цены!$L$10,IF(Q56=Цены!$H$11,Цены!$L$11,IF(Q56=Цены!$H$12,Цены!$L$12,IF(Q56=Цены!$H$13,Цены!$L$13,IF(Q56=Цены!$H$14,Цены!$L$14,IF(Q56=Цены!$H$14,Цены!$L$14,IF(Q56=Цены!$H$15,Цены!$L$15,IF(Q56=Цены!$H$16,Цены!$L$16,IF(Q56=Цены!$H$17,Цены!$L$17,IF(Q56=Цены!$H$18,Цены!$L$18,IF(Q56=Цены!$H$19,Цены!$L$19,IF(Q56=Цены!$H$20,Цены!$L$20,IF(Q56=Цены!$H$21,Цены!$L$21,IF(Q56=Цены!$H$22,Цены!$L$22,IF(Q56=Цены!$H$23,Цены!$L$23,IF(Q56=Цены!$H$24,Цены!$L$24,IF(Q56=Цены!$H$25,Цены!$L$25,IF(Q56=Цены!$H$26,Цены!$L$26,IF(Q56=Цены!$H$27,Цены!$L$27,IF(Q56=Цены!$H$28,Цены!$L$28,IF(Q56=Цены!$H$29,Цены!$L$29,IF(Q56=Цены!$H$30,Цены!$L$30,IF(Q56=Цены!$H$31,Цены!$L$31,IF(Q56=Цены!$H$32,Цены!$L$32,IF(Q56=Цены!$H$33,Цены!$L$33,IF(Q56=Цены!$H$34,Цены!$L$34,IF(Q56=Цены!$H$35,Цены!$L$35,IF(Q56=Цены!$H$36,Цены!$L$36,IF(Q56=Цены!$H$37,Цены!$L$37,IF(Q56=Цены!$H$38,Цены!$L$38,IF(Q56=Цены!$H$39,Цены!$L$39,IF(Q56=Цены!$H$40,Цены!$L$40,IF(Q56=Цены!$H$41,Цены!$L$41,IF(Q56=Цены!$H$42,Цены!$L$42,IF(Q56=Цены!$H$43,Цены!$L$43,IF(Q56=Цены!$H$44,Цены!$L$44,IF(Q56=Цены!$H$45,Цены!$L$45,IF(Q56=Цены!$H$46,Цены!$L$46,IF(Q56=Цены!$H$47,Цены!$L$47,IF(Q56=Цены!$H$48,Цены!$L$48,IF(Q56=Цены!$H$49,Цены!$L$49,IF(Q56=Цены!$H$50,Цены!$L$50,IF(Q56=Цены!$H$51,Цены!$L$51,IF(Q56=Цены!$H$52,Цены!$L$52,IF(Q56=Цены!$H$53,Цены!$L$53,IF(Q56=Цены!$H$54,Цены!$L$54,IF(Q56=Цены!$H$55,Цены!$L$55))))))))))))))))))))))))))))))))))))))))))))))))))))))</f>
        <v>1.1499999999999999</v>
      </c>
      <c r="T56" s="322"/>
      <c r="U56" s="161">
        <f>IF(Q56=Цены!$H$3,Цены!$K$3,IF(Q56=Цены!$H$4,Цены!$K$4,IF(Q56=Цены!$H$5,Цены!$K$5,IF(Q56=Цены!$H$6,Цены!$K$6,IF(Q56=Цены!$H$7,Цены!$K$7,IF(Q56=Цены!$H$8,Цены!$K$8,IF(Q56=Цены!$H$9,Цены!$K$9,IF(Q56=Цены!$H$10,Цены!$K$10,IF(Q56=Цены!$H$11,Цены!$K$11,IF(Q56=Цены!$H$12,Цены!$K$12,IF(Q56=Цены!$H$13,Цены!$K$13,IF(Q56=Цены!$H$14,Цены!$K$14,IF(Q56=Цены!$H$14,Цены!$K$14,IF(Q56=Цены!$H$15,Цены!$K$15,IF(Q56=Цены!$H$16,Цены!$K$16,IF(Q56=Цены!$H$17,Цены!$K$17,IF(Q56=Цены!$H$18,Цены!$K$18,IF(Q56=Цены!$H$19,Цены!$K$19,IF(Q56=Цены!$H$20,Цены!$K$20,IF(Q56=Цены!$H$21,Цены!$K$21,IF(Q56=Цены!$H$22,Цены!$K$22,IF(Q56=Цены!$H$23,Цены!$K$23,IF(Q56=Цены!$H$24,Цены!$K$24,IF(Q56=Цены!$H$25,Цены!$K$25,IF(Q56=Цены!$H$26,Цены!$K$26,IF(Q56=Цены!$H$27,Цены!$K$27,IF(Q56=Цены!$H$28,Цены!$K$28,IF(Q56=Цены!$H$29,Цены!$K$29,IF(Q56=Цены!$H$30,Цены!$K$30,IF(Q56=Цены!$H$31,Цены!$K$31,IF(Q56=Цены!$H$32,Цены!$K$32,IF(Q56=Цены!$H$33,Цены!$K$33,IF(Q56=Цены!$H$34,Цены!$K$34,IF(Q56=Цены!$H$35,Цены!$K$35,IF(Q56=Цены!$H$36,Цены!$K$36,IF(Q56=Цены!$H$37,Цены!$K$37,IF(Q56=Цены!$H$38,Цены!$K$38,IF(Q56=Цены!$H$39,Цены!$K$39,IF(Q56=Цены!$H$40,Цены!$K$40,IF(Q56=Цены!$H$41,Цены!$K$41,IF(Q56=Цены!$H$42,Цены!$K$42,IF(Q56=Цены!$H$43,Цены!$K$43,IF(Q56=Цены!$H$44,Цены!$K$44,IF(Q56=Цены!$H$45,Цены!$K$45,IF(Q56=Цены!$H$46,Цены!$K$46,IF(Q56=Цены!$H$47,Цены!$K$47,IF(Q56=Цены!$H$48,Цены!$K$48,IF(Q56=Цены!$H$49,Цены!$K$49,IF(Q56=Цены!$H$50,Цены!$K$50,IF(Q56=Цены!$H$51,Цены!$K$51,IF(Q56=Цены!$H$52,Цены!$K$52,IF(Q56=Цены!$H$53,Цены!$K$53,IF(Q56=Цены!$H$54,Цены!$K$54,IF(Q56=Цены!$H$55,Цены!$K$55))))))))))))))))))))))))))))))))))))))))))))))))))))))</f>
        <v>400</v>
      </c>
      <c r="V56" s="265"/>
      <c r="W56" s="265"/>
      <c r="X56" s="323"/>
      <c r="Y56" s="324"/>
      <c r="Z56" s="324"/>
      <c r="AA56" s="265"/>
      <c r="AB56" s="323"/>
      <c r="AC56" s="325"/>
      <c r="AD56" s="66" t="s">
        <v>70</v>
      </c>
      <c r="AE56" s="130">
        <v>3</v>
      </c>
      <c r="AF56" s="68">
        <f>IF(AD56=Цены!$H$3,Цены!$L$3,IF(AD56=Цены!$H$4,Цены!$L$4,IF(AD56=Цены!$H$5,Цены!$L$5,IF(AD56=Цены!$H$6,Цены!$L$6,IF(AD56=Цены!$H$7,Цены!$L$7,IF(AD56=Цены!$H$8,Цены!$L$8,IF(AD56=Цены!$H$9,Цены!$L$9,IF(AD56=Цены!$H$10,Цены!$L$10,IF(AD56=Цены!$H$11,Цены!$L$11,IF(AD56=Цены!$H$12,Цены!$L$12,IF(AD56=Цены!$H$13,Цены!$L$13,IF(AD56=Цены!$H$14,Цены!$L$14,IF(AD56=Цены!$H$14,Цены!$L$14,IF(AD56=Цены!$H$15,Цены!$L$15,IF(AD56=Цены!$H$16,Цены!$L$16,IF(AD56=Цены!$H$17,Цены!$L$17,IF(AD56=Цены!$H$18,Цены!$L$18,IF(AD56=Цены!$H$19,Цены!$L$19,IF(AD56=Цены!$H$20,Цены!$L$20,IF(AD56=Цены!$H$21,Цены!$L$21,IF(AD56=Цены!$H$22,Цены!$L$22,IF(AD56=Цены!$H$23,Цены!$L$23,IF(AD56=Цены!$H$24,Цены!$L$24,IF(AD56=Цены!$H$25,Цены!$L$25,IF(AD56=Цены!$H$26,Цены!$L$26,IF(AD56=Цены!$H$27,Цены!$L$27,IF(AD56=Цены!$H$28,Цены!$L$28,IF(AD56=Цены!$H$29,Цены!$L$29,IF(AD56=Цены!$H$30,Цены!$L$30,IF(AD56=Цены!$H$31,Цены!$L$31,IF(AD56=Цены!$H$32,Цены!$L$32,IF(AD56=Цены!$H$33,Цены!$L$33,IF(AD56=Цены!$H$34,Цены!$L$34,IF(AD56=Цены!$H$35,Цены!$L$35,IF(AD56=Цены!$H$36,Цены!$L$36,IF(AD56=Цены!$H$37,Цены!$L$37,IF(AD56=Цены!$H$38,Цены!$L$38,IF(AD56=Цены!$H$39,Цены!$L$39,IF(AD56=Цены!$H$40,Цены!$L$40,IF(AD56=Цены!$H$41,Цены!$L$41,IF(AD56=Цены!$H$42,Цены!$L$42,IF(AD56=Цены!$H$43,Цены!$L$43,IF(AD56=Цены!$H$44,Цены!$L$44,IF(AD56=Цены!$H$45,Цены!$L$45,IF(AD56=Цены!$H$46,Цены!$L$46,IF(AD56=Цены!$H$47,Цены!$L$47,IF(AD56=Цены!$H$48,Цены!$L$48,IF(AD56=Цены!$H$49,Цены!$L$49,IF(AD56=Цены!$H$50,Цены!$L$50,IF(AD56=Цены!$H$51,Цены!$L$51,IF(AD56=Цены!$H$52,Цены!$L$52,IF(AD56=Цены!$H$53,Цены!$L$53,IF(AD56=Цены!$H$54,Цены!$L$54,IF(AD56=Цены!$H$55,Цены!$L$55))))))))))))))))))))))))))))))))))))))))))))))))))))))</f>
        <v>2.4</v>
      </c>
      <c r="AG56" s="311"/>
      <c r="AH56" s="69">
        <f>IF(AD56=Цены!$H$3,Цены!$K$3,IF(AD56=Цены!$H$4,Цены!$K$4,IF(AD56=Цены!$H$5,Цены!$K$5,IF(AD56=Цены!$H$6,Цены!$K$6,IF(AD56=Цены!$H$7,Цены!$K$7,IF(AD56=Цены!$H$8,Цены!$K$8,IF(AD56=Цены!$H$9,Цены!$K$9,IF(AD56=Цены!$H$10,Цены!$K$10,IF(AD56=Цены!$H$11,Цены!$K$11,IF(AD56=Цены!$H$12,Цены!$K$12,IF(AD56=Цены!$H$13,Цены!$K$13,IF(AD56=Цены!$H$14,Цены!$K$14,IF(AD56=Цены!$H$14,Цены!$K$14,IF(AD56=Цены!$H$15,Цены!$K$15,IF(AD56=Цены!$H$16,Цены!$K$16,IF(AD56=Цены!$H$17,Цены!$K$17,IF(AD56=Цены!$H$18,Цены!$K$18,IF(AD56=Цены!$H$19,Цены!$K$19,IF(AD56=Цены!$H$20,Цены!$K$20,IF(AD56=Цены!$H$21,Цены!$K$21,IF(AD56=Цены!$H$22,Цены!$K$22,IF(AD56=Цены!$H$23,Цены!$K$23,IF(AD56=Цены!$H$24,Цены!$K$24,IF(AD56=Цены!$H$25,Цены!$K$25,IF(AD56=Цены!$H$26,Цены!$K$26,IF(AD56=Цены!$H$27,Цены!$K$27,IF(AD56=Цены!$H$28,Цены!$K$28,IF(AD56=Цены!$H$29,Цены!$K$29,IF(AD56=Цены!$H$30,Цены!$K$30,IF(AD56=Цены!$H$31,Цены!$K$31,IF(AD56=Цены!$H$32,Цены!$K$32,IF(AD56=Цены!$H$33,Цены!$K$33,IF(AD56=Цены!$H$34,Цены!$K$34,IF(AD56=Цены!$H$35,Цены!$K$35,IF(AD56=Цены!$H$36,Цены!$K$36,IF(AD56=Цены!$H$37,Цены!$K$37,IF(AD56=Цены!$H$38,Цены!$K$38,IF(AD56=Цены!$H$39,Цены!$K$39,IF(AD56=Цены!$H$40,Цены!$K$40,IF(AD56=Цены!$H$41,Цены!$K$41,IF(AD56=Цены!$H$42,Цены!$K$42,IF(AD56=Цены!$H$43,Цены!$K$43,IF(AD56=Цены!$H$44,Цены!$K$44,IF(AD56=Цены!$H$45,Цены!$K$45,IF(AD56=Цены!$H$46,Цены!$K$46,IF(AD56=Цены!$H$47,Цены!$K$47,IF(AD56=Цены!$H$48,Цены!$K$48,IF(AD56=Цены!$H$49,Цены!$K$49,IF(AD56=Цены!$H$50,Цены!$K$50,IF(AD56=Цены!$H$51,Цены!$K$51,IF(AD56=Цены!$H$52,Цены!$K$52,IF(AD56=Цены!$H$53,Цены!$K$53,IF(AD56=Цены!$H$54,Цены!$K$54,IF(AD56=Цены!$H$55,Цены!$K$55))))))))))))))))))))))))))))))))))))))))))))))))))))))</f>
        <v>469</v>
      </c>
      <c r="AI56" s="265"/>
      <c r="AJ56" s="265"/>
      <c r="AK56" s="312"/>
      <c r="AL56" s="314"/>
      <c r="AM56" s="314"/>
      <c r="AN56" s="265"/>
      <c r="AO56" s="312"/>
      <c r="AP56" s="315"/>
      <c r="AQ56" s="125" t="s">
        <v>140</v>
      </c>
      <c r="AR56" s="131">
        <v>3</v>
      </c>
      <c r="AS56" s="80">
        <f>IF(AQ56=Цены!$H$3,Цены!$L$3,IF(AQ56=Цены!$H$4,Цены!$L$4,IF(AQ56=Цены!$H$5,Цены!$L$5,IF(AQ56=Цены!$H$6,Цены!$L$6,IF(AQ56=Цены!$H$7,Цены!$L$7,IF(AQ56=Цены!$H$8,Цены!$L$8,IF(AQ56=Цены!$H$9,Цены!$L$9,IF(AQ56=Цены!$H$10,Цены!$L$10,IF(AQ56=Цены!$H$11,Цены!$L$11,IF(AQ56=Цены!$H$12,Цены!$L$12,IF(AQ56=Цены!$H$13,Цены!$L$13,IF(AQ56=Цены!$H$14,Цены!$L$14,IF(AQ56=Цены!$H$14,Цены!$L$14,IF(AQ56=Цены!$H$15,Цены!$L$15,IF(AQ56=Цены!$H$16,Цены!$L$16,IF(AQ56=Цены!$H$17,Цены!$L$17,IF(AQ56=Цены!$H$18,Цены!$L$18,IF(AQ56=Цены!$H$19,Цены!$L$19,IF(AQ56=Цены!$H$20,Цены!$L$20,IF(AQ56=Цены!$H$21,Цены!$L$21,IF(AQ56=Цены!$H$22,Цены!$L$22,IF(AQ56=Цены!$H$23,Цены!$L$23,IF(AQ56=Цены!$H$24,Цены!$L$24,IF(AQ56=Цены!$H$25,Цены!$L$25,IF(AQ56=Цены!$H$26,Цены!$L$26,IF(AQ56=Цены!$H$27,Цены!$L$27,IF(AQ56=Цены!$H$28,Цены!$L$28,IF(AQ56=Цены!$H$29,Цены!$L$29,IF(AQ56=Цены!$H$30,Цены!$L$30,IF(AQ56=Цены!$H$31,Цены!$L$31,IF(AQ56=Цены!$H$32,Цены!$L$32,IF(AQ56=Цены!$H$33,Цены!$L$33,IF(AQ56=Цены!$H$34,Цены!$L$34,IF(AQ56=Цены!$H$35,Цены!$L$35,IF(AQ56=Цены!$H$36,Цены!$L$36,IF(AQ56=Цены!$H$37,Цены!$L$37,IF(AQ56=Цены!$H$38,Цены!$L$38,IF(AQ56=Цены!$H$39,Цены!$L$39,IF(AQ56=Цены!$H$40,Цены!$L$40,IF(AQ56=Цены!$H$41,Цены!$L$41,IF(AQ56=Цены!$H$42,Цены!$L$42,IF(AQ56=Цены!$H$43,Цены!$L$43,IF(AQ56=Цены!$H$44,Цены!$L$44,IF(AQ56=Цены!$H$45,Цены!$L$45,IF(AQ56=Цены!$H$46,Цены!$L$46,IF(AQ56=Цены!$H$47,Цены!$L$47,IF(AQ56=Цены!$H$48,Цены!$L$48,IF(AQ56=Цены!$H$49,Цены!$L$49,IF(AQ56=Цены!$H$50,Цены!$L$50,IF(AQ56=Цены!$H$51,Цены!$L$51,IF(AQ56=Цены!$H$52,Цены!$L$52,IF(AQ56=Цены!$H$53,Цены!$L$53,IF(AQ56=Цены!$H$54,Цены!$L$54,IF(AQ56=Цены!$H$55,Цены!$L$55))))))))))))))))))))))))))))))))))))))))))))))))))))))</f>
        <v>0.37</v>
      </c>
      <c r="AT56" s="271"/>
      <c r="AU56" s="81">
        <f>IF(AQ56=Цены!$H$3,Цены!$K$3,IF(AQ56=Цены!$H$4,Цены!$K$4,IF(AQ56=Цены!$H$5,Цены!$K$5,IF(AQ56=Цены!$H$6,Цены!$K$6,IF(AQ56=Цены!$H$7,Цены!$K$7,IF(AQ56=Цены!$H$8,Цены!$K$8,IF(AQ56=Цены!$H$9,Цены!$K$9,IF(AQ56=Цены!$H$10,Цены!$K$10,IF(AQ56=Цены!$H$11,Цены!$K$11,IF(AQ56=Цены!$H$12,Цены!$K$12,IF(AQ56=Цены!$H$13,Цены!$K$13,IF(AQ56=Цены!$H$14,Цены!$K$14,IF(AQ56=Цены!$H$14,Цены!$K$14,IF(AQ56=Цены!$H$15,Цены!$K$15,IF(AQ56=Цены!$H$16,Цены!$K$16,IF(AQ56=Цены!$H$17,Цены!$K$17,IF(AQ56=Цены!$H$18,Цены!$K$18,IF(AQ56=Цены!$H$19,Цены!$K$19,IF(AQ56=Цены!$H$20,Цены!$K$20,IF(AQ56=Цены!$H$21,Цены!$K$21,IF(AQ56=Цены!$H$22,Цены!$K$22,IF(AQ56=Цены!$H$23,Цены!$K$23,IF(AQ56=Цены!$H$24,Цены!$K$24,IF(AQ56=Цены!$H$25,Цены!$K$25,IF(AQ56=Цены!$H$26,Цены!$K$26,IF(AQ56=Цены!$H$27,Цены!$K$27,IF(AQ56=Цены!$H$28,Цены!$K$28,IF(AQ56=Цены!$H$29,Цены!$K$29,IF(AQ56=Цены!$H$30,Цены!$K$30,IF(AQ56=Цены!$H$31,Цены!$K$31,IF(AQ56=Цены!$H$32,Цены!$K$32,IF(AQ56=Цены!$H$33,Цены!$K$33,IF(AQ56=Цены!$H$34,Цены!$K$34,IF(AQ56=Цены!$H$35,Цены!$K$35,IF(AQ56=Цены!$H$36,Цены!$K$36,IF(AQ56=Цены!$H$37,Цены!$K$37,IF(AQ56=Цены!$H$38,Цены!$K$38,IF(AQ56=Цены!$H$39,Цены!$K$39,IF(AQ56=Цены!$H$40,Цены!$K$40,IF(AQ56=Цены!$H$41,Цены!$K$41,IF(AQ56=Цены!$H$42,Цены!$K$42,IF(AQ56=Цены!$H$43,Цены!$K$43,IF(AQ56=Цены!$H$44,Цены!$K$44,IF(AQ56=Цены!$H$45,Цены!$K$45,IF(AQ56=Цены!$H$46,Цены!$K$46,IF(AQ56=Цены!$H$47,Цены!$K$47,IF(AQ56=Цены!$H$48,Цены!$K$48,IF(AQ56=Цены!$H$49,Цены!$K$49,IF(AQ56=Цены!$H$50,Цены!$K$50,IF(AQ56=Цены!$H$51,Цены!$K$51,IF(AQ56=Цены!$H$52,Цены!$K$52,IF(AQ56=Цены!$H$53,Цены!$K$53,IF(AQ56=Цены!$H$54,Цены!$K$54,IF(AQ56=Цены!$H$55,Цены!$K$55))))))))))))))))))))))))))))))))))))))))))))))))))))))</f>
        <v>730</v>
      </c>
      <c r="AV56" s="265"/>
      <c r="AW56" s="265"/>
      <c r="AX56" s="274"/>
      <c r="AY56" s="304"/>
      <c r="AZ56" s="304"/>
      <c r="BA56" s="265"/>
      <c r="BB56" s="274"/>
      <c r="BC56" s="305"/>
      <c r="BD56" s="259"/>
      <c r="BE56" s="116" t="s">
        <v>96</v>
      </c>
      <c r="BF56" s="106">
        <v>2</v>
      </c>
      <c r="BG56" s="103">
        <f>IF(BE56=Цены!$H$3,Цены!$L$3,IF(BE56=Цены!$H$4,Цены!$L$4,IF(BE56=Цены!$H$5,Цены!$L$5,IF(BE56=Цены!$H$6,Цены!$L$6,IF(BE56=Цены!$H$7,Цены!$L$7,IF(BE56=Цены!$H$8,Цены!$L$8,IF(BE56=Цены!$H$9,Цены!$L$9,IF(BE56=Цены!$H$10,Цены!$L$10,IF(BE56=Цены!$H$11,Цены!$L$11,IF(BE56=Цены!$H$12,Цены!$L$12,IF(BE56=Цены!$H$13,Цены!$L$13,IF(BE56=Цены!$H$14,Цены!$L$14,IF(BE56=Цены!$H$14,Цены!$L$14,IF(BE56=Цены!$H$15,Цены!$L$15,IF(BE56=Цены!$H$16,Цены!$L$16,IF(BE56=Цены!$H$17,Цены!$L$17,IF(BE56=Цены!$H$18,Цены!$L$18,IF(BE56=Цены!$H$19,Цены!$L$19,IF(BE56=Цены!$H$20,Цены!$L$20,IF(BE56=Цены!$H$21,Цены!$L$21,IF(BE56=Цены!$H$22,Цены!$L$22,IF(BE56=Цены!$H$23,Цены!$L$23,IF(BE56=Цены!$H$24,Цены!$L$24,IF(BE56=Цены!$H$25,Цены!$L$25,IF(BE56=Цены!$H$26,Цены!$L$26,IF(BE56=Цены!$H$27,Цены!$L$27,IF(BE56=Цены!$H$28,Цены!$L$28,IF(BE56=Цены!$H$29,Цены!$L$29,IF(BE56=Цены!$H$30,Цены!$L$30,IF(BE56=Цены!$H$31,Цены!$L$31,IF(BE56=Цены!$H$32,Цены!$L$32,IF(BE56=Цены!$H$33,Цены!$L$33,IF(BE56=Цены!$H$34,Цены!$L$34,IF(BE56=Цены!$H$35,Цены!$L$35,IF(BE56=Цены!$H$36,Цены!$L$36,IF(BE56=Цены!$H$37,Цены!$L$37,IF(BE56=Цены!$H$38,Цены!$L$38,IF(BE56=Цены!$H$39,Цены!$L$39,IF(BE56=Цены!$H$40,Цены!$L$40,IF(BE56=Цены!$H$41,Цены!$L$41,IF(BE56=Цены!$H$42,Цены!$L$42,IF(BE56=Цены!$H$43,Цены!$L$43,IF(BE56=Цены!$H$44,Цены!$L$44,IF(BE56=Цены!$H$45,Цены!$L$45,IF(BE56=Цены!$H$46,Цены!$L$46,IF(BE56=Цены!$H$47,Цены!$L$47,IF(BE56=Цены!$H$48,Цены!$L$48,IF(BE56=Цены!$H$49,Цены!$L$49,IF(BE56=Цены!$H$50,Цены!$L$50,IF(BE56=Цены!$H$51,Цены!$L$51,IF(BE56=Цены!$H$52,Цены!$L$52,IF(BE56=Цены!$H$53,Цены!$L$53,IF(BE56=Цены!$H$54,Цены!$L$54,IF(BE56=Цены!$H$55,Цены!$L$55))))))))))))))))))))))))))))))))))))))))))))))))))))))</f>
        <v>0.78</v>
      </c>
      <c r="BH56" s="280"/>
      <c r="BI56" s="104">
        <f>IF(BE56=Цены!$H$3,Цены!$K$3,IF(BE56=Цены!$H$4,Цены!$K$4,IF(BE56=Цены!$H$5,Цены!$K$5,IF(BE56=Цены!$H$6,Цены!$K$6,IF(BE56=Цены!$H$7,Цены!$K$7,IF(BE56=Цены!$H$8,Цены!$K$8,IF(BE56=Цены!$H$9,Цены!$K$9,IF(BE56=Цены!$H$10,Цены!$K$10,IF(BE56=Цены!$H$11,Цены!$K$11,IF(BE56=Цены!$H$12,Цены!$K$12,IF(BE56=Цены!$H$13,Цены!$K$13,IF(BE56=Цены!$H$14,Цены!$K$14,IF(BE56=Цены!$H$14,Цены!$K$14,IF(BE56=Цены!$H$15,Цены!$K$15,IF(BE56=Цены!$H$16,Цены!$K$16,IF(BE56=Цены!$H$17,Цены!$K$17,IF(BE56=Цены!$H$18,Цены!$K$18,IF(BE56=Цены!$H$19,Цены!$K$19,IF(BE56=Цены!$H$20,Цены!$K$20,IF(BE56=Цены!$H$21,Цены!$K$21,IF(BE56=Цены!$H$22,Цены!$K$22,IF(BE56=Цены!$H$23,Цены!$K$23,IF(BE56=Цены!$H$24,Цены!$K$24,IF(BE56=Цены!$H$25,Цены!$K$25,IF(BE56=Цены!$H$26,Цены!$K$26,IF(BE56=Цены!$H$27,Цены!$K$27,IF(BE56=Цены!$H$28,Цены!$K$28,IF(BE56=Цены!$H$29,Цены!$K$29,IF(BE56=Цены!$H$30,Цены!$K$30,IF(BE56=Цены!$H$31,Цены!$K$31,IF(BE56=Цены!$H$32,Цены!$K$32,IF(BE56=Цены!$H$33,Цены!$K$33,IF(BE56=Цены!$H$34,Цены!$K$34,IF(BE56=Цены!$H$35,Цены!$K$35,IF(BE56=Цены!$H$36,Цены!$K$36,IF(BE56=Цены!$H$37,Цены!$K$37,IF(BE56=Цены!$H$38,Цены!$K$38,IF(BE56=Цены!$H$39,Цены!$K$39,IF(BE56=Цены!$H$40,Цены!$K$40,IF(BE56=Цены!$H$41,Цены!$K$41,IF(BE56=Цены!$H$42,Цены!$K$42,IF(BE56=Цены!$H$43,Цены!$K$43,IF(BE56=Цены!$H$44,Цены!$K$44,IF(BE56=Цены!$H$45,Цены!$K$45,IF(BE56=Цены!$H$46,Цены!$K$46,IF(BE56=Цены!$H$47,Цены!$K$47,IF(BE56=Цены!$H$48,Цены!$K$48,IF(BE56=Цены!$H$49,Цены!$K$49,IF(BE56=Цены!$H$50,Цены!$K$50,IF(BE56=Цены!$H$51,Цены!$K$51,IF(BE56=Цены!$H$52,Цены!$K$52,IF(BE56=Цены!$H$53,Цены!$K$53,IF(BE56=Цены!$H$54,Цены!$K$54,IF(BE56=Цены!$H$55,Цены!$K$55))))))))))))))))))))))))))))))))))))))))))))))))))))))</f>
        <v>447</v>
      </c>
      <c r="BJ56" s="265"/>
      <c r="BK56" s="265"/>
      <c r="BL56" s="281"/>
      <c r="BM56" s="292"/>
      <c r="BN56" s="292"/>
      <c r="BO56" s="268"/>
      <c r="BP56" s="281"/>
      <c r="BQ56" s="293"/>
      <c r="BR56" s="118" t="s">
        <v>96</v>
      </c>
      <c r="BS56" s="108">
        <v>3</v>
      </c>
      <c r="BT56" s="109">
        <f>IF(BR56=Цены!$H$3,Цены!$L$3,IF(BR56=Цены!$H$4,Цены!$L$4,IF(BR56=Цены!$H$5,Цены!$L$5,IF(BR56=Цены!$H$6,Цены!$L$6,IF(BR56=Цены!$H$7,Цены!$L$7,IF(BR56=Цены!$H$8,Цены!$L$8,IF(BR56=Цены!$H$9,Цены!$L$9,IF(BR56=Цены!$H$10,Цены!$L$10,IF(BR56=Цены!$H$11,Цены!$L$11,IF(BR56=Цены!$H$12,Цены!$L$12,IF(BR56=Цены!$H$13,Цены!$L$13,IF(BR56=Цены!$H$14,Цены!$L$14,IF(BR56=Цены!$H$14,Цены!$L$14,IF(BR56=Цены!$H$15,Цены!$L$15,IF(BR56=Цены!$H$16,Цены!$L$16,IF(BR56=Цены!$H$17,Цены!$L$17,IF(BR56=Цены!$H$18,Цены!$L$18,IF(BR56=Цены!$H$19,Цены!$L$19,IF(BR56=Цены!$H$20,Цены!$L$20,IF(BR56=Цены!$H$21,Цены!$L$21,IF(BR56=Цены!$H$22,Цены!$L$22,IF(BR56=Цены!$H$23,Цены!$L$23,IF(BR56=Цены!$H$24,Цены!$L$24,IF(BR56=Цены!$H$25,Цены!$L$25,IF(BR56=Цены!$H$26,Цены!$L$26,IF(BR56=Цены!$H$27,Цены!$L$27,IF(BR56=Цены!$H$28,Цены!$L$28,IF(BR56=Цены!$H$29,Цены!$L$29,IF(BR56=Цены!$H$30,Цены!$L$30,IF(BR56=Цены!$H$31,Цены!$L$31,IF(BR56=Цены!$H$32,Цены!$L$32,IF(BR56=Цены!$H$33,Цены!$L$33,IF(BR56=Цены!$H$34,Цены!$L$34,IF(BR56=Цены!$H$35,Цены!$L$35,IF(BR56=Цены!$H$36,Цены!$L$36,IF(BR56=Цены!$H$37,Цены!$L$37,IF(BR56=Цены!$H$38,Цены!$L$38,IF(BR56=Цены!$H$39,Цены!$L$39,IF(BR56=Цены!$H$40,Цены!$L$40,IF(BR56=Цены!$H$41,Цены!$L$41,IF(BR56=Цены!$H$42,Цены!$L$42,IF(BR56=Цены!$H$43,Цены!$L$43,IF(BR56=Цены!$H$44,Цены!$L$44,IF(BR56=Цены!$H$45,Цены!$L$45,IF(BR56=Цены!$H$46,Цены!$L$46,IF(BR56=Цены!$H$47,Цены!$L$47,IF(BR56=Цены!$H$48,Цены!$L$48,IF(BR56=Цены!$H$49,Цены!$L$49,IF(BR56=Цены!$H$50,Цены!$L$50,IF(BR56=Цены!$H$51,Цены!$L$51,IF(BR56=Цены!$H$52,Цены!$L$52,IF(BR56=Цены!$H$53,Цены!$L$53,IF(BR56=Цены!$H$54,Цены!$L$54,IF(BR56=Цены!$H$55,Цены!$L$55))))))))))))))))))))))))))))))))))))))))))))))))))))))</f>
        <v>0.78</v>
      </c>
      <c r="BU56" s="284"/>
      <c r="BV56" s="110">
        <f>IF(BR56=Цены!$H$3,Цены!$K$3,IF(BR56=Цены!$H$4,Цены!$K$4,IF(BR56=Цены!$H$5,Цены!$K$5,IF(BR56=Цены!$H$6,Цены!$K$6,IF(BR56=Цены!$H$7,Цены!$K$7,IF(BR56=Цены!$H$8,Цены!$K$8,IF(BR56=Цены!$H$9,Цены!$K$9,IF(BR56=Цены!$H$10,Цены!$K$10,IF(BR56=Цены!$H$11,Цены!$K$11,IF(BR56=Цены!$H$12,Цены!$K$12,IF(BR56=Цены!$H$13,Цены!$K$13,IF(BR56=Цены!$H$14,Цены!$K$14,IF(BR56=Цены!$H$14,Цены!$K$14,IF(BR56=Цены!$H$15,Цены!$K$15,IF(BR56=Цены!$H$16,Цены!$K$16,IF(BR56=Цены!$H$17,Цены!$K$17,IF(BR56=Цены!$H$18,Цены!$K$18,IF(BR56=Цены!$H$19,Цены!$K$19,IF(BR56=Цены!$H$20,Цены!$K$20,IF(BR56=Цены!$H$21,Цены!$K$21,IF(BR56=Цены!$H$22,Цены!$K$22,IF(BR56=Цены!$H$23,Цены!$K$23,IF(BR56=Цены!$H$24,Цены!$K$24,IF(BR56=Цены!$H$25,Цены!$K$25,IF(BR56=Цены!$H$26,Цены!$K$26,IF(BR56=Цены!$H$27,Цены!$K$27,IF(BR56=Цены!$H$28,Цены!$K$28,IF(BR56=Цены!$H$29,Цены!$K$29,IF(BR56=Цены!$H$30,Цены!$K$30,IF(BR56=Цены!$H$31,Цены!$K$31,IF(BR56=Цены!$H$32,Цены!$K$32,IF(BR56=Цены!$H$33,Цены!$K$33,IF(BR56=Цены!$H$34,Цены!$K$34,IF(BR56=Цены!$H$35,Цены!$K$35,IF(BR56=Цены!$H$36,Цены!$K$36,IF(BR56=Цены!$H$37,Цены!$K$37,IF(BR56=Цены!$H$38,Цены!$K$38,IF(BR56=Цены!$H$39,Цены!$K$39,IF(BR56=Цены!$H$40,Цены!$K$40,IF(BR56=Цены!$H$41,Цены!$K$41,IF(BR56=Цены!$H$42,Цены!$K$42,IF(BR56=Цены!$H$43,Цены!$K$43,IF(BR56=Цены!$H$44,Цены!$K$44,IF(BR56=Цены!$H$45,Цены!$K$45,IF(BR56=Цены!$H$46,Цены!$K$46,IF(BR56=Цены!$H$47,Цены!$K$47,IF(BR56=Цены!$H$48,Цены!$K$48,IF(BR56=Цены!$H$49,Цены!$K$49,IF(BR56=Цены!$H$50,Цены!$K$50,IF(BR56=Цены!$H$51,Цены!$K$51,IF(BR56=Цены!$H$52,Цены!$K$52,IF(BR56=Цены!$H$53,Цены!$K$53,IF(BR56=Цены!$H$54,Цены!$K$54,IF(BR56=Цены!$H$55,Цены!$K$55))))))))))))))))))))))))))))))))))))))))))))))))))))))</f>
        <v>447</v>
      </c>
      <c r="BW56" s="265"/>
      <c r="BX56" s="265"/>
      <c r="BY56" s="285"/>
      <c r="BZ56" s="290"/>
      <c r="CA56" s="290"/>
      <c r="CB56" s="268"/>
      <c r="CC56" s="285"/>
      <c r="CD56" s="291"/>
      <c r="CE56" s="119" t="s">
        <v>96</v>
      </c>
      <c r="CF56" s="112">
        <v>2</v>
      </c>
      <c r="CG56" s="113">
        <f>IF(CE56=Цены!$H$3,Цены!$L$3,IF(CE56=Цены!$H$4,Цены!$L$4,IF(CE56=Цены!$H$5,Цены!$L$5,IF(CE56=Цены!$H$6,Цены!$L$6,IF(CE56=Цены!$H$7,Цены!$L$7,IF(CE56=Цены!$H$8,Цены!$L$8,IF(CE56=Цены!$H$9,Цены!$L$9,IF(CE56=Цены!$H$10,Цены!$L$10,IF(CE56=Цены!$H$11,Цены!$L$11,IF(CE56=Цены!$H$12,Цены!$L$12,IF(CE56=Цены!$H$13,Цены!$L$13,IF(CE56=Цены!$H$14,Цены!$L$14,IF(CE56=Цены!$H$14,Цены!$L$14,IF(CE56=Цены!$H$15,Цены!$L$15,IF(CE56=Цены!$H$16,Цены!$L$16,IF(CE56=Цены!$H$17,Цены!$L$17,IF(CE56=Цены!$H$18,Цены!$L$18,IF(CE56=Цены!$H$19,Цены!$L$19,IF(CE56=Цены!$H$20,Цены!$L$20,IF(CE56=Цены!$H$21,Цены!$L$21,IF(CE56=Цены!$H$22,Цены!$L$22,IF(CE56=Цены!$H$23,Цены!$L$23,IF(CE56=Цены!$H$24,Цены!$L$24,IF(CE56=Цены!$H$25,Цены!$L$25,IF(CE56=Цены!$H$26,Цены!$L$26,IF(CE56=Цены!$H$27,Цены!$L$27,IF(CE56=Цены!$H$28,Цены!$L$28,IF(CE56=Цены!$H$29,Цены!$L$29,IF(CE56=Цены!$H$30,Цены!$L$30,IF(CE56=Цены!$H$31,Цены!$L$31,IF(CE56=Цены!$H$32,Цены!$L$32,IF(CE56=Цены!$H$33,Цены!$L$33,IF(CE56=Цены!$H$34,Цены!$L$34,IF(CE56=Цены!$H$35,Цены!$L$35,IF(CE56=Цены!$H$36,Цены!$L$36,IF(CE56=Цены!$H$37,Цены!$L$37,IF(CE56=Цены!$H$38,Цены!$L$38,IF(CE56=Цены!$H$39,Цены!$L$39,IF(CE56=Цены!$H$40,Цены!$L$40,IF(CE56=Цены!$H$41,Цены!$L$41,IF(CE56=Цены!$H$42,Цены!$L$42,IF(CE56=Цены!$H$43,Цены!$L$43,IF(CE56=Цены!$H$44,Цены!$L$44,IF(CE56=Цены!$H$45,Цены!$L$45,IF(CE56=Цены!$H$46,Цены!$L$46,IF(CE56=Цены!$H$47,Цены!$L$47,IF(CE56=Цены!$H$48,Цены!$L$48,IF(CE56=Цены!$H$49,Цены!$L$49,IF(CE56=Цены!$H$50,Цены!$L$50,IF(CE56=Цены!$H$51,Цены!$L$51,IF(CE56=Цены!$H$52,Цены!$L$52,IF(CE56=Цены!$H$53,Цены!$L$53,IF(CE56=Цены!$H$54,Цены!$L$54,IF(CE56=Цены!$H$55,Цены!$L$55))))))))))))))))))))))))))))))))))))))))))))))))))))))</f>
        <v>0.78</v>
      </c>
      <c r="CH56" s="282"/>
      <c r="CI56" s="114">
        <f>IF(CE56=Цены!$H$3,Цены!$K$3,IF(CE56=Цены!$H$4,Цены!$K$4,IF(CE56=Цены!$H$5,Цены!$K$5,IF(CE56=Цены!$H$6,Цены!$K$6,IF(CE56=Цены!$H$7,Цены!$K$7,IF(CE56=Цены!$H$8,Цены!$K$8,IF(CE56=Цены!$H$9,Цены!$K$9,IF(CE56=Цены!$H$10,Цены!$K$10,IF(CE56=Цены!$H$11,Цены!$K$11,IF(CE56=Цены!$H$12,Цены!$K$12,IF(CE56=Цены!$H$13,Цены!$K$13,IF(CE56=Цены!$H$14,Цены!$K$14,IF(CE56=Цены!$H$14,Цены!$K$14,IF(CE56=Цены!$H$15,Цены!$K$15,IF(CE56=Цены!$H$16,Цены!$K$16,IF(CE56=Цены!$H$17,Цены!$K$17,IF(CE56=Цены!$H$18,Цены!$K$18,IF(CE56=Цены!$H$19,Цены!$K$19,IF(CE56=Цены!$H$20,Цены!$K$20,IF(CE56=Цены!$H$21,Цены!$K$21,IF(CE56=Цены!$H$22,Цены!$K$22,IF(CE56=Цены!$H$23,Цены!$K$23,IF(CE56=Цены!$H$24,Цены!$K$24,IF(CE56=Цены!$H$25,Цены!$K$25,IF(CE56=Цены!$H$26,Цены!$K$26,IF(CE56=Цены!$H$27,Цены!$K$27,IF(CE56=Цены!$H$28,Цены!$K$28,IF(CE56=Цены!$H$29,Цены!$K$29,IF(CE56=Цены!$H$30,Цены!$K$30,IF(CE56=Цены!$H$31,Цены!$K$31,IF(CE56=Цены!$H$32,Цены!$K$32,IF(CE56=Цены!$H$33,Цены!$K$33,IF(CE56=Цены!$H$34,Цены!$K$34,IF(CE56=Цены!$H$35,Цены!$K$35,IF(CE56=Цены!$H$36,Цены!$K$36,IF(CE56=Цены!$H$37,Цены!$K$37,IF(CE56=Цены!$H$38,Цены!$K$38,IF(CE56=Цены!$H$39,Цены!$K$39,IF(CE56=Цены!$H$40,Цены!$K$40,IF(CE56=Цены!$H$41,Цены!$K$41,IF(CE56=Цены!$H$42,Цены!$K$42,IF(CE56=Цены!$H$43,Цены!$K$43,IF(CE56=Цены!$H$44,Цены!$K$44,IF(CE56=Цены!$H$45,Цены!$K$45,IF(CE56=Цены!$H$46,Цены!$K$46,IF(CE56=Цены!$H$47,Цены!$K$47,IF(CE56=Цены!$H$48,Цены!$K$48,IF(CE56=Цены!$H$49,Цены!$K$49,IF(CE56=Цены!$H$50,Цены!$K$50,IF(CE56=Цены!$H$51,Цены!$K$51,IF(CE56=Цены!$H$52,Цены!$K$52,IF(CE56=Цены!$H$53,Цены!$K$53,IF(CE56=Цены!$H$54,Цены!$K$54,IF(CE56=Цены!$H$55,Цены!$K$55))))))))))))))))))))))))))))))))))))))))))))))))))))))</f>
        <v>447</v>
      </c>
      <c r="CJ56" s="265"/>
      <c r="CK56" s="265"/>
      <c r="CL56" s="283"/>
      <c r="CM56" s="288"/>
      <c r="CN56" s="288"/>
      <c r="CO56" s="268"/>
      <c r="CP56" s="283"/>
      <c r="CQ56" s="289"/>
    </row>
    <row r="57" spans="1:95" s="40" customFormat="1" ht="15.75" hidden="1" customHeight="1" x14ac:dyDescent="0.25">
      <c r="A57" s="341"/>
      <c r="B57" s="265"/>
      <c r="C57" s="336"/>
      <c r="D57" s="48" t="s">
        <v>125</v>
      </c>
      <c r="E57" s="45">
        <v>4</v>
      </c>
      <c r="F57" s="46">
        <f>IF(D57=Цены!$H$3,Цены!$L$3,IF(D57=Цены!$H$4,Цены!$L$4,IF(D57=Цены!$H$5,Цены!$L$5,IF(D57=Цены!$H$6,Цены!$L$6,IF(D57=Цены!$H$7,Цены!$L$7,IF(D57=Цены!$H$8,Цены!$L$8,IF(D57=Цены!$H$9,Цены!$L$9,IF(D57=Цены!$H$10,Цены!$L$10,IF(D57=Цены!$H$11,Цены!$L$11,IF(D57=Цены!$H$12,Цены!$L$12,IF(D57=Цены!$H$13,Цены!$L$13,IF(D57=Цены!$H$14,Цены!$L$14,IF(D57=Цены!$H$14,Цены!$L$14,IF(D57=Цены!$H$15,Цены!$L$15,IF(D57=Цены!$H$16,Цены!$L$16,IF(D57=Цены!$H$17,Цены!$L$17,IF(D57=Цены!$H$18,Цены!$L$18,IF(D57=Цены!$H$19,Цены!$L$19,IF(D57=Цены!$H$20,Цены!$L$20,IF(D57=Цены!$H$21,Цены!$L$21,IF(D57=Цены!$H$22,Цены!$L$22,IF(D57=Цены!$H$23,Цены!$L$23,IF(D57=Цены!$H$24,Цены!$L$24,IF(D57=Цены!$H$25,Цены!$L$25,IF(D57=Цены!$H$26,Цены!$L$26,IF(D57=Цены!$H$27,Цены!$L$27,IF(D57=Цены!$H$28,Цены!$L$28,IF(D57=Цены!$H$29,Цены!$L$29,IF(D57=Цены!$H$30,Цены!$L$30,IF(D57=Цены!$H$31,Цены!$L$31,IF(D57=Цены!$H$32,Цены!$L$32,IF(D57=Цены!$H$33,Цены!$L$33,IF(D57=Цены!$H$34,Цены!$L$34,IF(D57=Цены!$H$35,Цены!$L$35,IF(D57=Цены!$H$36,Цены!$L$36,IF(D57=Цены!$H$37,Цены!$L$37,IF(D57=Цены!$H$38,Цены!$L$38,IF(D57=Цены!$H$39,Цены!$L$39,IF(D57=Цены!$H$40,Цены!$L$40,IF(D57=Цены!$H$41,Цены!$L$41,IF(D57=Цены!$H$42,Цены!$L$42,IF(D57=Цены!$H$43,Цены!$L$43,IF(D57=Цены!$H$44,Цены!$L$44,IF(D57=Цены!$H$45,Цены!$L$45,IF(D57=Цены!$H$46,Цены!$L$46,IF(D57=Цены!$H$47,Цены!$L$47,IF(D57=Цены!$H$48,Цены!$L$48,IF(D57=Цены!$H$49,Цены!$L$49,IF(D57=Цены!$H$50,Цены!$L$50,IF(D57=Цены!$H$51,Цены!$L$51,IF(D57=Цены!$H$52,Цены!$L$52,IF(D57=Цены!$H$53,Цены!$L$53,IF(D57=Цены!$H$54,Цены!$L$54,IF(D57=Цены!$H$55,Цены!$L$55))))))))))))))))))))))))))))))))))))))))))))))))))))))</f>
        <v>0.39</v>
      </c>
      <c r="G57" s="339"/>
      <c r="H57" s="47">
        <f>IF(D57=Цены!$H$3,Цены!$K$3,IF(D57=Цены!$H$4,Цены!$K$4,IF(D57=Цены!$H$5,Цены!$K$5,IF(D57=Цены!$H$6,Цены!$K$6,IF(D57=Цены!$H$7,Цены!$K$7,IF(D57=Цены!$H$8,Цены!$K$8,IF(D57=Цены!$H$9,Цены!$K$9,IF(D57=Цены!$H$10,Цены!$K$10,IF(D57=Цены!$H$11,Цены!$K$11,IF(D57=Цены!$H$12,Цены!$K$12,IF(D57=Цены!$H$13,Цены!$K$13,IF(D57=Цены!$H$14,Цены!$K$14,IF(D57=Цены!$H$14,Цены!$K$14,IF(D57=Цены!$H$15,Цены!$K$15,IF(D57=Цены!$H$16,Цены!$K$16,IF(D57=Цены!$H$17,Цены!$K$17,IF(D57=Цены!$H$18,Цены!$K$18,IF(D57=Цены!$H$19,Цены!$K$19,IF(D57=Цены!$H$20,Цены!$K$20,IF(D57=Цены!$H$21,Цены!$K$21,IF(D57=Цены!$H$22,Цены!$K$22,IF(D57=Цены!$H$23,Цены!$K$23,IF(D57=Цены!$H$24,Цены!$K$24,IF(D57=Цены!$H$25,Цены!$K$25,IF(D57=Цены!$H$26,Цены!$K$26,IF(D57=Цены!$H$27,Цены!$K$27,IF(D57=Цены!$H$28,Цены!$K$28,IF(D57=Цены!$H$29,Цены!$K$29,IF(D57=Цены!$H$30,Цены!$K$30,IF(D57=Цены!$H$31,Цены!$K$31,IF(D57=Цены!$H$32,Цены!$K$32,IF(D57=Цены!$H$33,Цены!$K$33,IF(D57=Цены!$H$34,Цены!$K$34,IF(D57=Цены!$H$35,Цены!$K$35,IF(D57=Цены!$H$36,Цены!$K$36,IF(D57=Цены!$H$37,Цены!$K$37,IF(D57=Цены!$H$38,Цены!$K$38,IF(D57=Цены!$H$39,Цены!$K$39,IF(D57=Цены!$H$40,Цены!$K$40,IF(D57=Цены!$H$41,Цены!$K$41,IF(D57=Цены!$H$42,Цены!$K$42,IF(D57=Цены!$H$43,Цены!$K$43,IF(D57=Цены!$H$44,Цены!$K$44,IF(D57=Цены!$H$45,Цены!$K$45,IF(D57=Цены!$H$46,Цены!$K$46,IF(D57=Цены!$H$47,Цены!$K$47,IF(D57=Цены!$H$48,Цены!$K$48,IF(D57=Цены!$H$49,Цены!$K$49,IF(D57=Цены!$H$50,Цены!$K$50,IF(D57=Цены!$H$51,Цены!$K$51,IF(D57=Цены!$H$52,Цены!$K$52,IF(D57=Цены!$H$53,Цены!$K$53,IF(D57=Цены!$H$54,Цены!$K$54,IF(D57=Цены!$H$55,Цены!$K$55))))))))))))))))))))))))))))))))))))))))))))))))))))))</f>
        <v>822</v>
      </c>
      <c r="I57" s="265"/>
      <c r="J57" s="265"/>
      <c r="K57" s="332"/>
      <c r="L57" s="334"/>
      <c r="M57" s="334"/>
      <c r="N57" s="265"/>
      <c r="O57" s="332"/>
      <c r="P57" s="331"/>
      <c r="Q57" s="41"/>
      <c r="R57" s="37"/>
      <c r="S57" s="38" t="b">
        <f>IF(Q57=Цены!$H$3,Цены!$L$3,IF(Q57=Цены!$H$4,Цены!$L$4,IF(Q57=Цены!$H$5,Цены!$L$5,IF(Q57=Цены!$H$6,Цены!$L$6,IF(Q57=Цены!$H$7,Цены!$L$7,IF(Q57=Цены!$H$8,Цены!$L$8,IF(Q57=Цены!$H$9,Цены!$L$9,IF(Q57=Цены!$H$10,Цены!$L$10,IF(Q57=Цены!$H$11,Цены!$L$11,IF(Q57=Цены!$H$12,Цены!$L$12,IF(Q57=Цены!$H$13,Цены!$L$13,IF(Q57=Цены!$H$14,Цены!$L$14,IF(Q57=Цены!$H$14,Цены!$L$14,IF(Q57=Цены!$H$15,Цены!$L$15,IF(Q57=Цены!$H$16,Цены!$L$16,IF(Q57=Цены!$H$17,Цены!$L$17,IF(Q57=Цены!$H$18,Цены!$L$18,IF(Q57=Цены!$H$19,Цены!$L$19,IF(Q57=Цены!$H$20,Цены!$L$20,IF(Q57=Цены!$H$21,Цены!$L$21,IF(Q57=Цены!$H$22,Цены!$L$22,IF(Q57=Цены!$H$23,Цены!$L$23,IF(Q57=Цены!$H$24,Цены!$L$24,IF(Q57=Цены!$H$25,Цены!$L$25,IF(Q57=Цены!$H$26,Цены!$L$26,IF(Q57=Цены!$H$27,Цены!$L$27,IF(Q57=Цены!$H$28,Цены!$L$28,IF(Q57=Цены!$H$29,Цены!$L$29,IF(Q57=Цены!$H$30,Цены!$L$30,IF(Q57=Цены!$H$31,Цены!$L$31,IF(Q57=Цены!$H$32,Цены!$L$32,IF(Q57=Цены!$H$33,Цены!$L$33,IF(Q57=Цены!$H$34,Цены!$L$34,IF(Q57=Цены!$H$35,Цены!$L$35,IF(Q57=Цены!$H$36,Цены!$L$36,IF(Q57=Цены!$H$37,Цены!$L$37,IF(Q57=Цены!$H$38,Цены!$L$38,IF(Q57=Цены!$H$39,Цены!$L$39,IF(Q57=Цены!$H$40,Цены!$L$40,IF(Q57=Цены!$H$41,Цены!$L$41,IF(Q57=Цены!$H$42,Цены!$L$42,IF(Q57=Цены!$H$43,Цены!$L$43,IF(Q57=Цены!$H$44,Цены!$L$44,IF(Q57=Цены!$H$45,Цены!$L$45,IF(Q57=Цены!$H$46,Цены!$L$46,IF(Q57=Цены!$H$47,Цены!$L$47,IF(Q57=Цены!$H$48,Цены!$L$48,IF(Q57=Цены!$H$49,Цены!$L$49,IF(Q57=Цены!$H$50,Цены!$L$50,IF(Q57=Цены!$H$51,Цены!$L$51,IF(Q57=Цены!$H$52,Цены!$L$52,IF(Q57=Цены!$H$53,Цены!$L$53,IF(Q57=Цены!$H$54,Цены!$L$54,IF(Q57=Цены!$H$55,Цены!$L$55))))))))))))))))))))))))))))))))))))))))))))))))))))))</f>
        <v>0</v>
      </c>
      <c r="T57" s="322"/>
      <c r="U57" s="161" t="b">
        <f>IF(Q57=Цены!$H$3,Цены!$K$3,IF(Q57=Цены!$H$4,Цены!$K$4,IF(Q57=Цены!$H$5,Цены!$K$5,IF(Q57=Цены!$H$6,Цены!$K$6,IF(Q57=Цены!$H$7,Цены!$K$7,IF(Q57=Цены!$H$8,Цены!$K$8,IF(Q57=Цены!$H$9,Цены!$K$9,IF(Q57=Цены!$H$10,Цены!$K$10,IF(Q57=Цены!$H$11,Цены!$K$11,IF(Q57=Цены!$H$12,Цены!$K$12,IF(Q57=Цены!$H$13,Цены!$K$13,IF(Q57=Цены!$H$14,Цены!$K$14,IF(Q57=Цены!$H$14,Цены!$K$14,IF(Q57=Цены!$H$15,Цены!$K$15,IF(Q57=Цены!$H$16,Цены!$K$16,IF(Q57=Цены!$H$17,Цены!$K$17,IF(Q57=Цены!$H$18,Цены!$K$18,IF(Q57=Цены!$H$19,Цены!$K$19,IF(Q57=Цены!$H$20,Цены!$K$20,IF(Q57=Цены!$H$21,Цены!$K$21,IF(Q57=Цены!$H$22,Цены!$K$22,IF(Q57=Цены!$H$23,Цены!$K$23,IF(Q57=Цены!$H$24,Цены!$K$24,IF(Q57=Цены!$H$25,Цены!$K$25,IF(Q57=Цены!$H$26,Цены!$K$26,IF(Q57=Цены!$H$27,Цены!$K$27,IF(Q57=Цены!$H$28,Цены!$K$28,IF(Q57=Цены!$H$29,Цены!$K$29,IF(Q57=Цены!$H$30,Цены!$K$30,IF(Q57=Цены!$H$31,Цены!$K$31,IF(Q57=Цены!$H$32,Цены!$K$32,IF(Q57=Цены!$H$33,Цены!$K$33,IF(Q57=Цены!$H$34,Цены!$K$34,IF(Q57=Цены!$H$35,Цены!$K$35,IF(Q57=Цены!$H$36,Цены!$K$36,IF(Q57=Цены!$H$37,Цены!$K$37,IF(Q57=Цены!$H$38,Цены!$K$38,IF(Q57=Цены!$H$39,Цены!$K$39,IF(Q57=Цены!$H$40,Цены!$K$40,IF(Q57=Цены!$H$41,Цены!$K$41,IF(Q57=Цены!$H$42,Цены!$K$42,IF(Q57=Цены!$H$43,Цены!$K$43,IF(Q57=Цены!$H$44,Цены!$K$44,IF(Q57=Цены!$H$45,Цены!$K$45,IF(Q57=Цены!$H$46,Цены!$K$46,IF(Q57=Цены!$H$47,Цены!$K$47,IF(Q57=Цены!$H$48,Цены!$K$48,IF(Q57=Цены!$H$49,Цены!$K$49,IF(Q57=Цены!$H$50,Цены!$K$50,IF(Q57=Цены!$H$51,Цены!$K$51,IF(Q57=Цены!$H$52,Цены!$K$52,IF(Q57=Цены!$H$53,Цены!$K$53,IF(Q57=Цены!$H$54,Цены!$K$54,IF(Q57=Цены!$H$55,Цены!$K$55))))))))))))))))))))))))))))))))))))))))))))))))))))))</f>
        <v>0</v>
      </c>
      <c r="V57" s="265"/>
      <c r="W57" s="265"/>
      <c r="X57" s="323"/>
      <c r="Y57" s="324"/>
      <c r="Z57" s="324"/>
      <c r="AA57" s="265"/>
      <c r="AB57" s="323"/>
      <c r="AC57" s="325"/>
      <c r="AD57" s="70" t="s">
        <v>95</v>
      </c>
      <c r="AE57" s="130">
        <v>6</v>
      </c>
      <c r="AF57" s="68">
        <f>IF(AD57=Цены!$H$3,Цены!$L$3,IF(AD57=Цены!$H$4,Цены!$L$4,IF(AD57=Цены!$H$5,Цены!$L$5,IF(AD57=Цены!$H$6,Цены!$L$6,IF(AD57=Цены!$H$7,Цены!$L$7,IF(AD57=Цены!$H$8,Цены!$L$8,IF(AD57=Цены!$H$9,Цены!$L$9,IF(AD57=Цены!$H$10,Цены!$L$10,IF(AD57=Цены!$H$11,Цены!$L$11,IF(AD57=Цены!$H$12,Цены!$L$12,IF(AD57=Цены!$H$13,Цены!$L$13,IF(AD57=Цены!$H$14,Цены!$L$14,IF(AD57=Цены!$H$14,Цены!$L$14,IF(AD57=Цены!$H$15,Цены!$L$15,IF(AD57=Цены!$H$16,Цены!$L$16,IF(AD57=Цены!$H$17,Цены!$L$17,IF(AD57=Цены!$H$18,Цены!$L$18,IF(AD57=Цены!$H$19,Цены!$L$19,IF(AD57=Цены!$H$20,Цены!$L$20,IF(AD57=Цены!$H$21,Цены!$L$21,IF(AD57=Цены!$H$22,Цены!$L$22,IF(AD57=Цены!$H$23,Цены!$L$23,IF(AD57=Цены!$H$24,Цены!$L$24,IF(AD57=Цены!$H$25,Цены!$L$25,IF(AD57=Цены!$H$26,Цены!$L$26,IF(AD57=Цены!$H$27,Цены!$L$27,IF(AD57=Цены!$H$28,Цены!$L$28,IF(AD57=Цены!$H$29,Цены!$L$29,IF(AD57=Цены!$H$30,Цены!$L$30,IF(AD57=Цены!$H$31,Цены!$L$31,IF(AD57=Цены!$H$32,Цены!$L$32,IF(AD57=Цены!$H$33,Цены!$L$33,IF(AD57=Цены!$H$34,Цены!$L$34,IF(AD57=Цены!$H$35,Цены!$L$35,IF(AD57=Цены!$H$36,Цены!$L$36,IF(AD57=Цены!$H$37,Цены!$L$37,IF(AD57=Цены!$H$38,Цены!$L$38,IF(AD57=Цены!$H$39,Цены!$L$39,IF(AD57=Цены!$H$40,Цены!$L$40,IF(AD57=Цены!$H$41,Цены!$L$41,IF(AD57=Цены!$H$42,Цены!$L$42,IF(AD57=Цены!$H$43,Цены!$L$43,IF(AD57=Цены!$H$44,Цены!$L$44,IF(AD57=Цены!$H$45,Цены!$L$45,IF(AD57=Цены!$H$46,Цены!$L$46,IF(AD57=Цены!$H$47,Цены!$L$47,IF(AD57=Цены!$H$48,Цены!$L$48,IF(AD57=Цены!$H$49,Цены!$L$49,IF(AD57=Цены!$H$50,Цены!$L$50,IF(AD57=Цены!$H$51,Цены!$L$51,IF(AD57=Цены!$H$52,Цены!$L$52,IF(AD57=Цены!$H$53,Цены!$L$53,IF(AD57=Цены!$H$54,Цены!$L$54,IF(AD57=Цены!$H$55,Цены!$L$55))))))))))))))))))))))))))))))))))))))))))))))))))))))</f>
        <v>2.6</v>
      </c>
      <c r="AG57" s="311"/>
      <c r="AH57" s="69">
        <f>IF(AD57=Цены!$H$3,Цены!$K$3,IF(AD57=Цены!$H$4,Цены!$K$4,IF(AD57=Цены!$H$5,Цены!$K$5,IF(AD57=Цены!$H$6,Цены!$K$6,IF(AD57=Цены!$H$7,Цены!$K$7,IF(AD57=Цены!$H$8,Цены!$K$8,IF(AD57=Цены!$H$9,Цены!$K$9,IF(AD57=Цены!$H$10,Цены!$K$10,IF(AD57=Цены!$H$11,Цены!$K$11,IF(AD57=Цены!$H$12,Цены!$K$12,IF(AD57=Цены!$H$13,Цены!$K$13,IF(AD57=Цены!$H$14,Цены!$K$14,IF(AD57=Цены!$H$14,Цены!$K$14,IF(AD57=Цены!$H$15,Цены!$K$15,IF(AD57=Цены!$H$16,Цены!$K$16,IF(AD57=Цены!$H$17,Цены!$K$17,IF(AD57=Цены!$H$18,Цены!$K$18,IF(AD57=Цены!$H$19,Цены!$K$19,IF(AD57=Цены!$H$20,Цены!$K$20,IF(AD57=Цены!$H$21,Цены!$K$21,IF(AD57=Цены!$H$22,Цены!$K$22,IF(AD57=Цены!$H$23,Цены!$K$23,IF(AD57=Цены!$H$24,Цены!$K$24,IF(AD57=Цены!$H$25,Цены!$K$25,IF(AD57=Цены!$H$26,Цены!$K$26,IF(AD57=Цены!$H$27,Цены!$K$27,IF(AD57=Цены!$H$28,Цены!$K$28,IF(AD57=Цены!$H$29,Цены!$K$29,IF(AD57=Цены!$H$30,Цены!$K$30,IF(AD57=Цены!$H$31,Цены!$K$31,IF(AD57=Цены!$H$32,Цены!$K$32,IF(AD57=Цены!$H$33,Цены!$K$33,IF(AD57=Цены!$H$34,Цены!$K$34,IF(AD57=Цены!$H$35,Цены!$K$35,IF(AD57=Цены!$H$36,Цены!$K$36,IF(AD57=Цены!$H$37,Цены!$K$37,IF(AD57=Цены!$H$38,Цены!$K$38,IF(AD57=Цены!$H$39,Цены!$K$39,IF(AD57=Цены!$H$40,Цены!$K$40,IF(AD57=Цены!$H$41,Цены!$K$41,IF(AD57=Цены!$H$42,Цены!$K$42,IF(AD57=Цены!$H$43,Цены!$K$43,IF(AD57=Цены!$H$44,Цены!$K$44,IF(AD57=Цены!$H$45,Цены!$K$45,IF(AD57=Цены!$H$46,Цены!$K$46,IF(AD57=Цены!$H$47,Цены!$K$47,IF(AD57=Цены!$H$48,Цены!$K$48,IF(AD57=Цены!$H$49,Цены!$K$49,IF(AD57=Цены!$H$50,Цены!$K$50,IF(AD57=Цены!$H$51,Цены!$K$51,IF(AD57=Цены!$H$52,Цены!$K$52,IF(AD57=Цены!$H$53,Цены!$K$53,IF(AD57=Цены!$H$54,Цены!$K$54,IF(AD57=Цены!$H$55,Цены!$K$55))))))))))))))))))))))))))))))))))))))))))))))))))))))</f>
        <v>552</v>
      </c>
      <c r="AI57" s="265"/>
      <c r="AJ57" s="265"/>
      <c r="AK57" s="312"/>
      <c r="AL57" s="314"/>
      <c r="AM57" s="314"/>
      <c r="AN57" s="265"/>
      <c r="AO57" s="312"/>
      <c r="AP57" s="315"/>
      <c r="AQ57" s="82" t="s">
        <v>147</v>
      </c>
      <c r="AR57" s="131">
        <v>3</v>
      </c>
      <c r="AS57" s="80">
        <f>IF(AQ57=Цены!$H$3,Цены!$L$3,IF(AQ57=Цены!$H$4,Цены!$L$4,IF(AQ57=Цены!$H$5,Цены!$L$5,IF(AQ57=Цены!$H$6,Цены!$L$6,IF(AQ57=Цены!$H$7,Цены!$L$7,IF(AQ57=Цены!$H$8,Цены!$L$8,IF(AQ57=Цены!$H$9,Цены!$L$9,IF(AQ57=Цены!$H$10,Цены!$L$10,IF(AQ57=Цены!$H$11,Цены!$L$11,IF(AQ57=Цены!$H$12,Цены!$L$12,IF(AQ57=Цены!$H$13,Цены!$L$13,IF(AQ57=Цены!$H$14,Цены!$L$14,IF(AQ57=Цены!$H$14,Цены!$L$14,IF(AQ57=Цены!$H$15,Цены!$L$15,IF(AQ57=Цены!$H$16,Цены!$L$16,IF(AQ57=Цены!$H$17,Цены!$L$17,IF(AQ57=Цены!$H$18,Цены!$L$18,IF(AQ57=Цены!$H$19,Цены!$L$19,IF(AQ57=Цены!$H$20,Цены!$L$20,IF(AQ57=Цены!$H$21,Цены!$L$21,IF(AQ57=Цены!$H$22,Цены!$L$22,IF(AQ57=Цены!$H$23,Цены!$L$23,IF(AQ57=Цены!$H$24,Цены!$L$24,IF(AQ57=Цены!$H$25,Цены!$L$25,IF(AQ57=Цены!$H$26,Цены!$L$26,IF(AQ57=Цены!$H$27,Цены!$L$27,IF(AQ57=Цены!$H$28,Цены!$L$28,IF(AQ57=Цены!$H$29,Цены!$L$29,IF(AQ57=Цены!$H$30,Цены!$L$30,IF(AQ57=Цены!$H$31,Цены!$L$31,IF(AQ57=Цены!$H$32,Цены!$L$32,IF(AQ57=Цены!$H$33,Цены!$L$33,IF(AQ57=Цены!$H$34,Цены!$L$34,IF(AQ57=Цены!$H$35,Цены!$L$35,IF(AQ57=Цены!$H$36,Цены!$L$36,IF(AQ57=Цены!$H$37,Цены!$L$37,IF(AQ57=Цены!$H$38,Цены!$L$38,IF(AQ57=Цены!$H$39,Цены!$L$39,IF(AQ57=Цены!$H$40,Цены!$L$40,IF(AQ57=Цены!$H$41,Цены!$L$41,IF(AQ57=Цены!$H$42,Цены!$L$42,IF(AQ57=Цены!$H$43,Цены!$L$43,IF(AQ57=Цены!$H$44,Цены!$L$44,IF(AQ57=Цены!$H$45,Цены!$L$45,IF(AQ57=Цены!$H$46,Цены!$L$46,IF(AQ57=Цены!$H$47,Цены!$L$47,IF(AQ57=Цены!$H$48,Цены!$L$48,IF(AQ57=Цены!$H$49,Цены!$L$49,IF(AQ57=Цены!$H$50,Цены!$L$50,IF(AQ57=Цены!$H$51,Цены!$L$51,IF(AQ57=Цены!$H$52,Цены!$L$52,IF(AQ57=Цены!$H$53,Цены!$L$53,IF(AQ57=Цены!$H$54,Цены!$L$54,IF(AQ57=Цены!$H$55,Цены!$L$55))))))))))))))))))))))))))))))))))))))))))))))))))))))</f>
        <v>2.6</v>
      </c>
      <c r="AT57" s="271"/>
      <c r="AU57" s="81">
        <f>IF(AQ57=Цены!$H$3,Цены!$K$3,IF(AQ57=Цены!$H$4,Цены!$K$4,IF(AQ57=Цены!$H$5,Цены!$K$5,IF(AQ57=Цены!$H$6,Цены!$K$6,IF(AQ57=Цены!$H$7,Цены!$K$7,IF(AQ57=Цены!$H$8,Цены!$K$8,IF(AQ57=Цены!$H$9,Цены!$K$9,IF(AQ57=Цены!$H$10,Цены!$K$10,IF(AQ57=Цены!$H$11,Цены!$K$11,IF(AQ57=Цены!$H$12,Цены!$K$12,IF(AQ57=Цены!$H$13,Цены!$K$13,IF(AQ57=Цены!$H$14,Цены!$K$14,IF(AQ57=Цены!$H$14,Цены!$K$14,IF(AQ57=Цены!$H$15,Цены!$K$15,IF(AQ57=Цены!$H$16,Цены!$K$16,IF(AQ57=Цены!$H$17,Цены!$K$17,IF(AQ57=Цены!$H$18,Цены!$K$18,IF(AQ57=Цены!$H$19,Цены!$K$19,IF(AQ57=Цены!$H$20,Цены!$K$20,IF(AQ57=Цены!$H$21,Цены!$K$21,IF(AQ57=Цены!$H$22,Цены!$K$22,IF(AQ57=Цены!$H$23,Цены!$K$23,IF(AQ57=Цены!$H$24,Цены!$K$24,IF(AQ57=Цены!$H$25,Цены!$K$25,IF(AQ57=Цены!$H$26,Цены!$K$26,IF(AQ57=Цены!$H$27,Цены!$K$27,IF(AQ57=Цены!$H$28,Цены!$K$28,IF(AQ57=Цены!$H$29,Цены!$K$29,IF(AQ57=Цены!$H$30,Цены!$K$30,IF(AQ57=Цены!$H$31,Цены!$K$31,IF(AQ57=Цены!$H$32,Цены!$K$32,IF(AQ57=Цены!$H$33,Цены!$K$33,IF(AQ57=Цены!$H$34,Цены!$K$34,IF(AQ57=Цены!$H$35,Цены!$K$35,IF(AQ57=Цены!$H$36,Цены!$K$36,IF(AQ57=Цены!$H$37,Цены!$K$37,IF(AQ57=Цены!$H$38,Цены!$K$38,IF(AQ57=Цены!$H$39,Цены!$K$39,IF(AQ57=Цены!$H$40,Цены!$K$40,IF(AQ57=Цены!$H$41,Цены!$K$41,IF(AQ57=Цены!$H$42,Цены!$K$42,IF(AQ57=Цены!$H$43,Цены!$K$43,IF(AQ57=Цены!$H$44,Цены!$K$44,IF(AQ57=Цены!$H$45,Цены!$K$45,IF(AQ57=Цены!$H$46,Цены!$K$46,IF(AQ57=Цены!$H$47,Цены!$K$47,IF(AQ57=Цены!$H$48,Цены!$K$48,IF(AQ57=Цены!$H$49,Цены!$K$49,IF(AQ57=Цены!$H$50,Цены!$K$50,IF(AQ57=Цены!$H$51,Цены!$K$51,IF(AQ57=Цены!$H$52,Цены!$K$52,IF(AQ57=Цены!$H$53,Цены!$K$53,IF(AQ57=Цены!$H$54,Цены!$K$54,IF(AQ57=Цены!$H$55,Цены!$K$55))))))))))))))))))))))))))))))))))))))))))))))))))))))</f>
        <v>552</v>
      </c>
      <c r="AV57" s="265"/>
      <c r="AW57" s="265"/>
      <c r="AX57" s="274"/>
      <c r="AY57" s="304"/>
      <c r="AZ57" s="304"/>
      <c r="BA57" s="265"/>
      <c r="BB57" s="274"/>
      <c r="BC57" s="305"/>
      <c r="BD57" s="259"/>
      <c r="BE57" s="105"/>
      <c r="BF57" s="106"/>
      <c r="BG57" s="103" t="b">
        <f>IF(BE57=Цены!$H$3,Цены!$L$3,IF(BE57=Цены!$H$4,Цены!$L$4,IF(BE57=Цены!$H$5,Цены!$L$5,IF(BE57=Цены!$H$6,Цены!$L$6,IF(BE57=Цены!$H$7,Цены!$L$7,IF(BE57=Цены!$H$8,Цены!$L$8,IF(BE57=Цены!$H$9,Цены!$L$9,IF(BE57=Цены!$H$10,Цены!$L$10,IF(BE57=Цены!$H$11,Цены!$L$11,IF(BE57=Цены!$H$12,Цены!$L$12,IF(BE57=Цены!$H$13,Цены!$L$13,IF(BE57=Цены!$H$14,Цены!$L$14,IF(BE57=Цены!$H$14,Цены!$L$14,IF(BE57=Цены!$H$15,Цены!$L$15,IF(BE57=Цены!$H$16,Цены!$L$16,IF(BE57=Цены!$H$17,Цены!$L$17,IF(BE57=Цены!$H$18,Цены!$L$18,IF(BE57=Цены!$H$19,Цены!$L$19,IF(BE57=Цены!$H$20,Цены!$L$20,IF(BE57=Цены!$H$21,Цены!$L$21,IF(BE57=Цены!$H$22,Цены!$L$22,IF(BE57=Цены!$H$23,Цены!$L$23,IF(BE57=Цены!$H$24,Цены!$L$24,IF(BE57=Цены!$H$25,Цены!$L$25,IF(BE57=Цены!$H$26,Цены!$L$26,IF(BE57=Цены!$H$27,Цены!$L$27,IF(BE57=Цены!$H$28,Цены!$L$28,IF(BE57=Цены!$H$29,Цены!$L$29,IF(BE57=Цены!$H$30,Цены!$L$30,IF(BE57=Цены!$H$31,Цены!$L$31,IF(BE57=Цены!$H$32,Цены!$L$32,IF(BE57=Цены!$H$33,Цены!$L$33,IF(BE57=Цены!$H$34,Цены!$L$34,IF(BE57=Цены!$H$35,Цены!$L$35,IF(BE57=Цены!$H$36,Цены!$L$36,IF(BE57=Цены!$H$37,Цены!$L$37,IF(BE57=Цены!$H$38,Цены!$L$38,IF(BE57=Цены!$H$39,Цены!$L$39,IF(BE57=Цены!$H$40,Цены!$L$40,IF(BE57=Цены!$H$41,Цены!$L$41,IF(BE57=Цены!$H$42,Цены!$L$42,IF(BE57=Цены!$H$43,Цены!$L$43,IF(BE57=Цены!$H$44,Цены!$L$44,IF(BE57=Цены!$H$45,Цены!$L$45,IF(BE57=Цены!$H$46,Цены!$L$46,IF(BE57=Цены!$H$47,Цены!$L$47,IF(BE57=Цены!$H$48,Цены!$L$48,IF(BE57=Цены!$H$49,Цены!$L$49,IF(BE57=Цены!$H$50,Цены!$L$50,IF(BE57=Цены!$H$51,Цены!$L$51,IF(BE57=Цены!$H$52,Цены!$L$52,IF(BE57=Цены!$H$53,Цены!$L$53,IF(BE57=Цены!$H$54,Цены!$L$54,IF(BE57=Цены!$H$55,Цены!$L$55))))))))))))))))))))))))))))))))))))))))))))))))))))))</f>
        <v>0</v>
      </c>
      <c r="BH57" s="280"/>
      <c r="BI57" s="104" t="b">
        <f>IF(BE57=Цены!$H$3,Цены!$K$3,IF(BE57=Цены!$H$4,Цены!$K$4,IF(BE57=Цены!$H$5,Цены!$K$5,IF(BE57=Цены!$H$6,Цены!$K$6,IF(BE57=Цены!$H$7,Цены!$K$7,IF(BE57=Цены!$H$8,Цены!$K$8,IF(BE57=Цены!$H$9,Цены!$K$9,IF(BE57=Цены!$H$10,Цены!$K$10,IF(BE57=Цены!$H$11,Цены!$K$11,IF(BE57=Цены!$H$12,Цены!$K$12,IF(BE57=Цены!$H$13,Цены!$K$13,IF(BE57=Цены!$H$14,Цены!$K$14,IF(BE57=Цены!$H$14,Цены!$K$14,IF(BE57=Цены!$H$15,Цены!$K$15,IF(BE57=Цены!$H$16,Цены!$K$16,IF(BE57=Цены!$H$17,Цены!$K$17,IF(BE57=Цены!$H$18,Цены!$K$18,IF(BE57=Цены!$H$19,Цены!$K$19,IF(BE57=Цены!$H$20,Цены!$K$20,IF(BE57=Цены!$H$21,Цены!$K$21,IF(BE57=Цены!$H$22,Цены!$K$22,IF(BE57=Цены!$H$23,Цены!$K$23,IF(BE57=Цены!$H$24,Цены!$K$24,IF(BE57=Цены!$H$25,Цены!$K$25,IF(BE57=Цены!$H$26,Цены!$K$26,IF(BE57=Цены!$H$27,Цены!$K$27,IF(BE57=Цены!$H$28,Цены!$K$28,IF(BE57=Цены!$H$29,Цены!$K$29,IF(BE57=Цены!$H$30,Цены!$K$30,IF(BE57=Цены!$H$31,Цены!$K$31,IF(BE57=Цены!$H$32,Цены!$K$32,IF(BE57=Цены!$H$33,Цены!$K$33,IF(BE57=Цены!$H$34,Цены!$K$34,IF(BE57=Цены!$H$35,Цены!$K$35,IF(BE57=Цены!$H$36,Цены!$K$36,IF(BE57=Цены!$H$37,Цены!$K$37,IF(BE57=Цены!$H$38,Цены!$K$38,IF(BE57=Цены!$H$39,Цены!$K$39,IF(BE57=Цены!$H$40,Цены!$K$40,IF(BE57=Цены!$H$41,Цены!$K$41,IF(BE57=Цены!$H$42,Цены!$K$42,IF(BE57=Цены!$H$43,Цены!$K$43,IF(BE57=Цены!$H$44,Цены!$K$44,IF(BE57=Цены!$H$45,Цены!$K$45,IF(BE57=Цены!$H$46,Цены!$K$46,IF(BE57=Цены!$H$47,Цены!$K$47,IF(BE57=Цены!$H$48,Цены!$K$48,IF(BE57=Цены!$H$49,Цены!$K$49,IF(BE57=Цены!$H$50,Цены!$K$50,IF(BE57=Цены!$H$51,Цены!$K$51,IF(BE57=Цены!$H$52,Цены!$K$52,IF(BE57=Цены!$H$53,Цены!$K$53,IF(BE57=Цены!$H$54,Цены!$K$54,IF(BE57=Цены!$H$55,Цены!$K$55))))))))))))))))))))))))))))))))))))))))))))))))))))))</f>
        <v>0</v>
      </c>
      <c r="BJ57" s="265"/>
      <c r="BK57" s="265"/>
      <c r="BL57" s="281"/>
      <c r="BM57" s="292"/>
      <c r="BN57" s="292"/>
      <c r="BO57" s="268"/>
      <c r="BP57" s="281"/>
      <c r="BQ57" s="293"/>
      <c r="BR57" s="133"/>
      <c r="BS57" s="108"/>
      <c r="BT57" s="109" t="b">
        <f>IF(BR57=Цены!$H$3,Цены!$L$3,IF(BR57=Цены!$H$4,Цены!$L$4,IF(BR57=Цены!$H$5,Цены!$L$5,IF(BR57=Цены!$H$6,Цены!$L$6,IF(BR57=Цены!$H$7,Цены!$L$7,IF(BR57=Цены!$H$8,Цены!$L$8,IF(BR57=Цены!$H$9,Цены!$L$9,IF(BR57=Цены!$H$10,Цены!$L$10,IF(BR57=Цены!$H$11,Цены!$L$11,IF(BR57=Цены!$H$12,Цены!$L$12,IF(BR57=Цены!$H$13,Цены!$L$13,IF(BR57=Цены!$H$14,Цены!$L$14,IF(BR57=Цены!$H$14,Цены!$L$14,IF(BR57=Цены!$H$15,Цены!$L$15,IF(BR57=Цены!$H$16,Цены!$L$16,IF(BR57=Цены!$H$17,Цены!$L$17,IF(BR57=Цены!$H$18,Цены!$L$18,IF(BR57=Цены!$H$19,Цены!$L$19,IF(BR57=Цены!$H$20,Цены!$L$20,IF(BR57=Цены!$H$21,Цены!$L$21,IF(BR57=Цены!$H$22,Цены!$L$22,IF(BR57=Цены!$H$23,Цены!$L$23,IF(BR57=Цены!$H$24,Цены!$L$24,IF(BR57=Цены!$H$25,Цены!$L$25,IF(BR57=Цены!$H$26,Цены!$L$26,IF(BR57=Цены!$H$27,Цены!$L$27,IF(BR57=Цены!$H$28,Цены!$L$28,IF(BR57=Цены!$H$29,Цены!$L$29,IF(BR57=Цены!$H$30,Цены!$L$30,IF(BR57=Цены!$H$31,Цены!$L$31,IF(BR57=Цены!$H$32,Цены!$L$32,IF(BR57=Цены!$H$33,Цены!$L$33,IF(BR57=Цены!$H$34,Цены!$L$34,IF(BR57=Цены!$H$35,Цены!$L$35,IF(BR57=Цены!$H$36,Цены!$L$36,IF(BR57=Цены!$H$37,Цены!$L$37,IF(BR57=Цены!$H$38,Цены!$L$38,IF(BR57=Цены!$H$39,Цены!$L$39,IF(BR57=Цены!$H$40,Цены!$L$40,IF(BR57=Цены!$H$41,Цены!$L$41,IF(BR57=Цены!$H$42,Цены!$L$42,IF(BR57=Цены!$H$43,Цены!$L$43,IF(BR57=Цены!$H$44,Цены!$L$44,IF(BR57=Цены!$H$45,Цены!$L$45,IF(BR57=Цены!$H$46,Цены!$L$46,IF(BR57=Цены!$H$47,Цены!$L$47,IF(BR57=Цены!$H$48,Цены!$L$48,IF(BR57=Цены!$H$49,Цены!$L$49,IF(BR57=Цены!$H$50,Цены!$L$50,IF(BR57=Цены!$H$51,Цены!$L$51,IF(BR57=Цены!$H$52,Цены!$L$52,IF(BR57=Цены!$H$53,Цены!$L$53,IF(BR57=Цены!$H$54,Цены!$L$54,IF(BR57=Цены!$H$55,Цены!$L$55))))))))))))))))))))))))))))))))))))))))))))))))))))))</f>
        <v>0</v>
      </c>
      <c r="BU57" s="284"/>
      <c r="BV57" s="110" t="b">
        <f>IF(BR57=Цены!$H$3,Цены!$K$3,IF(BR57=Цены!$H$4,Цены!$K$4,IF(BR57=Цены!$H$5,Цены!$K$5,IF(BR57=Цены!$H$6,Цены!$K$6,IF(BR57=Цены!$H$7,Цены!$K$7,IF(BR57=Цены!$H$8,Цены!$K$8,IF(BR57=Цены!$H$9,Цены!$K$9,IF(BR57=Цены!$H$10,Цены!$K$10,IF(BR57=Цены!$H$11,Цены!$K$11,IF(BR57=Цены!$H$12,Цены!$K$12,IF(BR57=Цены!$H$13,Цены!$K$13,IF(BR57=Цены!$H$14,Цены!$K$14,IF(BR57=Цены!$H$14,Цены!$K$14,IF(BR57=Цены!$H$15,Цены!$K$15,IF(BR57=Цены!$H$16,Цены!$K$16,IF(BR57=Цены!$H$17,Цены!$K$17,IF(BR57=Цены!$H$18,Цены!$K$18,IF(BR57=Цены!$H$19,Цены!$K$19,IF(BR57=Цены!$H$20,Цены!$K$20,IF(BR57=Цены!$H$21,Цены!$K$21,IF(BR57=Цены!$H$22,Цены!$K$22,IF(BR57=Цены!$H$23,Цены!$K$23,IF(BR57=Цены!$H$24,Цены!$K$24,IF(BR57=Цены!$H$25,Цены!$K$25,IF(BR57=Цены!$H$26,Цены!$K$26,IF(BR57=Цены!$H$27,Цены!$K$27,IF(BR57=Цены!$H$28,Цены!$K$28,IF(BR57=Цены!$H$29,Цены!$K$29,IF(BR57=Цены!$H$30,Цены!$K$30,IF(BR57=Цены!$H$31,Цены!$K$31,IF(BR57=Цены!$H$32,Цены!$K$32,IF(BR57=Цены!$H$33,Цены!$K$33,IF(BR57=Цены!$H$34,Цены!$K$34,IF(BR57=Цены!$H$35,Цены!$K$35,IF(BR57=Цены!$H$36,Цены!$K$36,IF(BR57=Цены!$H$37,Цены!$K$37,IF(BR57=Цены!$H$38,Цены!$K$38,IF(BR57=Цены!$H$39,Цены!$K$39,IF(BR57=Цены!$H$40,Цены!$K$40,IF(BR57=Цены!$H$41,Цены!$K$41,IF(BR57=Цены!$H$42,Цены!$K$42,IF(BR57=Цены!$H$43,Цены!$K$43,IF(BR57=Цены!$H$44,Цены!$K$44,IF(BR57=Цены!$H$45,Цены!$K$45,IF(BR57=Цены!$H$46,Цены!$K$46,IF(BR57=Цены!$H$47,Цены!$K$47,IF(BR57=Цены!$H$48,Цены!$K$48,IF(BR57=Цены!$H$49,Цены!$K$49,IF(BR57=Цены!$H$50,Цены!$K$50,IF(BR57=Цены!$H$51,Цены!$K$51,IF(BR57=Цены!$H$52,Цены!$K$52,IF(BR57=Цены!$H$53,Цены!$K$53,IF(BR57=Цены!$H$54,Цены!$K$54,IF(BR57=Цены!$H$55,Цены!$K$55))))))))))))))))))))))))))))))))))))))))))))))))))))))</f>
        <v>0</v>
      </c>
      <c r="BW57" s="265"/>
      <c r="BX57" s="265"/>
      <c r="BY57" s="285"/>
      <c r="BZ57" s="290"/>
      <c r="CA57" s="290"/>
      <c r="CB57" s="268"/>
      <c r="CC57" s="285"/>
      <c r="CD57" s="291"/>
      <c r="CE57" s="115" t="s">
        <v>121</v>
      </c>
      <c r="CF57" s="112">
        <v>1</v>
      </c>
      <c r="CG57" s="113">
        <f>IF(CE57=Цены!$H$3,Цены!$L$3,IF(CE57=Цены!$H$4,Цены!$L$4,IF(CE57=Цены!$H$5,Цены!$L$5,IF(CE57=Цены!$H$6,Цены!$L$6,IF(CE57=Цены!$H$7,Цены!$L$7,IF(CE57=Цены!$H$8,Цены!$L$8,IF(CE57=Цены!$H$9,Цены!$L$9,IF(CE57=Цены!$H$10,Цены!$L$10,IF(CE57=Цены!$H$11,Цены!$L$11,IF(CE57=Цены!$H$12,Цены!$L$12,IF(CE57=Цены!$H$13,Цены!$L$13,IF(CE57=Цены!$H$14,Цены!$L$14,IF(CE57=Цены!$H$14,Цены!$L$14,IF(CE57=Цены!$H$15,Цены!$L$15,IF(CE57=Цены!$H$16,Цены!$L$16,IF(CE57=Цены!$H$17,Цены!$L$17,IF(CE57=Цены!$H$18,Цены!$L$18,IF(CE57=Цены!$H$19,Цены!$L$19,IF(CE57=Цены!$H$20,Цены!$L$20,IF(CE57=Цены!$H$21,Цены!$L$21,IF(CE57=Цены!$H$22,Цены!$L$22,IF(CE57=Цены!$H$23,Цены!$L$23,IF(CE57=Цены!$H$24,Цены!$L$24,IF(CE57=Цены!$H$25,Цены!$L$25,IF(CE57=Цены!$H$26,Цены!$L$26,IF(CE57=Цены!$H$27,Цены!$L$27,IF(CE57=Цены!$H$28,Цены!$L$28,IF(CE57=Цены!$H$29,Цены!$L$29,IF(CE57=Цены!$H$30,Цены!$L$30,IF(CE57=Цены!$H$31,Цены!$L$31,IF(CE57=Цены!$H$32,Цены!$L$32,IF(CE57=Цены!$H$33,Цены!$L$33,IF(CE57=Цены!$H$34,Цены!$L$34,IF(CE57=Цены!$H$35,Цены!$L$35,IF(CE57=Цены!$H$36,Цены!$L$36,IF(CE57=Цены!$H$37,Цены!$L$37,IF(CE57=Цены!$H$38,Цены!$L$38,IF(CE57=Цены!$H$39,Цены!$L$39,IF(CE57=Цены!$H$40,Цены!$L$40,IF(CE57=Цены!$H$41,Цены!$L$41,IF(CE57=Цены!$H$42,Цены!$L$42,IF(CE57=Цены!$H$43,Цены!$L$43,IF(CE57=Цены!$H$44,Цены!$L$44,IF(CE57=Цены!$H$45,Цены!$L$45,IF(CE57=Цены!$H$46,Цены!$L$46,IF(CE57=Цены!$H$47,Цены!$L$47,IF(CE57=Цены!$H$48,Цены!$L$48,IF(CE57=Цены!$H$49,Цены!$L$49,IF(CE57=Цены!$H$50,Цены!$L$50,IF(CE57=Цены!$H$51,Цены!$L$51,IF(CE57=Цены!$H$52,Цены!$L$52,IF(CE57=Цены!$H$53,Цены!$L$53,IF(CE57=Цены!$H$54,Цены!$L$54,IF(CE57=Цены!$H$55,Цены!$L$55))))))))))))))))))))))))))))))))))))))))))))))))))))))</f>
        <v>1.32E-2</v>
      </c>
      <c r="CH57" s="282"/>
      <c r="CI57" s="114">
        <f>IF(CE57=Цены!$H$3,Цены!$K$3,IF(CE57=Цены!$H$4,Цены!$K$4,IF(CE57=Цены!$H$5,Цены!$K$5,IF(CE57=Цены!$H$6,Цены!$K$6,IF(CE57=Цены!$H$7,Цены!$K$7,IF(CE57=Цены!$H$8,Цены!$K$8,IF(CE57=Цены!$H$9,Цены!$K$9,IF(CE57=Цены!$H$10,Цены!$K$10,IF(CE57=Цены!$H$11,Цены!$K$11,IF(CE57=Цены!$H$12,Цены!$K$12,IF(CE57=Цены!$H$13,Цены!$K$13,IF(CE57=Цены!$H$14,Цены!$K$14,IF(CE57=Цены!$H$14,Цены!$K$14,IF(CE57=Цены!$H$15,Цены!$K$15,IF(CE57=Цены!$H$16,Цены!$K$16,IF(CE57=Цены!$H$17,Цены!$K$17,IF(CE57=Цены!$H$18,Цены!$K$18,IF(CE57=Цены!$H$19,Цены!$K$19,IF(CE57=Цены!$H$20,Цены!$K$20,IF(CE57=Цены!$H$21,Цены!$K$21,IF(CE57=Цены!$H$22,Цены!$K$22,IF(CE57=Цены!$H$23,Цены!$K$23,IF(CE57=Цены!$H$24,Цены!$K$24,IF(CE57=Цены!$H$25,Цены!$K$25,IF(CE57=Цены!$H$26,Цены!$K$26,IF(CE57=Цены!$H$27,Цены!$K$27,IF(CE57=Цены!$H$28,Цены!$K$28,IF(CE57=Цены!$H$29,Цены!$K$29,IF(CE57=Цены!$H$30,Цены!$K$30,IF(CE57=Цены!$H$31,Цены!$K$31,IF(CE57=Цены!$H$32,Цены!$K$32,IF(CE57=Цены!$H$33,Цены!$K$33,IF(CE57=Цены!$H$34,Цены!$K$34,IF(CE57=Цены!$H$35,Цены!$K$35,IF(CE57=Цены!$H$36,Цены!$K$36,IF(CE57=Цены!$H$37,Цены!$K$37,IF(CE57=Цены!$H$38,Цены!$K$38,IF(CE57=Цены!$H$39,Цены!$K$39,IF(CE57=Цены!$H$40,Цены!$K$40,IF(CE57=Цены!$H$41,Цены!$K$41,IF(CE57=Цены!$H$42,Цены!$K$42,IF(CE57=Цены!$H$43,Цены!$K$43,IF(CE57=Цены!$H$44,Цены!$K$44,IF(CE57=Цены!$H$45,Цены!$K$45,IF(CE57=Цены!$H$46,Цены!$K$46,IF(CE57=Цены!$H$47,Цены!$K$47,IF(CE57=Цены!$H$48,Цены!$K$48,IF(CE57=Цены!$H$49,Цены!$K$49,IF(CE57=Цены!$H$50,Цены!$K$50,IF(CE57=Цены!$H$51,Цены!$K$51,IF(CE57=Цены!$H$52,Цены!$K$52,IF(CE57=Цены!$H$53,Цены!$K$53,IF(CE57=Цены!$H$54,Цены!$K$54,IF(CE57=Цены!$H$55,Цены!$K$55))))))))))))))))))))))))))))))))))))))))))))))))))))))</f>
        <v>54</v>
      </c>
      <c r="CJ57" s="265"/>
      <c r="CK57" s="265"/>
      <c r="CL57" s="283"/>
      <c r="CM57" s="288"/>
      <c r="CN57" s="288"/>
      <c r="CO57" s="268"/>
      <c r="CP57" s="283"/>
      <c r="CQ57" s="289"/>
    </row>
    <row r="58" spans="1:95" s="40" customFormat="1" ht="15.75" hidden="1" customHeight="1" x14ac:dyDescent="0.25">
      <c r="A58" s="341"/>
      <c r="B58" s="265"/>
      <c r="C58" s="336"/>
      <c r="D58" s="44" t="s">
        <v>121</v>
      </c>
      <c r="E58" s="45">
        <v>3</v>
      </c>
      <c r="F58" s="46">
        <f>IF(D58=Цены!$H$3,Цены!$L$3,IF(D58=Цены!$H$4,Цены!$L$4,IF(D58=Цены!$H$5,Цены!$L$5,IF(D58=Цены!$H$6,Цены!$L$6,IF(D58=Цены!$H$7,Цены!$L$7,IF(D58=Цены!$H$8,Цены!$L$8,IF(D58=Цены!$H$9,Цены!$L$9,IF(D58=Цены!$H$10,Цены!$L$10,IF(D58=Цены!$H$11,Цены!$L$11,IF(D58=Цены!$H$12,Цены!$L$12,IF(D58=Цены!$H$13,Цены!$L$13,IF(D58=Цены!$H$14,Цены!$L$14,IF(D58=Цены!$H$14,Цены!$L$14,IF(D58=Цены!$H$15,Цены!$L$15,IF(D58=Цены!$H$16,Цены!$L$16,IF(D58=Цены!$H$17,Цены!$L$17,IF(D58=Цены!$H$18,Цены!$L$18,IF(D58=Цены!$H$19,Цены!$L$19,IF(D58=Цены!$H$20,Цены!$L$20,IF(D58=Цены!$H$21,Цены!$L$21,IF(D58=Цены!$H$22,Цены!$L$22,IF(D58=Цены!$H$23,Цены!$L$23,IF(D58=Цены!$H$24,Цены!$L$24,IF(D58=Цены!$H$25,Цены!$L$25,IF(D58=Цены!$H$26,Цены!$L$26,IF(D58=Цены!$H$27,Цены!$L$27,IF(D58=Цены!$H$28,Цены!$L$28,IF(D58=Цены!$H$29,Цены!$L$29,IF(D58=Цены!$H$30,Цены!$L$30,IF(D58=Цены!$H$31,Цены!$L$31,IF(D58=Цены!$H$32,Цены!$L$32,IF(D58=Цены!$H$33,Цены!$L$33,IF(D58=Цены!$H$34,Цены!$L$34,IF(D58=Цены!$H$35,Цены!$L$35,IF(D58=Цены!$H$36,Цены!$L$36,IF(D58=Цены!$H$37,Цены!$L$37,IF(D58=Цены!$H$38,Цены!$L$38,IF(D58=Цены!$H$39,Цены!$L$39,IF(D58=Цены!$H$40,Цены!$L$40,IF(D58=Цены!$H$41,Цены!$L$41,IF(D58=Цены!$H$42,Цены!$L$42,IF(D58=Цены!$H$43,Цены!$L$43,IF(D58=Цены!$H$44,Цены!$L$44,IF(D58=Цены!$H$45,Цены!$L$45,IF(D58=Цены!$H$46,Цены!$L$46,IF(D58=Цены!$H$47,Цены!$L$47,IF(D58=Цены!$H$48,Цены!$L$48,IF(D58=Цены!$H$49,Цены!$L$49,IF(D58=Цены!$H$50,Цены!$L$50,IF(D58=Цены!$H$51,Цены!$L$51,IF(D58=Цены!$H$52,Цены!$L$52,IF(D58=Цены!$H$53,Цены!$L$53,IF(D58=Цены!$H$54,Цены!$L$54,IF(D58=Цены!$H$55,Цены!$L$55))))))))))))))))))))))))))))))))))))))))))))))))))))))</f>
        <v>1.32E-2</v>
      </c>
      <c r="G58" s="339"/>
      <c r="H58" s="47">
        <f>IF(D58=Цены!$H$3,Цены!$K$3,IF(D58=Цены!$H$4,Цены!$K$4,IF(D58=Цены!$H$5,Цены!$K$5,IF(D58=Цены!$H$6,Цены!$K$6,IF(D58=Цены!$H$7,Цены!$K$7,IF(D58=Цены!$H$8,Цены!$K$8,IF(D58=Цены!$H$9,Цены!$K$9,IF(D58=Цены!$H$10,Цены!$K$10,IF(D58=Цены!$H$11,Цены!$K$11,IF(D58=Цены!$H$12,Цены!$K$12,IF(D58=Цены!$H$13,Цены!$K$13,IF(D58=Цены!$H$14,Цены!$K$14,IF(D58=Цены!$H$14,Цены!$K$14,IF(D58=Цены!$H$15,Цены!$K$15,IF(D58=Цены!$H$16,Цены!$K$16,IF(D58=Цены!$H$17,Цены!$K$17,IF(D58=Цены!$H$18,Цены!$K$18,IF(D58=Цены!$H$19,Цены!$K$19,IF(D58=Цены!$H$20,Цены!$K$20,IF(D58=Цены!$H$21,Цены!$K$21,IF(D58=Цены!$H$22,Цены!$K$22,IF(D58=Цены!$H$23,Цены!$K$23,IF(D58=Цены!$H$24,Цены!$K$24,IF(D58=Цены!$H$25,Цены!$K$25,IF(D58=Цены!$H$26,Цены!$K$26,IF(D58=Цены!$H$27,Цены!$K$27,IF(D58=Цены!$H$28,Цены!$K$28,IF(D58=Цены!$H$29,Цены!$K$29,IF(D58=Цены!$H$30,Цены!$K$30,IF(D58=Цены!$H$31,Цены!$K$31,IF(D58=Цены!$H$32,Цены!$K$32,IF(D58=Цены!$H$33,Цены!$K$33,IF(D58=Цены!$H$34,Цены!$K$34,IF(D58=Цены!$H$35,Цены!$K$35,IF(D58=Цены!$H$36,Цены!$K$36,IF(D58=Цены!$H$37,Цены!$K$37,IF(D58=Цены!$H$38,Цены!$K$38,IF(D58=Цены!$H$39,Цены!$K$39,IF(D58=Цены!$H$40,Цены!$K$40,IF(D58=Цены!$H$41,Цены!$K$41,IF(D58=Цены!$H$42,Цены!$K$42,IF(D58=Цены!$H$43,Цены!$K$43,IF(D58=Цены!$H$44,Цены!$K$44,IF(D58=Цены!$H$45,Цены!$K$45,IF(D58=Цены!$H$46,Цены!$K$46,IF(D58=Цены!$H$47,Цены!$K$47,IF(D58=Цены!$H$48,Цены!$K$48,IF(D58=Цены!$H$49,Цены!$K$49,IF(D58=Цены!$H$50,Цены!$K$50,IF(D58=Цены!$H$51,Цены!$K$51,IF(D58=Цены!$H$52,Цены!$K$52,IF(D58=Цены!$H$53,Цены!$K$53,IF(D58=Цены!$H$54,Цены!$K$54,IF(D58=Цены!$H$55,Цены!$K$55))))))))))))))))))))))))))))))))))))))))))))))))))))))</f>
        <v>54</v>
      </c>
      <c r="I58" s="265"/>
      <c r="J58" s="265"/>
      <c r="K58" s="332"/>
      <c r="L58" s="334"/>
      <c r="M58" s="334"/>
      <c r="N58" s="265"/>
      <c r="O58" s="332"/>
      <c r="P58" s="331"/>
      <c r="Q58" s="39"/>
      <c r="R58" s="37"/>
      <c r="S58" s="38" t="b">
        <f>IF(Q58=Цены!$H$3,Цены!$L$3,IF(Q58=Цены!$H$4,Цены!$L$4,IF(Q58=Цены!$H$5,Цены!$L$5,IF(Q58=Цены!$H$6,Цены!$L$6,IF(Q58=Цены!$H$7,Цены!$L$7,IF(Q58=Цены!$H$8,Цены!$L$8,IF(Q58=Цены!$H$9,Цены!$L$9,IF(Q58=Цены!$H$10,Цены!$L$10,IF(Q58=Цены!$H$11,Цены!$L$11,IF(Q58=Цены!$H$12,Цены!$L$12,IF(Q58=Цены!$H$13,Цены!$L$13,IF(Q58=Цены!$H$14,Цены!$L$14,IF(Q58=Цены!$H$14,Цены!$L$14,IF(Q58=Цены!$H$15,Цены!$L$15,IF(Q58=Цены!$H$16,Цены!$L$16,IF(Q58=Цены!$H$17,Цены!$L$17,IF(Q58=Цены!$H$18,Цены!$L$18,IF(Q58=Цены!$H$19,Цены!$L$19,IF(Q58=Цены!$H$20,Цены!$L$20,IF(Q58=Цены!$H$21,Цены!$L$21,IF(Q58=Цены!$H$22,Цены!$L$22,IF(Q58=Цены!$H$23,Цены!$L$23,IF(Q58=Цены!$H$24,Цены!$L$24,IF(Q58=Цены!$H$25,Цены!$L$25,IF(Q58=Цены!$H$26,Цены!$L$26,IF(Q58=Цены!$H$27,Цены!$L$27,IF(Q58=Цены!$H$28,Цены!$L$28,IF(Q58=Цены!$H$29,Цены!$L$29,IF(Q58=Цены!$H$30,Цены!$L$30,IF(Q58=Цены!$H$31,Цены!$L$31,IF(Q58=Цены!$H$32,Цены!$L$32,IF(Q58=Цены!$H$33,Цены!$L$33,IF(Q58=Цены!$H$34,Цены!$L$34,IF(Q58=Цены!$H$35,Цены!$L$35,IF(Q58=Цены!$H$36,Цены!$L$36,IF(Q58=Цены!$H$37,Цены!$L$37,IF(Q58=Цены!$H$38,Цены!$L$38,IF(Q58=Цены!$H$39,Цены!$L$39,IF(Q58=Цены!$H$40,Цены!$L$40,IF(Q58=Цены!$H$41,Цены!$L$41,IF(Q58=Цены!$H$42,Цены!$L$42,IF(Q58=Цены!$H$43,Цены!$L$43,IF(Q58=Цены!$H$44,Цены!$L$44,IF(Q58=Цены!$H$45,Цены!$L$45,IF(Q58=Цены!$H$46,Цены!$L$46,IF(Q58=Цены!$H$47,Цены!$L$47,IF(Q58=Цены!$H$48,Цены!$L$48,IF(Q58=Цены!$H$49,Цены!$L$49,IF(Q58=Цены!$H$50,Цены!$L$50,IF(Q58=Цены!$H$51,Цены!$L$51,IF(Q58=Цены!$H$52,Цены!$L$52,IF(Q58=Цены!$H$53,Цены!$L$53,IF(Q58=Цены!$H$54,Цены!$L$54,IF(Q58=Цены!$H$55,Цены!$L$55))))))))))))))))))))))))))))))))))))))))))))))))))))))</f>
        <v>0</v>
      </c>
      <c r="T58" s="322"/>
      <c r="U58" s="161" t="b">
        <f>IF(Q58=Цены!$H$3,Цены!$K$3,IF(Q58=Цены!$H$4,Цены!$K$4,IF(Q58=Цены!$H$5,Цены!$K$5,IF(Q58=Цены!$H$6,Цены!$K$6,IF(Q58=Цены!$H$7,Цены!$K$7,IF(Q58=Цены!$H$8,Цены!$K$8,IF(Q58=Цены!$H$9,Цены!$K$9,IF(Q58=Цены!$H$10,Цены!$K$10,IF(Q58=Цены!$H$11,Цены!$K$11,IF(Q58=Цены!$H$12,Цены!$K$12,IF(Q58=Цены!$H$13,Цены!$K$13,IF(Q58=Цены!$H$14,Цены!$K$14,IF(Q58=Цены!$H$14,Цены!$K$14,IF(Q58=Цены!$H$15,Цены!$K$15,IF(Q58=Цены!$H$16,Цены!$K$16,IF(Q58=Цены!$H$17,Цены!$K$17,IF(Q58=Цены!$H$18,Цены!$K$18,IF(Q58=Цены!$H$19,Цены!$K$19,IF(Q58=Цены!$H$20,Цены!$K$20,IF(Q58=Цены!$H$21,Цены!$K$21,IF(Q58=Цены!$H$22,Цены!$K$22,IF(Q58=Цены!$H$23,Цены!$K$23,IF(Q58=Цены!$H$24,Цены!$K$24,IF(Q58=Цены!$H$25,Цены!$K$25,IF(Q58=Цены!$H$26,Цены!$K$26,IF(Q58=Цены!$H$27,Цены!$K$27,IF(Q58=Цены!$H$28,Цены!$K$28,IF(Q58=Цены!$H$29,Цены!$K$29,IF(Q58=Цены!$H$30,Цены!$K$30,IF(Q58=Цены!$H$31,Цены!$K$31,IF(Q58=Цены!$H$32,Цены!$K$32,IF(Q58=Цены!$H$33,Цены!$K$33,IF(Q58=Цены!$H$34,Цены!$K$34,IF(Q58=Цены!$H$35,Цены!$K$35,IF(Q58=Цены!$H$36,Цены!$K$36,IF(Q58=Цены!$H$37,Цены!$K$37,IF(Q58=Цены!$H$38,Цены!$K$38,IF(Q58=Цены!$H$39,Цены!$K$39,IF(Q58=Цены!$H$40,Цены!$K$40,IF(Q58=Цены!$H$41,Цены!$K$41,IF(Q58=Цены!$H$42,Цены!$K$42,IF(Q58=Цены!$H$43,Цены!$K$43,IF(Q58=Цены!$H$44,Цены!$K$44,IF(Q58=Цены!$H$45,Цены!$K$45,IF(Q58=Цены!$H$46,Цены!$K$46,IF(Q58=Цены!$H$47,Цены!$K$47,IF(Q58=Цены!$H$48,Цены!$K$48,IF(Q58=Цены!$H$49,Цены!$K$49,IF(Q58=Цены!$H$50,Цены!$K$50,IF(Q58=Цены!$H$51,Цены!$K$51,IF(Q58=Цены!$H$52,Цены!$K$52,IF(Q58=Цены!$H$53,Цены!$K$53,IF(Q58=Цены!$H$54,Цены!$K$54,IF(Q58=Цены!$H$55,Цены!$K$55))))))))))))))))))))))))))))))))))))))))))))))))))))))</f>
        <v>0</v>
      </c>
      <c r="V58" s="265"/>
      <c r="W58" s="265"/>
      <c r="X58" s="323"/>
      <c r="Y58" s="324"/>
      <c r="Z58" s="324"/>
      <c r="AA58" s="265"/>
      <c r="AB58" s="323"/>
      <c r="AC58" s="325"/>
      <c r="AD58" s="66" t="s">
        <v>88</v>
      </c>
      <c r="AE58" s="130">
        <v>3</v>
      </c>
      <c r="AF58" s="68">
        <f>IF(AD58=Цены!$H$3,Цены!$L$3,IF(AD58=Цены!$H$4,Цены!$L$4,IF(AD58=Цены!$H$5,Цены!$L$5,IF(AD58=Цены!$H$6,Цены!$L$6,IF(AD58=Цены!$H$7,Цены!$L$7,IF(AD58=Цены!$H$8,Цены!$L$8,IF(AD58=Цены!$H$9,Цены!$L$9,IF(AD58=Цены!$H$10,Цены!$L$10,IF(AD58=Цены!$H$11,Цены!$L$11,IF(AD58=Цены!$H$12,Цены!$L$12,IF(AD58=Цены!$H$13,Цены!$L$13,IF(AD58=Цены!$H$14,Цены!$L$14,IF(AD58=Цены!$H$14,Цены!$L$14,IF(AD58=Цены!$H$15,Цены!$L$15,IF(AD58=Цены!$H$16,Цены!$L$16,IF(AD58=Цены!$H$17,Цены!$L$17,IF(AD58=Цены!$H$18,Цены!$L$18,IF(AD58=Цены!$H$19,Цены!$L$19,IF(AD58=Цены!$H$20,Цены!$L$20,IF(AD58=Цены!$H$21,Цены!$L$21,IF(AD58=Цены!$H$22,Цены!$L$22,IF(AD58=Цены!$H$23,Цены!$L$23,IF(AD58=Цены!$H$24,Цены!$L$24,IF(AD58=Цены!$H$25,Цены!$L$25,IF(AD58=Цены!$H$26,Цены!$L$26,IF(AD58=Цены!$H$27,Цены!$L$27,IF(AD58=Цены!$H$28,Цены!$L$28,IF(AD58=Цены!$H$29,Цены!$L$29,IF(AD58=Цены!$H$30,Цены!$L$30,IF(AD58=Цены!$H$31,Цены!$L$31,IF(AD58=Цены!$H$32,Цены!$L$32,IF(AD58=Цены!$H$33,Цены!$L$33,IF(AD58=Цены!$H$34,Цены!$L$34,IF(AD58=Цены!$H$35,Цены!$L$35,IF(AD58=Цены!$H$36,Цены!$L$36,IF(AD58=Цены!$H$37,Цены!$L$37,IF(AD58=Цены!$H$38,Цены!$L$38,IF(AD58=Цены!$H$39,Цены!$L$39,IF(AD58=Цены!$H$40,Цены!$L$40,IF(AD58=Цены!$H$41,Цены!$L$41,IF(AD58=Цены!$H$42,Цены!$L$42,IF(AD58=Цены!$H$43,Цены!$L$43,IF(AD58=Цены!$H$44,Цены!$L$44,IF(AD58=Цены!$H$45,Цены!$L$45,IF(AD58=Цены!$H$46,Цены!$L$46,IF(AD58=Цены!$H$47,Цены!$L$47,IF(AD58=Цены!$H$48,Цены!$L$48,IF(AD58=Цены!$H$49,Цены!$L$49,IF(AD58=Цены!$H$50,Цены!$L$50,IF(AD58=Цены!$H$51,Цены!$L$51,IF(AD58=Цены!$H$52,Цены!$L$52,IF(AD58=Цены!$H$53,Цены!$L$53,IF(AD58=Цены!$H$54,Цены!$L$54,IF(AD58=Цены!$H$55,Цены!$L$55))))))))))))))))))))))))))))))))))))))))))))))))))))))</f>
        <v>1.8</v>
      </c>
      <c r="AG58" s="311"/>
      <c r="AH58" s="69">
        <f>IF(AD58=Цены!$H$3,Цены!$K$3,IF(AD58=Цены!$H$4,Цены!$K$4,IF(AD58=Цены!$H$5,Цены!$K$5,IF(AD58=Цены!$H$6,Цены!$K$6,IF(AD58=Цены!$H$7,Цены!$K$7,IF(AD58=Цены!$H$8,Цены!$K$8,IF(AD58=Цены!$H$9,Цены!$K$9,IF(AD58=Цены!$H$10,Цены!$K$10,IF(AD58=Цены!$H$11,Цены!$K$11,IF(AD58=Цены!$H$12,Цены!$K$12,IF(AD58=Цены!$H$13,Цены!$K$13,IF(AD58=Цены!$H$14,Цены!$K$14,IF(AD58=Цены!$H$14,Цены!$K$14,IF(AD58=Цены!$H$15,Цены!$K$15,IF(AD58=Цены!$H$16,Цены!$K$16,IF(AD58=Цены!$H$17,Цены!$K$17,IF(AD58=Цены!$H$18,Цены!$K$18,IF(AD58=Цены!$H$19,Цены!$K$19,IF(AD58=Цены!$H$20,Цены!$K$20,IF(AD58=Цены!$H$21,Цены!$K$21,IF(AD58=Цены!$H$22,Цены!$K$22,IF(AD58=Цены!$H$23,Цены!$K$23,IF(AD58=Цены!$H$24,Цены!$K$24,IF(AD58=Цены!$H$25,Цены!$K$25,IF(AD58=Цены!$H$26,Цены!$K$26,IF(AD58=Цены!$H$27,Цены!$K$27,IF(AD58=Цены!$H$28,Цены!$K$28,IF(AD58=Цены!$H$29,Цены!$K$29,IF(AD58=Цены!$H$30,Цены!$K$30,IF(AD58=Цены!$H$31,Цены!$K$31,IF(AD58=Цены!$H$32,Цены!$K$32,IF(AD58=Цены!$H$33,Цены!$K$33,IF(AD58=Цены!$H$34,Цены!$K$34,IF(AD58=Цены!$H$35,Цены!$K$35,IF(AD58=Цены!$H$36,Цены!$K$36,IF(AD58=Цены!$H$37,Цены!$K$37,IF(AD58=Цены!$H$38,Цены!$K$38,IF(AD58=Цены!$H$39,Цены!$K$39,IF(AD58=Цены!$H$40,Цены!$K$40,IF(AD58=Цены!$H$41,Цены!$K$41,IF(AD58=Цены!$H$42,Цены!$K$42,IF(AD58=Цены!$H$43,Цены!$K$43,IF(AD58=Цены!$H$44,Цены!$K$44,IF(AD58=Цены!$H$45,Цены!$K$45,IF(AD58=Цены!$H$46,Цены!$K$46,IF(AD58=Цены!$H$47,Цены!$K$47,IF(AD58=Цены!$H$48,Цены!$K$48,IF(AD58=Цены!$H$49,Цены!$K$49,IF(AD58=Цены!$H$50,Цены!$K$50,IF(AD58=Цены!$H$51,Цены!$K$51,IF(AD58=Цены!$H$52,Цены!$K$52,IF(AD58=Цены!$H$53,Цены!$K$53,IF(AD58=Цены!$H$54,Цены!$K$54,IF(AD58=Цены!$H$55,Цены!$K$55))))))))))))))))))))))))))))))))))))))))))))))))))))))</f>
        <v>388</v>
      </c>
      <c r="AI58" s="265"/>
      <c r="AJ58" s="265"/>
      <c r="AK58" s="312"/>
      <c r="AL58" s="314"/>
      <c r="AM58" s="314"/>
      <c r="AN58" s="265"/>
      <c r="AO58" s="312"/>
      <c r="AP58" s="315"/>
      <c r="AQ58" s="78"/>
      <c r="AR58" s="131"/>
      <c r="AS58" s="80" t="b">
        <f>IF(AQ58=Цены!$H$3,Цены!$L$3,IF(AQ58=Цены!$H$4,Цены!$L$4,IF(AQ58=Цены!$H$5,Цены!$L$5,IF(AQ58=Цены!$H$6,Цены!$L$6,IF(AQ58=Цены!$H$7,Цены!$L$7,IF(AQ58=Цены!$H$8,Цены!$L$8,IF(AQ58=Цены!$H$9,Цены!$L$9,IF(AQ58=Цены!$H$10,Цены!$L$10,IF(AQ58=Цены!$H$11,Цены!$L$11,IF(AQ58=Цены!$H$12,Цены!$L$12,IF(AQ58=Цены!$H$13,Цены!$L$13,IF(AQ58=Цены!$H$14,Цены!$L$14,IF(AQ58=Цены!$H$14,Цены!$L$14,IF(AQ58=Цены!$H$15,Цены!$L$15,IF(AQ58=Цены!$H$16,Цены!$L$16,IF(AQ58=Цены!$H$17,Цены!$L$17,IF(AQ58=Цены!$H$18,Цены!$L$18,IF(AQ58=Цены!$H$19,Цены!$L$19,IF(AQ58=Цены!$H$20,Цены!$L$20,IF(AQ58=Цены!$H$21,Цены!$L$21,IF(AQ58=Цены!$H$22,Цены!$L$22,IF(AQ58=Цены!$H$23,Цены!$L$23,IF(AQ58=Цены!$H$24,Цены!$L$24,IF(AQ58=Цены!$H$25,Цены!$L$25,IF(AQ58=Цены!$H$26,Цены!$L$26,IF(AQ58=Цены!$H$27,Цены!$L$27,IF(AQ58=Цены!$H$28,Цены!$L$28,IF(AQ58=Цены!$H$29,Цены!$L$29,IF(AQ58=Цены!$H$30,Цены!$L$30,IF(AQ58=Цены!$H$31,Цены!$L$31,IF(AQ58=Цены!$H$32,Цены!$L$32,IF(AQ58=Цены!$H$33,Цены!$L$33,IF(AQ58=Цены!$H$34,Цены!$L$34,IF(AQ58=Цены!$H$35,Цены!$L$35,IF(AQ58=Цены!$H$36,Цены!$L$36,IF(AQ58=Цены!$H$37,Цены!$L$37,IF(AQ58=Цены!$H$38,Цены!$L$38,IF(AQ58=Цены!$H$39,Цены!$L$39,IF(AQ58=Цены!$H$40,Цены!$L$40,IF(AQ58=Цены!$H$41,Цены!$L$41,IF(AQ58=Цены!$H$42,Цены!$L$42,IF(AQ58=Цены!$H$43,Цены!$L$43,IF(AQ58=Цены!$H$44,Цены!$L$44,IF(AQ58=Цены!$H$45,Цены!$L$45,IF(AQ58=Цены!$H$46,Цены!$L$46,IF(AQ58=Цены!$H$47,Цены!$L$47,IF(AQ58=Цены!$H$48,Цены!$L$48,IF(AQ58=Цены!$H$49,Цены!$L$49,IF(AQ58=Цены!$H$50,Цены!$L$50,IF(AQ58=Цены!$H$51,Цены!$L$51,IF(AQ58=Цены!$H$52,Цены!$L$52,IF(AQ58=Цены!$H$53,Цены!$L$53,IF(AQ58=Цены!$H$54,Цены!$L$54,IF(AQ58=Цены!$H$55,Цены!$L$55))))))))))))))))))))))))))))))))))))))))))))))))))))))</f>
        <v>0</v>
      </c>
      <c r="AT58" s="271"/>
      <c r="AU58" s="81" t="b">
        <f>IF(AQ58=Цены!$H$3,Цены!$K$3,IF(AQ58=Цены!$H$4,Цены!$K$4,IF(AQ58=Цены!$H$5,Цены!$K$5,IF(AQ58=Цены!$H$6,Цены!$K$6,IF(AQ58=Цены!$H$7,Цены!$K$7,IF(AQ58=Цены!$H$8,Цены!$K$8,IF(AQ58=Цены!$H$9,Цены!$K$9,IF(AQ58=Цены!$H$10,Цены!$K$10,IF(AQ58=Цены!$H$11,Цены!$K$11,IF(AQ58=Цены!$H$12,Цены!$K$12,IF(AQ58=Цены!$H$13,Цены!$K$13,IF(AQ58=Цены!$H$14,Цены!$K$14,IF(AQ58=Цены!$H$14,Цены!$K$14,IF(AQ58=Цены!$H$15,Цены!$K$15,IF(AQ58=Цены!$H$16,Цены!$K$16,IF(AQ58=Цены!$H$17,Цены!$K$17,IF(AQ58=Цены!$H$18,Цены!$K$18,IF(AQ58=Цены!$H$19,Цены!$K$19,IF(AQ58=Цены!$H$20,Цены!$K$20,IF(AQ58=Цены!$H$21,Цены!$K$21,IF(AQ58=Цены!$H$22,Цены!$K$22,IF(AQ58=Цены!$H$23,Цены!$K$23,IF(AQ58=Цены!$H$24,Цены!$K$24,IF(AQ58=Цены!$H$25,Цены!$K$25,IF(AQ58=Цены!$H$26,Цены!$K$26,IF(AQ58=Цены!$H$27,Цены!$K$27,IF(AQ58=Цены!$H$28,Цены!$K$28,IF(AQ58=Цены!$H$29,Цены!$K$29,IF(AQ58=Цены!$H$30,Цены!$K$30,IF(AQ58=Цены!$H$31,Цены!$K$31,IF(AQ58=Цены!$H$32,Цены!$K$32,IF(AQ58=Цены!$H$33,Цены!$K$33,IF(AQ58=Цены!$H$34,Цены!$K$34,IF(AQ58=Цены!$H$35,Цены!$K$35,IF(AQ58=Цены!$H$36,Цены!$K$36,IF(AQ58=Цены!$H$37,Цены!$K$37,IF(AQ58=Цены!$H$38,Цены!$K$38,IF(AQ58=Цены!$H$39,Цены!$K$39,IF(AQ58=Цены!$H$40,Цены!$K$40,IF(AQ58=Цены!$H$41,Цены!$K$41,IF(AQ58=Цены!$H$42,Цены!$K$42,IF(AQ58=Цены!$H$43,Цены!$K$43,IF(AQ58=Цены!$H$44,Цены!$K$44,IF(AQ58=Цены!$H$45,Цены!$K$45,IF(AQ58=Цены!$H$46,Цены!$K$46,IF(AQ58=Цены!$H$47,Цены!$K$47,IF(AQ58=Цены!$H$48,Цены!$K$48,IF(AQ58=Цены!$H$49,Цены!$K$49,IF(AQ58=Цены!$H$50,Цены!$K$50,IF(AQ58=Цены!$H$51,Цены!$K$51,IF(AQ58=Цены!$H$52,Цены!$K$52,IF(AQ58=Цены!$H$53,Цены!$K$53,IF(AQ58=Цены!$H$54,Цены!$K$54,IF(AQ58=Цены!$H$55,Цены!$K$55))))))))))))))))))))))))))))))))))))))))))))))))))))))</f>
        <v>0</v>
      </c>
      <c r="AV58" s="265"/>
      <c r="AW58" s="265"/>
      <c r="AX58" s="274"/>
      <c r="AY58" s="304"/>
      <c r="AZ58" s="304"/>
      <c r="BA58" s="265"/>
      <c r="BB58" s="274"/>
      <c r="BC58" s="305"/>
      <c r="BD58" s="260"/>
      <c r="BE58" s="101"/>
      <c r="BF58" s="106"/>
      <c r="BG58" s="103" t="b">
        <f>IF(BE58=Цены!$H$3,Цены!$L$3,IF(BE58=Цены!$H$4,Цены!$L$4,IF(BE58=Цены!$H$5,Цены!$L$5,IF(BE58=Цены!$H$6,Цены!$L$6,IF(BE58=Цены!$H$7,Цены!$L$7,IF(BE58=Цены!$H$8,Цены!$L$8,IF(BE58=Цены!$H$9,Цены!$L$9,IF(BE58=Цены!$H$10,Цены!$L$10,IF(BE58=Цены!$H$11,Цены!$L$11,IF(BE58=Цены!$H$12,Цены!$L$12,IF(BE58=Цены!$H$13,Цены!$L$13,IF(BE58=Цены!$H$14,Цены!$L$14,IF(BE58=Цены!$H$14,Цены!$L$14,IF(BE58=Цены!$H$15,Цены!$L$15,IF(BE58=Цены!$H$16,Цены!$L$16,IF(BE58=Цены!$H$17,Цены!$L$17,IF(BE58=Цены!$H$18,Цены!$L$18,IF(BE58=Цены!$H$19,Цены!$L$19,IF(BE58=Цены!$H$20,Цены!$L$20,IF(BE58=Цены!$H$21,Цены!$L$21,IF(BE58=Цены!$H$22,Цены!$L$22,IF(BE58=Цены!$H$23,Цены!$L$23,IF(BE58=Цены!$H$24,Цены!$L$24,IF(BE58=Цены!$H$25,Цены!$L$25,IF(BE58=Цены!$H$26,Цены!$L$26,IF(BE58=Цены!$H$27,Цены!$L$27,IF(BE58=Цены!$H$28,Цены!$L$28,IF(BE58=Цены!$H$29,Цены!$L$29,IF(BE58=Цены!$H$30,Цены!$L$30,IF(BE58=Цены!$H$31,Цены!$L$31,IF(BE58=Цены!$H$32,Цены!$L$32,IF(BE58=Цены!$H$33,Цены!$L$33,IF(BE58=Цены!$H$34,Цены!$L$34,IF(BE58=Цены!$H$35,Цены!$L$35,IF(BE58=Цены!$H$36,Цены!$L$36,IF(BE58=Цены!$H$37,Цены!$L$37,IF(BE58=Цены!$H$38,Цены!$L$38,IF(BE58=Цены!$H$39,Цены!$L$39,IF(BE58=Цены!$H$40,Цены!$L$40,IF(BE58=Цены!$H$41,Цены!$L$41,IF(BE58=Цены!$H$42,Цены!$L$42,IF(BE58=Цены!$H$43,Цены!$L$43,IF(BE58=Цены!$H$44,Цены!$L$44,IF(BE58=Цены!$H$45,Цены!$L$45,IF(BE58=Цены!$H$46,Цены!$L$46,IF(BE58=Цены!$H$47,Цены!$L$47,IF(BE58=Цены!$H$48,Цены!$L$48,IF(BE58=Цены!$H$49,Цены!$L$49,IF(BE58=Цены!$H$50,Цены!$L$50,IF(BE58=Цены!$H$51,Цены!$L$51,IF(BE58=Цены!$H$52,Цены!$L$52,IF(BE58=Цены!$H$53,Цены!$L$53,IF(BE58=Цены!$H$54,Цены!$L$54,IF(BE58=Цены!$H$55,Цены!$L$55))))))))))))))))))))))))))))))))))))))))))))))))))))))</f>
        <v>0</v>
      </c>
      <c r="BH58" s="280"/>
      <c r="BI58" s="104" t="b">
        <f>IF(BE58=Цены!$H$3,Цены!$K$3,IF(BE58=Цены!$H$4,Цены!$K$4,IF(BE58=Цены!$H$5,Цены!$K$5,IF(BE58=Цены!$H$6,Цены!$K$6,IF(BE58=Цены!$H$7,Цены!$K$7,IF(BE58=Цены!$H$8,Цены!$K$8,IF(BE58=Цены!$H$9,Цены!$K$9,IF(BE58=Цены!$H$10,Цены!$K$10,IF(BE58=Цены!$H$11,Цены!$K$11,IF(BE58=Цены!$H$12,Цены!$K$12,IF(BE58=Цены!$H$13,Цены!$K$13,IF(BE58=Цены!$H$14,Цены!$K$14,IF(BE58=Цены!$H$14,Цены!$K$14,IF(BE58=Цены!$H$15,Цены!$K$15,IF(BE58=Цены!$H$16,Цены!$K$16,IF(BE58=Цены!$H$17,Цены!$K$17,IF(BE58=Цены!$H$18,Цены!$K$18,IF(BE58=Цены!$H$19,Цены!$K$19,IF(BE58=Цены!$H$20,Цены!$K$20,IF(BE58=Цены!$H$21,Цены!$K$21,IF(BE58=Цены!$H$22,Цены!$K$22,IF(BE58=Цены!$H$23,Цены!$K$23,IF(BE58=Цены!$H$24,Цены!$K$24,IF(BE58=Цены!$H$25,Цены!$K$25,IF(BE58=Цены!$H$26,Цены!$K$26,IF(BE58=Цены!$H$27,Цены!$K$27,IF(BE58=Цены!$H$28,Цены!$K$28,IF(BE58=Цены!$H$29,Цены!$K$29,IF(BE58=Цены!$H$30,Цены!$K$30,IF(BE58=Цены!$H$31,Цены!$K$31,IF(BE58=Цены!$H$32,Цены!$K$32,IF(BE58=Цены!$H$33,Цены!$K$33,IF(BE58=Цены!$H$34,Цены!$K$34,IF(BE58=Цены!$H$35,Цены!$K$35,IF(BE58=Цены!$H$36,Цены!$K$36,IF(BE58=Цены!$H$37,Цены!$K$37,IF(BE58=Цены!$H$38,Цены!$K$38,IF(BE58=Цены!$H$39,Цены!$K$39,IF(BE58=Цены!$H$40,Цены!$K$40,IF(BE58=Цены!$H$41,Цены!$K$41,IF(BE58=Цены!$H$42,Цены!$K$42,IF(BE58=Цены!$H$43,Цены!$K$43,IF(BE58=Цены!$H$44,Цены!$K$44,IF(BE58=Цены!$H$45,Цены!$K$45,IF(BE58=Цены!$H$46,Цены!$K$46,IF(BE58=Цены!$H$47,Цены!$K$47,IF(BE58=Цены!$H$48,Цены!$K$48,IF(BE58=Цены!$H$49,Цены!$K$49,IF(BE58=Цены!$H$50,Цены!$K$50,IF(BE58=Цены!$H$51,Цены!$K$51,IF(BE58=Цены!$H$52,Цены!$K$52,IF(BE58=Цены!$H$53,Цены!$K$53,IF(BE58=Цены!$H$54,Цены!$K$54,IF(BE58=Цены!$H$55,Цены!$K$55))))))))))))))))))))))))))))))))))))))))))))))))))))))</f>
        <v>0</v>
      </c>
      <c r="BJ58" s="265"/>
      <c r="BK58" s="265"/>
      <c r="BL58" s="281"/>
      <c r="BM58" s="292"/>
      <c r="BN58" s="292"/>
      <c r="BO58" s="268"/>
      <c r="BP58" s="281"/>
      <c r="BQ58" s="293"/>
      <c r="BR58" s="107"/>
      <c r="BS58" s="108"/>
      <c r="BT58" s="109" t="b">
        <f>IF(BR58=Цены!$H$3,Цены!$L$3,IF(BR58=Цены!$H$4,Цены!$L$4,IF(BR58=Цены!$H$5,Цены!$L$5,IF(BR58=Цены!$H$6,Цены!$L$6,IF(BR58=Цены!$H$7,Цены!$L$7,IF(BR58=Цены!$H$8,Цены!$L$8,IF(BR58=Цены!$H$9,Цены!$L$9,IF(BR58=Цены!$H$10,Цены!$L$10,IF(BR58=Цены!$H$11,Цены!$L$11,IF(BR58=Цены!$H$12,Цены!$L$12,IF(BR58=Цены!$H$13,Цены!$L$13,IF(BR58=Цены!$H$14,Цены!$L$14,IF(BR58=Цены!$H$14,Цены!$L$14,IF(BR58=Цены!$H$15,Цены!$L$15,IF(BR58=Цены!$H$16,Цены!$L$16,IF(BR58=Цены!$H$17,Цены!$L$17,IF(BR58=Цены!$H$18,Цены!$L$18,IF(BR58=Цены!$H$19,Цены!$L$19,IF(BR58=Цены!$H$20,Цены!$L$20,IF(BR58=Цены!$H$21,Цены!$L$21,IF(BR58=Цены!$H$22,Цены!$L$22,IF(BR58=Цены!$H$23,Цены!$L$23,IF(BR58=Цены!$H$24,Цены!$L$24,IF(BR58=Цены!$H$25,Цены!$L$25,IF(BR58=Цены!$H$26,Цены!$L$26,IF(BR58=Цены!$H$27,Цены!$L$27,IF(BR58=Цены!$H$28,Цены!$L$28,IF(BR58=Цены!$H$29,Цены!$L$29,IF(BR58=Цены!$H$30,Цены!$L$30,IF(BR58=Цены!$H$31,Цены!$L$31,IF(BR58=Цены!$H$32,Цены!$L$32,IF(BR58=Цены!$H$33,Цены!$L$33,IF(BR58=Цены!$H$34,Цены!$L$34,IF(BR58=Цены!$H$35,Цены!$L$35,IF(BR58=Цены!$H$36,Цены!$L$36,IF(BR58=Цены!$H$37,Цены!$L$37,IF(BR58=Цены!$H$38,Цены!$L$38,IF(BR58=Цены!$H$39,Цены!$L$39,IF(BR58=Цены!$H$40,Цены!$L$40,IF(BR58=Цены!$H$41,Цены!$L$41,IF(BR58=Цены!$H$42,Цены!$L$42,IF(BR58=Цены!$H$43,Цены!$L$43,IF(BR58=Цены!$H$44,Цены!$L$44,IF(BR58=Цены!$H$45,Цены!$L$45,IF(BR58=Цены!$H$46,Цены!$L$46,IF(BR58=Цены!$H$47,Цены!$L$47,IF(BR58=Цены!$H$48,Цены!$L$48,IF(BR58=Цены!$H$49,Цены!$L$49,IF(BR58=Цены!$H$50,Цены!$L$50,IF(BR58=Цены!$H$51,Цены!$L$51,IF(BR58=Цены!$H$52,Цены!$L$52,IF(BR58=Цены!$H$53,Цены!$L$53,IF(BR58=Цены!$H$54,Цены!$L$54,IF(BR58=Цены!$H$55,Цены!$L$55))))))))))))))))))))))))))))))))))))))))))))))))))))))</f>
        <v>0</v>
      </c>
      <c r="BU58" s="284"/>
      <c r="BV58" s="110" t="b">
        <f>IF(BR58=Цены!$H$3,Цены!$K$3,IF(BR58=Цены!$H$4,Цены!$K$4,IF(BR58=Цены!$H$5,Цены!$K$5,IF(BR58=Цены!$H$6,Цены!$K$6,IF(BR58=Цены!$H$7,Цены!$K$7,IF(BR58=Цены!$H$8,Цены!$K$8,IF(BR58=Цены!$H$9,Цены!$K$9,IF(BR58=Цены!$H$10,Цены!$K$10,IF(BR58=Цены!$H$11,Цены!$K$11,IF(BR58=Цены!$H$12,Цены!$K$12,IF(BR58=Цены!$H$13,Цены!$K$13,IF(BR58=Цены!$H$14,Цены!$K$14,IF(BR58=Цены!$H$14,Цены!$K$14,IF(BR58=Цены!$H$15,Цены!$K$15,IF(BR58=Цены!$H$16,Цены!$K$16,IF(BR58=Цены!$H$17,Цены!$K$17,IF(BR58=Цены!$H$18,Цены!$K$18,IF(BR58=Цены!$H$19,Цены!$K$19,IF(BR58=Цены!$H$20,Цены!$K$20,IF(BR58=Цены!$H$21,Цены!$K$21,IF(BR58=Цены!$H$22,Цены!$K$22,IF(BR58=Цены!$H$23,Цены!$K$23,IF(BR58=Цены!$H$24,Цены!$K$24,IF(BR58=Цены!$H$25,Цены!$K$25,IF(BR58=Цены!$H$26,Цены!$K$26,IF(BR58=Цены!$H$27,Цены!$K$27,IF(BR58=Цены!$H$28,Цены!$K$28,IF(BR58=Цены!$H$29,Цены!$K$29,IF(BR58=Цены!$H$30,Цены!$K$30,IF(BR58=Цены!$H$31,Цены!$K$31,IF(BR58=Цены!$H$32,Цены!$K$32,IF(BR58=Цены!$H$33,Цены!$K$33,IF(BR58=Цены!$H$34,Цены!$K$34,IF(BR58=Цены!$H$35,Цены!$K$35,IF(BR58=Цены!$H$36,Цены!$K$36,IF(BR58=Цены!$H$37,Цены!$K$37,IF(BR58=Цены!$H$38,Цены!$K$38,IF(BR58=Цены!$H$39,Цены!$K$39,IF(BR58=Цены!$H$40,Цены!$K$40,IF(BR58=Цены!$H$41,Цены!$K$41,IF(BR58=Цены!$H$42,Цены!$K$42,IF(BR58=Цены!$H$43,Цены!$K$43,IF(BR58=Цены!$H$44,Цены!$K$44,IF(BR58=Цены!$H$45,Цены!$K$45,IF(BR58=Цены!$H$46,Цены!$K$46,IF(BR58=Цены!$H$47,Цены!$K$47,IF(BR58=Цены!$H$48,Цены!$K$48,IF(BR58=Цены!$H$49,Цены!$K$49,IF(BR58=Цены!$H$50,Цены!$K$50,IF(BR58=Цены!$H$51,Цены!$K$51,IF(BR58=Цены!$H$52,Цены!$K$52,IF(BR58=Цены!$H$53,Цены!$K$53,IF(BR58=Цены!$H$54,Цены!$K$54,IF(BR58=Цены!$H$55,Цены!$K$55))))))))))))))))))))))))))))))))))))))))))))))))))))))</f>
        <v>0</v>
      </c>
      <c r="BW58" s="265"/>
      <c r="BX58" s="265"/>
      <c r="BY58" s="285"/>
      <c r="BZ58" s="290"/>
      <c r="CA58" s="290"/>
      <c r="CB58" s="268"/>
      <c r="CC58" s="285"/>
      <c r="CD58" s="291"/>
      <c r="CE58" s="119"/>
      <c r="CF58" s="112"/>
      <c r="CG58" s="113" t="b">
        <f>IF(CE58=Цены!$H$3,Цены!$L$3,IF(CE58=Цены!$H$4,Цены!$L$4,IF(CE58=Цены!$H$5,Цены!$L$5,IF(CE58=Цены!$H$6,Цены!$L$6,IF(CE58=Цены!$H$7,Цены!$L$7,IF(CE58=Цены!$H$8,Цены!$L$8,IF(CE58=Цены!$H$9,Цены!$L$9,IF(CE58=Цены!$H$10,Цены!$L$10,IF(CE58=Цены!$H$11,Цены!$L$11,IF(CE58=Цены!$H$12,Цены!$L$12,IF(CE58=Цены!$H$13,Цены!$L$13,IF(CE58=Цены!$H$14,Цены!$L$14,IF(CE58=Цены!$H$14,Цены!$L$14,IF(CE58=Цены!$H$15,Цены!$L$15,IF(CE58=Цены!$H$16,Цены!$L$16,IF(CE58=Цены!$H$17,Цены!$L$17,IF(CE58=Цены!$H$18,Цены!$L$18,IF(CE58=Цены!$H$19,Цены!$L$19,IF(CE58=Цены!$H$20,Цены!$L$20,IF(CE58=Цены!$H$21,Цены!$L$21,IF(CE58=Цены!$H$22,Цены!$L$22,IF(CE58=Цены!$H$23,Цены!$L$23,IF(CE58=Цены!$H$24,Цены!$L$24,IF(CE58=Цены!$H$25,Цены!$L$25,IF(CE58=Цены!$H$26,Цены!$L$26,IF(CE58=Цены!$H$27,Цены!$L$27,IF(CE58=Цены!$H$28,Цены!$L$28,IF(CE58=Цены!$H$29,Цены!$L$29,IF(CE58=Цены!$H$30,Цены!$L$30,IF(CE58=Цены!$H$31,Цены!$L$31,IF(CE58=Цены!$H$32,Цены!$L$32,IF(CE58=Цены!$H$33,Цены!$L$33,IF(CE58=Цены!$H$34,Цены!$L$34,IF(CE58=Цены!$H$35,Цены!$L$35,IF(CE58=Цены!$H$36,Цены!$L$36,IF(CE58=Цены!$H$37,Цены!$L$37,IF(CE58=Цены!$H$38,Цены!$L$38,IF(CE58=Цены!$H$39,Цены!$L$39,IF(CE58=Цены!$H$40,Цены!$L$40,IF(CE58=Цены!$H$41,Цены!$L$41,IF(CE58=Цены!$H$42,Цены!$L$42,IF(CE58=Цены!$H$43,Цены!$L$43,IF(CE58=Цены!$H$44,Цены!$L$44,IF(CE58=Цены!$H$45,Цены!$L$45,IF(CE58=Цены!$H$46,Цены!$L$46,IF(CE58=Цены!$H$47,Цены!$L$47,IF(CE58=Цены!$H$48,Цены!$L$48,IF(CE58=Цены!$H$49,Цены!$L$49,IF(CE58=Цены!$H$50,Цены!$L$50,IF(CE58=Цены!$H$51,Цены!$L$51,IF(CE58=Цены!$H$52,Цены!$L$52,IF(CE58=Цены!$H$53,Цены!$L$53,IF(CE58=Цены!$H$54,Цены!$L$54,IF(CE58=Цены!$H$55,Цены!$L$55))))))))))))))))))))))))))))))))))))))))))))))))))))))</f>
        <v>0</v>
      </c>
      <c r="CH58" s="282"/>
      <c r="CI58" s="114" t="b">
        <f>IF(CE58=Цены!$H$3,Цены!$K$3,IF(CE58=Цены!$H$4,Цены!$K$4,IF(CE58=Цены!$H$5,Цены!$K$5,IF(CE58=Цены!$H$6,Цены!$K$6,IF(CE58=Цены!$H$7,Цены!$K$7,IF(CE58=Цены!$H$8,Цены!$K$8,IF(CE58=Цены!$H$9,Цены!$K$9,IF(CE58=Цены!$H$10,Цены!$K$10,IF(CE58=Цены!$H$11,Цены!$K$11,IF(CE58=Цены!$H$12,Цены!$K$12,IF(CE58=Цены!$H$13,Цены!$K$13,IF(CE58=Цены!$H$14,Цены!$K$14,IF(CE58=Цены!$H$14,Цены!$K$14,IF(CE58=Цены!$H$15,Цены!$K$15,IF(CE58=Цены!$H$16,Цены!$K$16,IF(CE58=Цены!$H$17,Цены!$K$17,IF(CE58=Цены!$H$18,Цены!$K$18,IF(CE58=Цены!$H$19,Цены!$K$19,IF(CE58=Цены!$H$20,Цены!$K$20,IF(CE58=Цены!$H$21,Цены!$K$21,IF(CE58=Цены!$H$22,Цены!$K$22,IF(CE58=Цены!$H$23,Цены!$K$23,IF(CE58=Цены!$H$24,Цены!$K$24,IF(CE58=Цены!$H$25,Цены!$K$25,IF(CE58=Цены!$H$26,Цены!$K$26,IF(CE58=Цены!$H$27,Цены!$K$27,IF(CE58=Цены!$H$28,Цены!$K$28,IF(CE58=Цены!$H$29,Цены!$K$29,IF(CE58=Цены!$H$30,Цены!$K$30,IF(CE58=Цены!$H$31,Цены!$K$31,IF(CE58=Цены!$H$32,Цены!$K$32,IF(CE58=Цены!$H$33,Цены!$K$33,IF(CE58=Цены!$H$34,Цены!$K$34,IF(CE58=Цены!$H$35,Цены!$K$35,IF(CE58=Цены!$H$36,Цены!$K$36,IF(CE58=Цены!$H$37,Цены!$K$37,IF(CE58=Цены!$H$38,Цены!$K$38,IF(CE58=Цены!$H$39,Цены!$K$39,IF(CE58=Цены!$H$40,Цены!$K$40,IF(CE58=Цены!$H$41,Цены!$K$41,IF(CE58=Цены!$H$42,Цены!$K$42,IF(CE58=Цены!$H$43,Цены!$K$43,IF(CE58=Цены!$H$44,Цены!$K$44,IF(CE58=Цены!$H$45,Цены!$K$45,IF(CE58=Цены!$H$46,Цены!$K$46,IF(CE58=Цены!$H$47,Цены!$K$47,IF(CE58=Цены!$H$48,Цены!$K$48,IF(CE58=Цены!$H$49,Цены!$K$49,IF(CE58=Цены!$H$50,Цены!$K$50,IF(CE58=Цены!$H$51,Цены!$K$51,IF(CE58=Цены!$H$52,Цены!$K$52,IF(CE58=Цены!$H$53,Цены!$K$53,IF(CE58=Цены!$H$54,Цены!$K$54,IF(CE58=Цены!$H$55,Цены!$K$55))))))))))))))))))))))))))))))))))))))))))))))))))))))</f>
        <v>0</v>
      </c>
      <c r="CJ58" s="265"/>
      <c r="CK58" s="265"/>
      <c r="CL58" s="283"/>
      <c r="CM58" s="288"/>
      <c r="CN58" s="288"/>
      <c r="CO58" s="268"/>
      <c r="CP58" s="283"/>
      <c r="CQ58" s="289"/>
    </row>
    <row r="59" spans="1:95" ht="15.75" hidden="1" customHeight="1" x14ac:dyDescent="0.25">
      <c r="A59" s="340" t="s">
        <v>111</v>
      </c>
      <c r="B59" s="265" t="s">
        <v>112</v>
      </c>
      <c r="C59" s="265" t="s">
        <v>113</v>
      </c>
      <c r="D59" s="26" t="s">
        <v>62</v>
      </c>
      <c r="E59" s="25">
        <v>9</v>
      </c>
      <c r="F59" s="27" t="b">
        <f>IF(D59=Цены!$H$3,Цены!$L$3,IF(D59=Цены!$H$4,Цены!$L$4,IF(D59=Цены!$H$5,Цены!$L$5,IF(D59=Цены!$H$6,Цены!$L$6,IF(D59=Цены!$H$7,Цены!$L$7,IF(D59=Цены!$H$8,Цены!$L$8,IF(D59=Цены!$H$9,Цены!$L$9,IF(D59=Цены!$H$10,Цены!$L$10,IF(D59=Цены!$H$11,Цены!$L$11,IF(D59=Цены!$H$12,Цены!$L$12,IF(D59=Цены!$H$13,Цены!$L$13,IF(D59=Цены!$H$14,Цены!$L$14,IF(D59=Цены!$H$14,Цены!$L$14,IF(D59=Цены!$H$15,Цены!$L$15,IF(D59=Цены!$H$16,Цены!$L$16,IF(D59=Цены!$H$17,Цены!$L$17,IF(D59=Цены!$H$18,Цены!$L$18,IF(D59=Цены!$H$19,Цены!$L$19,IF(D59=Цены!$H$20,Цены!$L$20,IF(D59=Цены!$H$21,Цены!$L$21,IF(D59=Цены!$H$22,Цены!$L$22,IF(D59=Цены!$H$23,Цены!$L$23,IF(D59=Цены!$H$24,Цены!$L$24,IF(D59=Цены!$H$25,Цены!$L$25,IF(D59=Цены!$H$26,Цены!$L$26,IF(D59=Цены!$H$27,Цены!$L$27,IF(D59=Цены!$H$28,Цены!$L$28,IF(D59=Цены!$H$29,Цены!$L$29,IF(D59=Цены!$H$30,Цены!$L$30,IF(D59=Цены!$H$31,Цены!$L$31,IF(D59=Цены!$H$32,Цены!$L$32,IF(D59=Цены!$H$33,Цены!$L$33,IF(D59=Цены!$H$34,Цены!$L$34,IF(D59=Цены!$H$35,Цены!$L$35,IF(D59=Цены!$H$36,Цены!$L$36,IF(D59=Цены!$H$37,Цены!$L$37,IF(D59=Цены!$H$38,Цены!$L$38,IF(D59=Цены!$H$39,Цены!$L$39,IF(D59=Цены!$H$40,Цены!$L$40,IF(D59=Цены!$H$41,Цены!$L$41,IF(D59=Цены!$H$42,Цены!$L$42,IF(D59=Цены!$H$43,Цены!$L$43,IF(D59=Цены!$H$44,Цены!$L$44,IF(D59=Цены!$H$45,Цены!$L$45,IF(D59=Цены!$H$46,Цены!$L$46,IF(D59=Цены!$H$47,Цены!$L$47,IF(D59=Цены!$H$48,Цены!$L$48,IF(D59=Цены!$H$49,Цены!$L$49,IF(D59=Цены!$H$50,Цены!$L$50,IF(D59=Цены!$H$51,Цены!$L$51,IF(D59=Цены!$H$52,Цены!$L$52,IF(D59=Цены!$H$53,Цены!$L$53,IF(D59=Цены!$H$54,Цены!$L$54,IF(D59=Цены!$H$55,Цены!$L$55))))))))))))))))))))))))))))))))))))))))))))))))))))))</f>
        <v>0</v>
      </c>
      <c r="G59" s="309">
        <f>E59*F59+E60*F60+E61*F61+E62*F62</f>
        <v>6.4127999999999998</v>
      </c>
      <c r="H59" s="28" t="b">
        <f>IF(D59=Цены!$H$3,Цены!$K$3,IF(D59=Цены!$H$4,Цены!$K$4,IF(D59=Цены!$H$5,Цены!$K$5,IF(D59=Цены!$H$6,Цены!$K$6,IF(D59=Цены!$H$7,Цены!$K$7,IF(D59=Цены!$H$8,Цены!$K$8,IF(D59=Цены!$H$9,Цены!$K$9,IF(D59=Цены!$H$10,Цены!$K$10,IF(D59=Цены!$H$11,Цены!$K$11,IF(D59=Цены!$H$12,Цены!$K$12,IF(D59=Цены!$H$13,Цены!$K$13,IF(D59=Цены!$H$14,Цены!$K$14,IF(D59=Цены!$H$14,Цены!$K$14,IF(D59=Цены!$H$15,Цены!$K$15,IF(D59=Цены!$H$16,Цены!$K$16,IF(D59=Цены!$H$17,Цены!$K$17,IF(D59=Цены!$H$18,Цены!$K$18,IF(D59=Цены!$H$19,Цены!$K$19,IF(D59=Цены!$H$20,Цены!$K$20,IF(D59=Цены!$H$21,Цены!$K$21,IF(D59=Цены!$H$22,Цены!$K$22,IF(D59=Цены!$H$23,Цены!$K$23,IF(D59=Цены!$H$24,Цены!$K$24,IF(D59=Цены!$H$25,Цены!$K$25,IF(D59=Цены!$H$26,Цены!$K$26,IF(D59=Цены!$H$27,Цены!$K$27,IF(D59=Цены!$H$28,Цены!$K$28,IF(D59=Цены!$H$29,Цены!$K$29,IF(D59=Цены!$H$30,Цены!$K$30,IF(D59=Цены!$H$31,Цены!$K$31,IF(D59=Цены!$H$32,Цены!$K$32,IF(D59=Цены!$H$33,Цены!$K$33,IF(D59=Цены!$H$34,Цены!$K$34,IF(D59=Цены!$H$35,Цены!$K$35,IF(D59=Цены!$H$36,Цены!$K$36,IF(D59=Цены!$H$37,Цены!$K$37,IF(D59=Цены!$H$38,Цены!$K$38,IF(D59=Цены!$H$39,Цены!$K$39,IF(D59=Цены!$H$40,Цены!$K$40,IF(D59=Цены!$H$41,Цены!$K$41,IF(D59=Цены!$H$42,Цены!$K$42,IF(D59=Цены!$H$43,Цены!$K$43,IF(D59=Цены!$H$44,Цены!$K$44,IF(D59=Цены!$H$45,Цены!$K$45,IF(D59=Цены!$H$46,Цены!$K$46,IF(D59=Цены!$H$47,Цены!$K$47,IF(D59=Цены!$H$48,Цены!$K$48,IF(D59=Цены!$H$49,Цены!$K$49,IF(D59=Цены!$H$50,Цены!$K$50,IF(D59=Цены!$H$51,Цены!$K$51,IF(D59=Цены!$H$52,Цены!$K$52,IF(D59=Цены!$H$53,Цены!$K$53,IF(D59=Цены!$H$54,Цены!$K$54,IF(D59=Цены!$H$55,Цены!$K$55))))))))))))))))))))))))))))))))))))))))))))))))))))))</f>
        <v>0</v>
      </c>
      <c r="I59" s="265">
        <v>4</v>
      </c>
      <c r="J59" s="265">
        <v>800</v>
      </c>
      <c r="K59" s="310">
        <f t="shared" ref="K59" si="108">E59*H59+E60*H60+E61*H61+E62*H62</f>
        <v>4040</v>
      </c>
      <c r="L59" s="265">
        <f>$I$59*$J$59</f>
        <v>3200</v>
      </c>
      <c r="M59" s="310">
        <f t="shared" ref="M59" si="109">K59+L59</f>
        <v>7240</v>
      </c>
      <c r="N59" s="265">
        <f>I59*J59*1.1</f>
        <v>3520.0000000000005</v>
      </c>
      <c r="O59" s="310">
        <f>N59/M59*100</f>
        <v>48.618784530386741</v>
      </c>
      <c r="P59" s="313">
        <f>MROUND(M59+N59,500)</f>
        <v>11000</v>
      </c>
      <c r="Q59" s="123" t="s">
        <v>142</v>
      </c>
      <c r="R59" s="30">
        <v>10</v>
      </c>
      <c r="S59" s="27" t="b">
        <f>IF(Q59=Цены!$H$3,Цены!$L$3,IF(Q59=Цены!$H$4,Цены!$L$4,IF(Q59=Цены!$H$5,Цены!$L$5,IF(Q59=Цены!$H$6,Цены!$L$6,IF(Q59=Цены!$H$7,Цены!$L$7,IF(Q59=Цены!$H$8,Цены!$L$8,IF(Q59=Цены!$H$9,Цены!$L$9,IF(Q59=Цены!$H$10,Цены!$L$10,IF(Q59=Цены!$H$11,Цены!$L$11,IF(Q59=Цены!$H$12,Цены!$L$12,IF(Q59=Цены!$H$13,Цены!$L$13,IF(Q59=Цены!$H$14,Цены!$L$14,IF(Q59=Цены!$H$14,Цены!$L$14,IF(Q59=Цены!$H$15,Цены!$L$15,IF(Q59=Цены!$H$16,Цены!$L$16,IF(Q59=Цены!$H$17,Цены!$L$17,IF(Q59=Цены!$H$18,Цены!$L$18,IF(Q59=Цены!$H$19,Цены!$L$19,IF(Q59=Цены!$H$20,Цены!$L$20,IF(Q59=Цены!$H$21,Цены!$L$21,IF(Q59=Цены!$H$22,Цены!$L$22,IF(Q59=Цены!$H$23,Цены!$L$23,IF(Q59=Цены!$H$24,Цены!$L$24,IF(Q59=Цены!$H$25,Цены!$L$25,IF(Q59=Цены!$H$26,Цены!$L$26,IF(Q59=Цены!$H$27,Цены!$L$27,IF(Q59=Цены!$H$28,Цены!$L$28,IF(Q59=Цены!$H$29,Цены!$L$29,IF(Q59=Цены!$H$30,Цены!$L$30,IF(Q59=Цены!$H$31,Цены!$L$31,IF(Q59=Цены!$H$32,Цены!$L$32,IF(Q59=Цены!$H$33,Цены!$L$33,IF(Q59=Цены!$H$34,Цены!$L$34,IF(Q59=Цены!$H$35,Цены!$L$35,IF(Q59=Цены!$H$36,Цены!$L$36,IF(Q59=Цены!$H$37,Цены!$L$37,IF(Q59=Цены!$H$38,Цены!$L$38,IF(Q59=Цены!$H$39,Цены!$L$39,IF(Q59=Цены!$H$40,Цены!$L$40,IF(Q59=Цены!$H$41,Цены!$L$41,IF(Q59=Цены!$H$42,Цены!$L$42,IF(Q59=Цены!$H$43,Цены!$L$43,IF(Q59=Цены!$H$44,Цены!$L$44,IF(Q59=Цены!$H$45,Цены!$L$45,IF(Q59=Цены!$H$46,Цены!$L$46,IF(Q59=Цены!$H$47,Цены!$L$47,IF(Q59=Цены!$H$48,Цены!$L$48,IF(Q59=Цены!$H$49,Цены!$L$49,IF(Q59=Цены!$H$50,Цены!$L$50,IF(Q59=Цены!$H$51,Цены!$L$51,IF(Q59=Цены!$H$52,Цены!$L$52,IF(Q59=Цены!$H$53,Цены!$L$53,IF(Q59=Цены!$H$54,Цены!$L$54,IF(Q59=Цены!$H$55,Цены!$L$55))))))))))))))))))))))))))))))))))))))))))))))))))))))</f>
        <v>0</v>
      </c>
      <c r="T59" s="309">
        <f>R59*S59+R60*S60+R61*S61+R62*S62</f>
        <v>3.2</v>
      </c>
      <c r="U59" s="162" t="b">
        <f>IF(Q59=Цены!$H$3,Цены!$K$3,IF(Q59=Цены!$H$4,Цены!$K$4,IF(Q59=Цены!$H$5,Цены!$K$5,IF(Q59=Цены!$H$6,Цены!$K$6,IF(Q59=Цены!$H$7,Цены!$K$7,IF(Q59=Цены!$H$8,Цены!$K$8,IF(Q59=Цены!$H$9,Цены!$K$9,IF(Q59=Цены!$H$10,Цены!$K$10,IF(Q59=Цены!$H$11,Цены!$K$11,IF(Q59=Цены!$H$12,Цены!$K$12,IF(Q59=Цены!$H$13,Цены!$K$13,IF(Q59=Цены!$H$14,Цены!$K$14,IF(Q59=Цены!$H$14,Цены!$K$14,IF(Q59=Цены!$H$15,Цены!$K$15,IF(Q59=Цены!$H$16,Цены!$K$16,IF(Q59=Цены!$H$17,Цены!$K$17,IF(Q59=Цены!$H$18,Цены!$K$18,IF(Q59=Цены!$H$19,Цены!$K$19,IF(Q59=Цены!$H$20,Цены!$K$20,IF(Q59=Цены!$H$21,Цены!$K$21,IF(Q59=Цены!$H$22,Цены!$K$22,IF(Q59=Цены!$H$23,Цены!$K$23,IF(Q59=Цены!$H$24,Цены!$K$24,IF(Q59=Цены!$H$25,Цены!$K$25,IF(Q59=Цены!$H$26,Цены!$K$26,IF(Q59=Цены!$H$27,Цены!$K$27,IF(Q59=Цены!$H$28,Цены!$K$28,IF(Q59=Цены!$H$29,Цены!$K$29,IF(Q59=Цены!$H$30,Цены!$K$30,IF(Q59=Цены!$H$31,Цены!$K$31,IF(Q59=Цены!$H$32,Цены!$K$32,IF(Q59=Цены!$H$33,Цены!$K$33,IF(Q59=Цены!$H$34,Цены!$K$34,IF(Q59=Цены!$H$35,Цены!$K$35,IF(Q59=Цены!$H$36,Цены!$K$36,IF(Q59=Цены!$H$37,Цены!$K$37,IF(Q59=Цены!$H$38,Цены!$K$38,IF(Q59=Цены!$H$39,Цены!$K$39,IF(Q59=Цены!$H$40,Цены!$K$40,IF(Q59=Цены!$H$41,Цены!$K$41,IF(Q59=Цены!$H$42,Цены!$K$42,IF(Q59=Цены!$H$43,Цены!$K$43,IF(Q59=Цены!$H$44,Цены!$K$44,IF(Q59=Цены!$H$45,Цены!$K$45,IF(Q59=Цены!$H$46,Цены!$K$46,IF(Q59=Цены!$H$47,Цены!$K$47,IF(Q59=Цены!$H$48,Цены!$K$48,IF(Q59=Цены!$H$49,Цены!$K$49,IF(Q59=Цены!$H$50,Цены!$K$50,IF(Q59=Цены!$H$51,Цены!$K$51,IF(Q59=Цены!$H$52,Цены!$K$52,IF(Q59=Цены!$H$53,Цены!$K$53,IF(Q59=Цены!$H$54,Цены!$K$54,IF(Q59=Цены!$H$55,Цены!$K$55))))))))))))))))))))))))))))))))))))))))))))))))))))))</f>
        <v>0</v>
      </c>
      <c r="V59" s="265">
        <v>4</v>
      </c>
      <c r="W59" s="265">
        <v>800</v>
      </c>
      <c r="X59" s="310">
        <f>R59*U59+R60*U60+R61*U61+R62*U62</f>
        <v>1560</v>
      </c>
      <c r="Y59" s="265">
        <f>V59*W59</f>
        <v>3200</v>
      </c>
      <c r="Z59" s="310">
        <f>X59+Y59</f>
        <v>4760</v>
      </c>
      <c r="AA59" s="265">
        <f>V59*W59*1.1</f>
        <v>3520.0000000000005</v>
      </c>
      <c r="AB59" s="310">
        <f>AA59/Z59*100</f>
        <v>73.949579831932795</v>
      </c>
      <c r="AC59" s="313">
        <f>MROUND(Z59+AA59,500)</f>
        <v>8500</v>
      </c>
      <c r="AD59" s="134" t="s">
        <v>63</v>
      </c>
      <c r="AE59" s="30">
        <v>8</v>
      </c>
      <c r="AF59" s="27" t="b">
        <f>IF(AD59=Цены!$H$3,Цены!$L$3,IF(AD59=Цены!$H$4,Цены!$L$4,IF(AD59=Цены!$H$5,Цены!$L$5,IF(AD59=Цены!$H$6,Цены!$L$6,IF(AD59=Цены!$H$7,Цены!$L$7,IF(AD59=Цены!$H$8,Цены!$L$8,IF(AD59=Цены!$H$9,Цены!$L$9,IF(AD59=Цены!$H$10,Цены!$L$10,IF(AD59=Цены!$H$11,Цены!$L$11,IF(AD59=Цены!$H$12,Цены!$L$12,IF(AD59=Цены!$H$13,Цены!$L$13,IF(AD59=Цены!$H$14,Цены!$L$14,IF(AD59=Цены!$H$14,Цены!$L$14,IF(AD59=Цены!$H$15,Цены!$L$15,IF(AD59=Цены!$H$16,Цены!$L$16,IF(AD59=Цены!$H$17,Цены!$L$17,IF(AD59=Цены!$H$18,Цены!$L$18,IF(AD59=Цены!$H$19,Цены!$L$19,IF(AD59=Цены!$H$20,Цены!$L$20,IF(AD59=Цены!$H$21,Цены!$L$21,IF(AD59=Цены!$H$22,Цены!$L$22,IF(AD59=Цены!$H$23,Цены!$L$23,IF(AD59=Цены!$H$24,Цены!$L$24,IF(AD59=Цены!$H$25,Цены!$L$25,IF(AD59=Цены!$H$26,Цены!$L$26,IF(AD59=Цены!$H$27,Цены!$L$27,IF(AD59=Цены!$H$28,Цены!$L$28,IF(AD59=Цены!$H$29,Цены!$L$29,IF(AD59=Цены!$H$30,Цены!$L$30,IF(AD59=Цены!$H$31,Цены!$L$31,IF(AD59=Цены!$H$32,Цены!$L$32,IF(AD59=Цены!$H$33,Цены!$L$33,IF(AD59=Цены!$H$34,Цены!$L$34,IF(AD59=Цены!$H$35,Цены!$L$35,IF(AD59=Цены!$H$36,Цены!$L$36,IF(AD59=Цены!$H$37,Цены!$L$37,IF(AD59=Цены!$H$38,Цены!$L$38,IF(AD59=Цены!$H$39,Цены!$L$39,IF(AD59=Цены!$H$40,Цены!$L$40,IF(AD59=Цены!$H$41,Цены!$L$41,IF(AD59=Цены!$H$42,Цены!$L$42,IF(AD59=Цены!$H$43,Цены!$L$43,IF(AD59=Цены!$H$44,Цены!$L$44,IF(AD59=Цены!$H$45,Цены!$L$45,IF(AD59=Цены!$H$46,Цены!$L$46,IF(AD59=Цены!$H$47,Цены!$L$47,IF(AD59=Цены!$H$48,Цены!$L$48,IF(AD59=Цены!$H$49,Цены!$L$49,IF(AD59=Цены!$H$50,Цены!$L$50,IF(AD59=Цены!$H$51,Цены!$L$51,IF(AD59=Цены!$H$52,Цены!$L$52,IF(AD59=Цены!$H$53,Цены!$L$53,IF(AD59=Цены!$H$54,Цены!$L$54,IF(AD59=Цены!$H$55,Цены!$L$55))))))))))))))))))))))))))))))))))))))))))))))))))))))</f>
        <v>0</v>
      </c>
      <c r="AG59" s="309">
        <f>AE59*AF59+AE60*AF60+AE61*AF61+AE62*AF62</f>
        <v>15.479999999999999</v>
      </c>
      <c r="AH59" s="28" t="b">
        <f>IF(AD59=Цены!$H$3,Цены!$K$3,IF(AD59=Цены!$H$4,Цены!$K$4,IF(AD59=Цены!$H$5,Цены!$K$5,IF(AD59=Цены!$H$6,Цены!$K$6,IF(AD59=Цены!$H$7,Цены!$K$7,IF(AD59=Цены!$H$8,Цены!$K$8,IF(AD59=Цены!$H$9,Цены!$K$9,IF(AD59=Цены!$H$10,Цены!$K$10,IF(AD59=Цены!$H$11,Цены!$K$11,IF(AD59=Цены!$H$12,Цены!$K$12,IF(AD59=Цены!$H$13,Цены!$K$13,IF(AD59=Цены!$H$14,Цены!$K$14,IF(AD59=Цены!$H$14,Цены!$K$14,IF(AD59=Цены!$H$15,Цены!$K$15,IF(AD59=Цены!$H$16,Цены!$K$16,IF(AD59=Цены!$H$17,Цены!$K$17,IF(AD59=Цены!$H$18,Цены!$K$18,IF(AD59=Цены!$H$19,Цены!$K$19,IF(AD59=Цены!$H$20,Цены!$K$20,IF(AD59=Цены!$H$21,Цены!$K$21,IF(AD59=Цены!$H$22,Цены!$K$22,IF(AD59=Цены!$H$23,Цены!$K$23,IF(AD59=Цены!$H$24,Цены!$K$24,IF(AD59=Цены!$H$25,Цены!$K$25,IF(AD59=Цены!$H$26,Цены!$K$26,IF(AD59=Цены!$H$27,Цены!$K$27,IF(AD59=Цены!$H$28,Цены!$K$28,IF(AD59=Цены!$H$29,Цены!$K$29,IF(AD59=Цены!$H$30,Цены!$K$30,IF(AD59=Цены!$H$31,Цены!$K$31,IF(AD59=Цены!$H$32,Цены!$K$32,IF(AD59=Цены!$H$33,Цены!$K$33,IF(AD59=Цены!$H$34,Цены!$K$34,IF(AD59=Цены!$H$35,Цены!$K$35,IF(AD59=Цены!$H$36,Цены!$K$36,IF(AD59=Цены!$H$37,Цены!$K$37,IF(AD59=Цены!$H$38,Цены!$K$38,IF(AD59=Цены!$H$39,Цены!$K$39,IF(AD59=Цены!$H$40,Цены!$K$40,IF(AD59=Цены!$H$41,Цены!$K$41,IF(AD59=Цены!$H$42,Цены!$K$42,IF(AD59=Цены!$H$43,Цены!$K$43,IF(AD59=Цены!$H$44,Цены!$K$44,IF(AD59=Цены!$H$45,Цены!$K$45,IF(AD59=Цены!$H$46,Цены!$K$46,IF(AD59=Цены!$H$47,Цены!$K$47,IF(AD59=Цены!$H$48,Цены!$K$48,IF(AD59=Цены!$H$49,Цены!$K$49,IF(AD59=Цены!$H$50,Цены!$K$50,IF(AD59=Цены!$H$51,Цены!$K$51,IF(AD59=Цены!$H$52,Цены!$K$52,IF(AD59=Цены!$H$53,Цены!$K$53,IF(AD59=Цены!$H$54,Цены!$K$54,IF(AD59=Цены!$H$55,Цены!$K$55))))))))))))))))))))))))))))))))))))))))))))))))))))))</f>
        <v>0</v>
      </c>
      <c r="AI59" s="265">
        <v>7</v>
      </c>
      <c r="AJ59" s="265">
        <v>800</v>
      </c>
      <c r="AK59" s="310">
        <f>AE59*AH59+AE60*AH60+AE61*AH61+AE62*AH62</f>
        <v>6666</v>
      </c>
      <c r="AL59" s="265">
        <f>AI59*AJ59</f>
        <v>5600</v>
      </c>
      <c r="AM59" s="310">
        <f>AK59+AL59</f>
        <v>12266</v>
      </c>
      <c r="AN59" s="265">
        <f>AI59*AJ59*1.1</f>
        <v>6160.0000000000009</v>
      </c>
      <c r="AO59" s="310">
        <f>AN59/AM59*100</f>
        <v>50.22012065873146</v>
      </c>
      <c r="AP59" s="313">
        <f>MROUND(AM59+AN59,500)</f>
        <v>18500</v>
      </c>
      <c r="AQ59" s="123" t="s">
        <v>142</v>
      </c>
      <c r="AR59" s="129">
        <v>4</v>
      </c>
      <c r="AS59" s="33" t="b">
        <f>IF(AQ59=Цены!$H$3,Цены!$L$3,IF(AQ59=Цены!$H$4,Цены!$L$4,IF(AQ59=Цены!$H$5,Цены!$L$5,IF(AQ59=Цены!$H$6,Цены!$L$6,IF(AQ59=Цены!$H$7,Цены!$L$7,IF(AQ59=Цены!$H$8,Цены!$L$8,IF(AQ59=Цены!$H$9,Цены!$L$9,IF(AQ59=Цены!$H$10,Цены!$L$10,IF(AQ59=Цены!$H$11,Цены!$L$11,IF(AQ59=Цены!$H$12,Цены!$L$12,IF(AQ59=Цены!$H$13,Цены!$L$13,IF(AQ59=Цены!$H$14,Цены!$L$14,IF(AQ59=Цены!$H$14,Цены!$L$14,IF(AQ59=Цены!$H$15,Цены!$L$15,IF(AQ59=Цены!$H$16,Цены!$L$16,IF(AQ59=Цены!$H$17,Цены!$L$17,IF(AQ59=Цены!$H$18,Цены!$L$18,IF(AQ59=Цены!$H$19,Цены!$L$19,IF(AQ59=Цены!$H$20,Цены!$L$20,IF(AQ59=Цены!$H$21,Цены!$L$21,IF(AQ59=Цены!$H$22,Цены!$L$22,IF(AQ59=Цены!$H$23,Цены!$L$23,IF(AQ59=Цены!$H$24,Цены!$L$24,IF(AQ59=Цены!$H$25,Цены!$L$25,IF(AQ59=Цены!$H$26,Цены!$L$26,IF(AQ59=Цены!$H$27,Цены!$L$27,IF(AQ59=Цены!$H$28,Цены!$L$28,IF(AQ59=Цены!$H$29,Цены!$L$29,IF(AQ59=Цены!$H$30,Цены!$L$30,IF(AQ59=Цены!$H$31,Цены!$L$31,IF(AQ59=Цены!$H$32,Цены!$L$32,IF(AQ59=Цены!$H$33,Цены!$L$33,IF(AQ59=Цены!$H$34,Цены!$L$34,IF(AQ59=Цены!$H$35,Цены!$L$35,IF(AQ59=Цены!$H$36,Цены!$L$36,IF(AQ59=Цены!$H$37,Цены!$L$37,IF(AQ59=Цены!$H$38,Цены!$L$38,IF(AQ59=Цены!$H$39,Цены!$L$39,IF(AQ59=Цены!$H$40,Цены!$L$40,IF(AQ59=Цены!$H$41,Цены!$L$41,IF(AQ59=Цены!$H$42,Цены!$L$42,IF(AQ59=Цены!$H$43,Цены!$L$43,IF(AQ59=Цены!$H$44,Цены!$L$44,IF(AQ59=Цены!$H$45,Цены!$L$45,IF(AQ59=Цены!$H$46,Цены!$L$46,IF(AQ59=Цены!$H$47,Цены!$L$47,IF(AQ59=Цены!$H$48,Цены!$L$48,IF(AQ59=Цены!$H$49,Цены!$L$49,IF(AQ59=Цены!$H$50,Цены!$L$50,IF(AQ59=Цены!$H$51,Цены!$L$51,IF(AQ59=Цены!$H$52,Цены!$L$52,IF(AQ59=Цены!$H$53,Цены!$L$53,IF(AQ59=Цены!$H$54,Цены!$L$54,IF(AQ59=Цены!$H$55,Цены!$L$55))))))))))))))))))))))))))))))))))))))))))))))))))))))</f>
        <v>0</v>
      </c>
      <c r="AT59" s="276">
        <f>AR59*AS59+AR60*AS60+AR61*AS61+AR62*AS62</f>
        <v>0.57000000000000006</v>
      </c>
      <c r="AU59" s="34" t="b">
        <f>IF(AQ59=Цены!$H$3,Цены!$K$3,IF(AQ59=Цены!$H$4,Цены!$K$4,IF(AQ59=Цены!$H$5,Цены!$K$5,IF(AQ59=Цены!$H$6,Цены!$K$6,IF(AQ59=Цены!$H$7,Цены!$K$7,IF(AQ59=Цены!$H$8,Цены!$K$8,IF(AQ59=Цены!$H$9,Цены!$K$9,IF(AQ59=Цены!$H$10,Цены!$K$10,IF(AQ59=Цены!$H$11,Цены!$K$11,IF(AQ59=Цены!$H$12,Цены!$K$12,IF(AQ59=Цены!$H$13,Цены!$K$13,IF(AQ59=Цены!$H$14,Цены!$K$14,IF(AQ59=Цены!$H$14,Цены!$K$14,IF(AQ59=Цены!$H$15,Цены!$K$15,IF(AQ59=Цены!$H$16,Цены!$K$16,IF(AQ59=Цены!$H$17,Цены!$K$17,IF(AQ59=Цены!$H$18,Цены!$K$18,IF(AQ59=Цены!$H$19,Цены!$K$19,IF(AQ59=Цены!$H$20,Цены!$K$20,IF(AQ59=Цены!$H$21,Цены!$K$21,IF(AQ59=Цены!$H$22,Цены!$K$22,IF(AQ59=Цены!$H$23,Цены!$K$23,IF(AQ59=Цены!$H$24,Цены!$K$24,IF(AQ59=Цены!$H$25,Цены!$K$25,IF(AQ59=Цены!$H$26,Цены!$K$26,IF(AQ59=Цены!$H$27,Цены!$K$27,IF(AQ59=Цены!$H$28,Цены!$K$28,IF(AQ59=Цены!$H$29,Цены!$K$29,IF(AQ59=Цены!$H$30,Цены!$K$30,IF(AQ59=Цены!$H$31,Цены!$K$31,IF(AQ59=Цены!$H$32,Цены!$K$32,IF(AQ59=Цены!$H$33,Цены!$K$33,IF(AQ59=Цены!$H$34,Цены!$K$34,IF(AQ59=Цены!$H$35,Цены!$K$35,IF(AQ59=Цены!$H$36,Цены!$K$36,IF(AQ59=Цены!$H$37,Цены!$K$37,IF(AQ59=Цены!$H$38,Цены!$K$38,IF(AQ59=Цены!$H$39,Цены!$K$39,IF(AQ59=Цены!$H$40,Цены!$K$40,IF(AQ59=Цены!$H$41,Цены!$K$41,IF(AQ59=Цены!$H$42,Цены!$K$42,IF(AQ59=Цены!$H$43,Цены!$K$43,IF(AQ59=Цены!$H$44,Цены!$K$44,IF(AQ59=Цены!$H$45,Цены!$K$45,IF(AQ59=Цены!$H$46,Цены!$K$46,IF(AQ59=Цены!$H$47,Цены!$K$47,IF(AQ59=Цены!$H$48,Цены!$K$48,IF(AQ59=Цены!$H$49,Цены!$K$49,IF(AQ59=Цены!$H$50,Цены!$K$50,IF(AQ59=Цены!$H$51,Цены!$K$51,IF(AQ59=Цены!$H$52,Цены!$K$52,IF(AQ59=Цены!$H$53,Цены!$K$53,IF(AQ59=Цены!$H$54,Цены!$K$54,IF(AQ59=Цены!$H$55,Цены!$K$55))))))))))))))))))))))))))))))))))))))))))))))))))))))</f>
        <v>0</v>
      </c>
      <c r="AV59" s="265">
        <v>5.5</v>
      </c>
      <c r="AW59" s="265">
        <v>800</v>
      </c>
      <c r="AX59" s="269">
        <f>AR59*AU59+AR60*AU60+AR61*AU61+AR62*AU62</f>
        <v>1344</v>
      </c>
      <c r="AY59" s="286">
        <f>AV59*AW59</f>
        <v>4400</v>
      </c>
      <c r="AZ59" s="269">
        <f>AX59+AY59</f>
        <v>5744</v>
      </c>
      <c r="BA59" s="265">
        <f>AV59*AW59*1.1</f>
        <v>4840</v>
      </c>
      <c r="BB59" s="269">
        <f>BA59/AZ59*100</f>
        <v>84.261838440111418</v>
      </c>
      <c r="BC59" s="287">
        <f>MROUND(AZ59+BA59,500)</f>
        <v>10500</v>
      </c>
      <c r="BD59" s="258">
        <f t="shared" ref="BD59" si="110">BC59+CQ59</f>
        <v>14500</v>
      </c>
      <c r="BE59" s="123" t="s">
        <v>139</v>
      </c>
      <c r="BF59" s="71">
        <v>5</v>
      </c>
      <c r="BG59" s="33" t="b">
        <f>IF(BE59=Цены!$H$3,Цены!$L$3,IF(BE59=Цены!$H$4,Цены!$L$4,IF(BE59=Цены!$H$5,Цены!$L$5,IF(BE59=Цены!$H$6,Цены!$L$6,IF(BE59=Цены!$H$7,Цены!$L$7,IF(BE59=Цены!$H$8,Цены!$L$8,IF(BE59=Цены!$H$9,Цены!$L$9,IF(BE59=Цены!$H$10,Цены!$L$10,IF(BE59=Цены!$H$11,Цены!$L$11,IF(BE59=Цены!$H$12,Цены!$L$12,IF(BE59=Цены!$H$13,Цены!$L$13,IF(BE59=Цены!$H$14,Цены!$L$14,IF(BE59=Цены!$H$14,Цены!$L$14,IF(BE59=Цены!$H$15,Цены!$L$15,IF(BE59=Цены!$H$16,Цены!$L$16,IF(BE59=Цены!$H$17,Цены!$L$17,IF(BE59=Цены!$H$18,Цены!$L$18,IF(BE59=Цены!$H$19,Цены!$L$19,IF(BE59=Цены!$H$20,Цены!$L$20,IF(BE59=Цены!$H$21,Цены!$L$21,IF(BE59=Цены!$H$22,Цены!$L$22,IF(BE59=Цены!$H$23,Цены!$L$23,IF(BE59=Цены!$H$24,Цены!$L$24,IF(BE59=Цены!$H$25,Цены!$L$25,IF(BE59=Цены!$H$26,Цены!$L$26,IF(BE59=Цены!$H$27,Цены!$L$27,IF(BE59=Цены!$H$28,Цены!$L$28,IF(BE59=Цены!$H$29,Цены!$L$29,IF(BE59=Цены!$H$30,Цены!$L$30,IF(BE59=Цены!$H$31,Цены!$L$31,IF(BE59=Цены!$H$32,Цены!$L$32,IF(BE59=Цены!$H$33,Цены!$L$33,IF(BE59=Цены!$H$34,Цены!$L$34,IF(BE59=Цены!$H$35,Цены!$L$35,IF(BE59=Цены!$H$36,Цены!$L$36,IF(BE59=Цены!$H$37,Цены!$L$37,IF(BE59=Цены!$H$38,Цены!$L$38,IF(BE59=Цены!$H$39,Цены!$L$39,IF(BE59=Цены!$H$40,Цены!$L$40,IF(BE59=Цены!$H$41,Цены!$L$41,IF(BE59=Цены!$H$42,Цены!$L$42,IF(BE59=Цены!$H$43,Цены!$L$43,IF(BE59=Цены!$H$44,Цены!$L$44,IF(BE59=Цены!$H$45,Цены!$L$45,IF(BE59=Цены!$H$46,Цены!$L$46,IF(BE59=Цены!$H$47,Цены!$L$47,IF(BE59=Цены!$H$48,Цены!$L$48,IF(BE59=Цены!$H$49,Цены!$L$49,IF(BE59=Цены!$H$50,Цены!$L$50,IF(BE59=Цены!$H$51,Цены!$L$51,IF(BE59=Цены!$H$52,Цены!$L$52,IF(BE59=Цены!$H$53,Цены!$L$53,IF(BE59=Цены!$H$54,Цены!$L$54,IF(BE59=Цены!$H$55,Цены!$L$55))))))))))))))))))))))))))))))))))))))))))))))))))))))</f>
        <v>0</v>
      </c>
      <c r="BH59" s="276">
        <f>BF59*BG59+BF60*BG60+BF61*BG61+BF62*BG62</f>
        <v>0.76</v>
      </c>
      <c r="BI59" s="34" t="b">
        <f>IF(BE59=Цены!$H$3,Цены!$K$3,IF(BE59=Цены!$H$4,Цены!$K$4,IF(BE59=Цены!$H$5,Цены!$K$5,IF(BE59=Цены!$H$6,Цены!$K$6,IF(BE59=Цены!$H$7,Цены!$K$7,IF(BE59=Цены!$H$8,Цены!$K$8,IF(BE59=Цены!$H$9,Цены!$K$9,IF(BE59=Цены!$H$10,Цены!$K$10,IF(BE59=Цены!$H$11,Цены!$K$11,IF(BE59=Цены!$H$12,Цены!$K$12,IF(BE59=Цены!$H$13,Цены!$K$13,IF(BE59=Цены!$H$14,Цены!$K$14,IF(BE59=Цены!$H$14,Цены!$K$14,IF(BE59=Цены!$H$15,Цены!$K$15,IF(BE59=Цены!$H$16,Цены!$K$16,IF(BE59=Цены!$H$17,Цены!$K$17,IF(BE59=Цены!$H$18,Цены!$K$18,IF(BE59=Цены!$H$19,Цены!$K$19,IF(BE59=Цены!$H$20,Цены!$K$20,IF(BE59=Цены!$H$21,Цены!$K$21,IF(BE59=Цены!$H$22,Цены!$K$22,IF(BE59=Цены!$H$23,Цены!$K$23,IF(BE59=Цены!$H$24,Цены!$K$24,IF(BE59=Цены!$H$25,Цены!$K$25,IF(BE59=Цены!$H$26,Цены!$K$26,IF(BE59=Цены!$H$27,Цены!$K$27,IF(BE59=Цены!$H$28,Цены!$K$28,IF(BE59=Цены!$H$29,Цены!$K$29,IF(BE59=Цены!$H$30,Цены!$K$30,IF(BE59=Цены!$H$31,Цены!$K$31,IF(BE59=Цены!$H$32,Цены!$K$32,IF(BE59=Цены!$H$33,Цены!$K$33,IF(BE59=Цены!$H$34,Цены!$K$34,IF(BE59=Цены!$H$35,Цены!$K$35,IF(BE59=Цены!$H$36,Цены!$K$36,IF(BE59=Цены!$H$37,Цены!$K$37,IF(BE59=Цены!$H$38,Цены!$K$38,IF(BE59=Цены!$H$39,Цены!$K$39,IF(BE59=Цены!$H$40,Цены!$K$40,IF(BE59=Цены!$H$41,Цены!$K$41,IF(BE59=Цены!$H$42,Цены!$K$42,IF(BE59=Цены!$H$43,Цены!$K$43,IF(BE59=Цены!$H$44,Цены!$K$44,IF(BE59=Цены!$H$45,Цены!$K$45,IF(BE59=Цены!$H$46,Цены!$K$46,IF(BE59=Цены!$H$47,Цены!$K$47,IF(BE59=Цены!$H$48,Цены!$K$48,IF(BE59=Цены!$H$49,Цены!$K$49,IF(BE59=Цены!$H$50,Цены!$K$50,IF(BE59=Цены!$H$51,Цены!$K$51,IF(BE59=Цены!$H$52,Цены!$K$52,IF(BE59=Цены!$H$53,Цены!$K$53,IF(BE59=Цены!$H$54,Цены!$K$54,IF(BE59=Цены!$H$55,Цены!$K$55))))))))))))))))))))))))))))))))))))))))))))))))))))))</f>
        <v>0</v>
      </c>
      <c r="BJ59" s="265">
        <v>5</v>
      </c>
      <c r="BK59" s="265">
        <v>800</v>
      </c>
      <c r="BL59" s="269">
        <f>BF59*BI59+BF60*BI60+BF61*BI61+BF62*BI62</f>
        <v>1792</v>
      </c>
      <c r="BM59" s="286">
        <f>BJ59*BK59</f>
        <v>4000</v>
      </c>
      <c r="BN59" s="269">
        <f>BL59+BM59</f>
        <v>5792</v>
      </c>
      <c r="BO59" s="268">
        <f>BJ59*BK59*1.1</f>
        <v>4400</v>
      </c>
      <c r="BP59" s="269">
        <f>BO59/BN59*100</f>
        <v>75.966850828729278</v>
      </c>
      <c r="BQ59" s="287">
        <f>MROUND(BN59+BO59,500)</f>
        <v>10000</v>
      </c>
      <c r="BR59" s="134" t="s">
        <v>62</v>
      </c>
      <c r="BS59" s="43">
        <v>2</v>
      </c>
      <c r="BT59" s="33" t="b">
        <f>IF(BR59=Цены!$H$3,Цены!$L$3,IF(BR59=Цены!$H$4,Цены!$L$4,IF(BR59=Цены!$H$5,Цены!$L$5,IF(BR59=Цены!$H$6,Цены!$L$6,IF(BR59=Цены!$H$7,Цены!$L$7,IF(BR59=Цены!$H$8,Цены!$L$8,IF(BR59=Цены!$H$9,Цены!$L$9,IF(BR59=Цены!$H$10,Цены!$L$10,IF(BR59=Цены!$H$11,Цены!$L$11,IF(BR59=Цены!$H$12,Цены!$L$12,IF(BR59=Цены!$H$13,Цены!$L$13,IF(BR59=Цены!$H$14,Цены!$L$14,IF(BR59=Цены!$H$14,Цены!$L$14,IF(BR59=Цены!$H$15,Цены!$L$15,IF(BR59=Цены!$H$16,Цены!$L$16,IF(BR59=Цены!$H$17,Цены!$L$17,IF(BR59=Цены!$H$18,Цены!$L$18,IF(BR59=Цены!$H$19,Цены!$L$19,IF(BR59=Цены!$H$20,Цены!$L$20,IF(BR59=Цены!$H$21,Цены!$L$21,IF(BR59=Цены!$H$22,Цены!$L$22,IF(BR59=Цены!$H$23,Цены!$L$23,IF(BR59=Цены!$H$24,Цены!$L$24,IF(BR59=Цены!$H$25,Цены!$L$25,IF(BR59=Цены!$H$26,Цены!$L$26,IF(BR59=Цены!$H$27,Цены!$L$27,IF(BR59=Цены!$H$28,Цены!$L$28,IF(BR59=Цены!$H$29,Цены!$L$29,IF(BR59=Цены!$H$30,Цены!$L$30,IF(BR59=Цены!$H$31,Цены!$L$31,IF(BR59=Цены!$H$32,Цены!$L$32,IF(BR59=Цены!$H$33,Цены!$L$33,IF(BR59=Цены!$H$34,Цены!$L$34,IF(BR59=Цены!$H$35,Цены!$L$35,IF(BR59=Цены!$H$36,Цены!$L$36,IF(BR59=Цены!$H$37,Цены!$L$37,IF(BR59=Цены!$H$38,Цены!$L$38,IF(BR59=Цены!$H$39,Цены!$L$39,IF(BR59=Цены!$H$40,Цены!$L$40,IF(BR59=Цены!$H$41,Цены!$L$41,IF(BR59=Цены!$H$42,Цены!$L$42,IF(BR59=Цены!$H$43,Цены!$L$43,IF(BR59=Цены!$H$44,Цены!$L$44,IF(BR59=Цены!$H$45,Цены!$L$45,IF(BR59=Цены!$H$46,Цены!$L$46,IF(BR59=Цены!$H$47,Цены!$L$47,IF(BR59=Цены!$H$48,Цены!$L$48,IF(BR59=Цены!$H$49,Цены!$L$49,IF(BR59=Цены!$H$50,Цены!$L$50,IF(BR59=Цены!$H$51,Цены!$L$51,IF(BR59=Цены!$H$52,Цены!$L$52,IF(BR59=Цены!$H$53,Цены!$L$53,IF(BR59=Цены!$H$54,Цены!$L$54,IF(BR59=Цены!$H$55,Цены!$L$55))))))))))))))))))))))))))))))))))))))))))))))))))))))</f>
        <v>0</v>
      </c>
      <c r="BU59" s="276">
        <f>BS59*BT59+BS60*BT60+BS61*BT61+BS62*BT62</f>
        <v>1.2</v>
      </c>
      <c r="BV59" s="34" t="b">
        <f>IF(BR59=Цены!$H$3,Цены!$K$3,IF(BR59=Цены!$H$4,Цены!$K$4,IF(BR59=Цены!$H$5,Цены!$K$5,IF(BR59=Цены!$H$6,Цены!$K$6,IF(BR59=Цены!$H$7,Цены!$K$7,IF(BR59=Цены!$H$8,Цены!$K$8,IF(BR59=Цены!$H$9,Цены!$K$9,IF(BR59=Цены!$H$10,Цены!$K$10,IF(BR59=Цены!$H$11,Цены!$K$11,IF(BR59=Цены!$H$12,Цены!$K$12,IF(BR59=Цены!$H$13,Цены!$K$13,IF(BR59=Цены!$H$14,Цены!$K$14,IF(BR59=Цены!$H$14,Цены!$K$14,IF(BR59=Цены!$H$15,Цены!$K$15,IF(BR59=Цены!$H$16,Цены!$K$16,IF(BR59=Цены!$H$17,Цены!$K$17,IF(BR59=Цены!$H$18,Цены!$K$18,IF(BR59=Цены!$H$19,Цены!$K$19,IF(BR59=Цены!$H$20,Цены!$K$20,IF(BR59=Цены!$H$21,Цены!$K$21,IF(BR59=Цены!$H$22,Цены!$K$22,IF(BR59=Цены!$H$23,Цены!$K$23,IF(BR59=Цены!$H$24,Цены!$K$24,IF(BR59=Цены!$H$25,Цены!$K$25,IF(BR59=Цены!$H$26,Цены!$K$26,IF(BR59=Цены!$H$27,Цены!$K$27,IF(BR59=Цены!$H$28,Цены!$K$28,IF(BR59=Цены!$H$29,Цены!$K$29,IF(BR59=Цены!$H$30,Цены!$K$30,IF(BR59=Цены!$H$31,Цены!$K$31,IF(BR59=Цены!$H$32,Цены!$K$32,IF(BR59=Цены!$H$33,Цены!$K$33,IF(BR59=Цены!$H$34,Цены!$K$34,IF(BR59=Цены!$H$35,Цены!$K$35,IF(BR59=Цены!$H$36,Цены!$K$36,IF(BR59=Цены!$H$37,Цены!$K$37,IF(BR59=Цены!$H$38,Цены!$K$38,IF(BR59=Цены!$H$39,Цены!$K$39,IF(BR59=Цены!$H$40,Цены!$K$40,IF(BR59=Цены!$H$41,Цены!$K$41,IF(BR59=Цены!$H$42,Цены!$K$42,IF(BR59=Цены!$H$43,Цены!$K$43,IF(BR59=Цены!$H$44,Цены!$K$44,IF(BR59=Цены!$H$45,Цены!$K$45,IF(BR59=Цены!$H$46,Цены!$K$46,IF(BR59=Цены!$H$47,Цены!$K$47,IF(BR59=Цены!$H$48,Цены!$K$48,IF(BR59=Цены!$H$49,Цены!$K$49,IF(BR59=Цены!$H$50,Цены!$K$50,IF(BR59=Цены!$H$51,Цены!$K$51,IF(BR59=Цены!$H$52,Цены!$K$52,IF(BR59=Цены!$H$53,Цены!$K$53,IF(BR59=Цены!$H$54,Цены!$K$54,IF(BR59=Цены!$H$55,Цены!$K$55))))))))))))))))))))))))))))))))))))))))))))))))))))))</f>
        <v>0</v>
      </c>
      <c r="BW59" s="265">
        <v>1</v>
      </c>
      <c r="BX59" s="265">
        <v>800</v>
      </c>
      <c r="BY59" s="269">
        <f>BS59*BV59+BS60*BV60+BS61*BV61+BS62*BV62</f>
        <v>332</v>
      </c>
      <c r="BZ59" s="286">
        <f>BW59*BX59</f>
        <v>800</v>
      </c>
      <c r="CA59" s="269">
        <f>BY59+BZ59</f>
        <v>1132</v>
      </c>
      <c r="CB59" s="268">
        <f>BW59*BX59*1.1</f>
        <v>880.00000000000011</v>
      </c>
      <c r="CC59" s="269">
        <f>CB59/CA59*100</f>
        <v>77.738515901060083</v>
      </c>
      <c r="CD59" s="287">
        <f>MROUND(CA59+CB59,500)</f>
        <v>2000</v>
      </c>
      <c r="CE59" s="117" t="s">
        <v>62</v>
      </c>
      <c r="CF59" s="43">
        <v>3</v>
      </c>
      <c r="CG59" s="33" t="b">
        <f>IF(CE59=Цены!$H$3,Цены!$L$3,IF(CE59=Цены!$H$4,Цены!$L$4,IF(CE59=Цены!$H$5,Цены!$L$5,IF(CE59=Цены!$H$6,Цены!$L$6,IF(CE59=Цены!$H$7,Цены!$L$7,IF(CE59=Цены!$H$8,Цены!$L$8,IF(CE59=Цены!$H$9,Цены!$L$9,IF(CE59=Цены!$H$10,Цены!$L$10,IF(CE59=Цены!$H$11,Цены!$L$11,IF(CE59=Цены!$H$12,Цены!$L$12,IF(CE59=Цены!$H$13,Цены!$L$13,IF(CE59=Цены!$H$14,Цены!$L$14,IF(CE59=Цены!$H$14,Цены!$L$14,IF(CE59=Цены!$H$15,Цены!$L$15,IF(CE59=Цены!$H$16,Цены!$L$16,IF(CE59=Цены!$H$17,Цены!$L$17,IF(CE59=Цены!$H$18,Цены!$L$18,IF(CE59=Цены!$H$19,Цены!$L$19,IF(CE59=Цены!$H$20,Цены!$L$20,IF(CE59=Цены!$H$21,Цены!$L$21,IF(CE59=Цены!$H$22,Цены!$L$22,IF(CE59=Цены!$H$23,Цены!$L$23,IF(CE59=Цены!$H$24,Цены!$L$24,IF(CE59=Цены!$H$25,Цены!$L$25,IF(CE59=Цены!$H$26,Цены!$L$26,IF(CE59=Цены!$H$27,Цены!$L$27,IF(CE59=Цены!$H$28,Цены!$L$28,IF(CE59=Цены!$H$29,Цены!$L$29,IF(CE59=Цены!$H$30,Цены!$L$30,IF(CE59=Цены!$H$31,Цены!$L$31,IF(CE59=Цены!$H$32,Цены!$L$32,IF(CE59=Цены!$H$33,Цены!$L$33,IF(CE59=Цены!$H$34,Цены!$L$34,IF(CE59=Цены!$H$35,Цены!$L$35,IF(CE59=Цены!$H$36,Цены!$L$36,IF(CE59=Цены!$H$37,Цены!$L$37,IF(CE59=Цены!$H$38,Цены!$L$38,IF(CE59=Цены!$H$39,Цены!$L$39,IF(CE59=Цены!$H$40,Цены!$L$40,IF(CE59=Цены!$H$41,Цены!$L$41,IF(CE59=Цены!$H$42,Цены!$L$42,IF(CE59=Цены!$H$43,Цены!$L$43,IF(CE59=Цены!$H$44,Цены!$L$44,IF(CE59=Цены!$H$45,Цены!$L$45,IF(CE59=Цены!$H$46,Цены!$L$46,IF(CE59=Цены!$H$47,Цены!$L$47,IF(CE59=Цены!$H$48,Цены!$L$48,IF(CE59=Цены!$H$49,Цены!$L$49,IF(CE59=Цены!$H$50,Цены!$L$50,IF(CE59=Цены!$H$51,Цены!$L$51,IF(CE59=Цены!$H$52,Цены!$L$52,IF(CE59=Цены!$H$53,Цены!$L$53,IF(CE59=Цены!$H$54,Цены!$L$54,IF(CE59=Цены!$H$55,Цены!$L$55))))))))))))))))))))))))))))))))))))))))))))))))))))))</f>
        <v>0</v>
      </c>
      <c r="CH59" s="276">
        <f>CF59*CG59+CF60*CG60+CF61*CG61+CF62*CG62</f>
        <v>1.8263999999999998</v>
      </c>
      <c r="CI59" s="34" t="b">
        <f>IF(CE59=Цены!$H$3,Цены!$K$3,IF(CE59=Цены!$H$4,Цены!$K$4,IF(CE59=Цены!$H$5,Цены!$K$5,IF(CE59=Цены!$H$6,Цены!$K$6,IF(CE59=Цены!$H$7,Цены!$K$7,IF(CE59=Цены!$H$8,Цены!$K$8,IF(CE59=Цены!$H$9,Цены!$K$9,IF(CE59=Цены!$H$10,Цены!$K$10,IF(CE59=Цены!$H$11,Цены!$K$11,IF(CE59=Цены!$H$12,Цены!$K$12,IF(CE59=Цены!$H$13,Цены!$K$13,IF(CE59=Цены!$H$14,Цены!$K$14,IF(CE59=Цены!$H$14,Цены!$K$14,IF(CE59=Цены!$H$15,Цены!$K$15,IF(CE59=Цены!$H$16,Цены!$K$16,IF(CE59=Цены!$H$17,Цены!$K$17,IF(CE59=Цены!$H$18,Цены!$K$18,IF(CE59=Цены!$H$19,Цены!$K$19,IF(CE59=Цены!$H$20,Цены!$K$20,IF(CE59=Цены!$H$21,Цены!$K$21,IF(CE59=Цены!$H$22,Цены!$K$22,IF(CE59=Цены!$H$23,Цены!$K$23,IF(CE59=Цены!$H$24,Цены!$K$24,IF(CE59=Цены!$H$25,Цены!$K$25,IF(CE59=Цены!$H$26,Цены!$K$26,IF(CE59=Цены!$H$27,Цены!$K$27,IF(CE59=Цены!$H$28,Цены!$K$28,IF(CE59=Цены!$H$29,Цены!$K$29,IF(CE59=Цены!$H$30,Цены!$K$30,IF(CE59=Цены!$H$31,Цены!$K$31,IF(CE59=Цены!$H$32,Цены!$K$32,IF(CE59=Цены!$H$33,Цены!$K$33,IF(CE59=Цены!$H$34,Цены!$K$34,IF(CE59=Цены!$H$35,Цены!$K$35,IF(CE59=Цены!$H$36,Цены!$K$36,IF(CE59=Цены!$H$37,Цены!$K$37,IF(CE59=Цены!$H$38,Цены!$K$38,IF(CE59=Цены!$H$39,Цены!$K$39,IF(CE59=Цены!$H$40,Цены!$K$40,IF(CE59=Цены!$H$41,Цены!$K$41,IF(CE59=Цены!$H$42,Цены!$K$42,IF(CE59=Цены!$H$43,Цены!$K$43,IF(CE59=Цены!$H$44,Цены!$K$44,IF(CE59=Цены!$H$45,Цены!$K$45,IF(CE59=Цены!$H$46,Цены!$K$46,IF(CE59=Цены!$H$47,Цены!$K$47,IF(CE59=Цены!$H$48,Цены!$K$48,IF(CE59=Цены!$H$49,Цены!$K$49,IF(CE59=Цены!$H$50,Цены!$K$50,IF(CE59=Цены!$H$51,Цены!$K$51,IF(CE59=Цены!$H$52,Цены!$K$52,IF(CE59=Цены!$H$53,Цены!$K$53,IF(CE59=Цены!$H$54,Цены!$K$54,IF(CE59=Цены!$H$55,Цены!$K$55))))))))))))))))))))))))))))))))))))))))))))))))))))))</f>
        <v>0</v>
      </c>
      <c r="CJ59" s="265">
        <v>2</v>
      </c>
      <c r="CK59" s="265">
        <v>800</v>
      </c>
      <c r="CL59" s="269">
        <f>CF59*CI59+CF60*CI60+CF61*CI61+CF62*CI62</f>
        <v>606</v>
      </c>
      <c r="CM59" s="286">
        <f>CJ59*CK59</f>
        <v>1600</v>
      </c>
      <c r="CN59" s="269">
        <f>CL59+CM59</f>
        <v>2206</v>
      </c>
      <c r="CO59" s="268">
        <f>CJ59*CK59*1.1</f>
        <v>1760.0000000000002</v>
      </c>
      <c r="CP59" s="269">
        <f>CO59/CN59*100</f>
        <v>79.782411604714426</v>
      </c>
      <c r="CQ59" s="287">
        <f>MROUND(CN59+CO59,500)</f>
        <v>4000</v>
      </c>
    </row>
    <row r="60" spans="1:95" ht="15.75" hidden="1" customHeight="1" x14ac:dyDescent="0.25">
      <c r="A60" s="341"/>
      <c r="B60" s="265"/>
      <c r="C60" s="265"/>
      <c r="D60" s="26" t="s">
        <v>122</v>
      </c>
      <c r="E60" s="25">
        <v>8</v>
      </c>
      <c r="F60" s="27">
        <f>IF(D60=Цены!$H$3,Цены!$L$3,IF(D60=Цены!$H$4,Цены!$L$4,IF(D60=Цены!$H$5,Цены!$L$5,IF(D60=Цены!$H$6,Цены!$L$6,IF(D60=Цены!$H$7,Цены!$L$7,IF(D60=Цены!$H$8,Цены!$L$8,IF(D60=Цены!$H$9,Цены!$L$9,IF(D60=Цены!$H$10,Цены!$L$10,IF(D60=Цены!$H$11,Цены!$L$11,IF(D60=Цены!$H$12,Цены!$L$12,IF(D60=Цены!$H$13,Цены!$L$13,IF(D60=Цены!$H$14,Цены!$L$14,IF(D60=Цены!$H$14,Цены!$L$14,IF(D60=Цены!$H$15,Цены!$L$15,IF(D60=Цены!$H$16,Цены!$L$16,IF(D60=Цены!$H$17,Цены!$L$17,IF(D60=Цены!$H$18,Цены!$L$18,IF(D60=Цены!$H$19,Цены!$L$19,IF(D60=Цены!$H$20,Цены!$L$20,IF(D60=Цены!$H$21,Цены!$L$21,IF(D60=Цены!$H$22,Цены!$L$22,IF(D60=Цены!$H$23,Цены!$L$23,IF(D60=Цены!$H$24,Цены!$L$24,IF(D60=Цены!$H$25,Цены!$L$25,IF(D60=Цены!$H$26,Цены!$L$26,IF(D60=Цены!$H$27,Цены!$L$27,IF(D60=Цены!$H$28,Цены!$L$28,IF(D60=Цены!$H$29,Цены!$L$29,IF(D60=Цены!$H$30,Цены!$L$30,IF(D60=Цены!$H$31,Цены!$L$31,IF(D60=Цены!$H$32,Цены!$L$32,IF(D60=Цены!$H$33,Цены!$L$33,IF(D60=Цены!$H$34,Цены!$L$34,IF(D60=Цены!$H$35,Цены!$L$35,IF(D60=Цены!$H$36,Цены!$L$36,IF(D60=Цены!$H$37,Цены!$L$37,IF(D60=Цены!$H$38,Цены!$L$38,IF(D60=Цены!$H$39,Цены!$L$39,IF(D60=Цены!$H$40,Цены!$L$40,IF(D60=Цены!$H$41,Цены!$L$41,IF(D60=Цены!$H$42,Цены!$L$42,IF(D60=Цены!$H$43,Цены!$L$43,IF(D60=Цены!$H$44,Цены!$L$44,IF(D60=Цены!$H$45,Цены!$L$45,IF(D60=Цены!$H$46,Цены!$L$46,IF(D60=Цены!$H$47,Цены!$L$47,IF(D60=Цены!$H$48,Цены!$L$48,IF(D60=Цены!$H$49,Цены!$L$49,IF(D60=Цены!$H$50,Цены!$L$50,IF(D60=Цены!$H$51,Цены!$L$51,IF(D60=Цены!$H$52,Цены!$L$52,IF(D60=Цены!$H$53,Цены!$L$53,IF(D60=Цены!$H$54,Цены!$L$54,IF(D60=Цены!$H$55,Цены!$L$55))))))))))))))))))))))))))))))))))))))))))))))))))))))</f>
        <v>0.6</v>
      </c>
      <c r="G60" s="309"/>
      <c r="H60" s="28">
        <f>IF(D60=Цены!$H$3,Цены!$K$3,IF(D60=Цены!$H$4,Цены!$K$4,IF(D60=Цены!$H$5,Цены!$K$5,IF(D60=Цены!$H$6,Цены!$K$6,IF(D60=Цены!$H$7,Цены!$K$7,IF(D60=Цены!$H$8,Цены!$K$8,IF(D60=Цены!$H$9,Цены!$K$9,IF(D60=Цены!$H$10,Цены!$K$10,IF(D60=Цены!$H$11,Цены!$K$11,IF(D60=Цены!$H$12,Цены!$K$12,IF(D60=Цены!$H$13,Цены!$K$13,IF(D60=Цены!$H$14,Цены!$K$14,IF(D60=Цены!$H$14,Цены!$K$14,IF(D60=Цены!$H$15,Цены!$K$15,IF(D60=Цены!$H$16,Цены!$K$16,IF(D60=Цены!$H$17,Цены!$K$17,IF(D60=Цены!$H$18,Цены!$K$18,IF(D60=Цены!$H$19,Цены!$K$19,IF(D60=Цены!$H$20,Цены!$K$20,IF(D60=Цены!$H$21,Цены!$K$21,IF(D60=Цены!$H$22,Цены!$K$22,IF(D60=Цены!$H$23,Цены!$K$23,IF(D60=Цены!$H$24,Цены!$K$24,IF(D60=Цены!$H$25,Цены!$K$25,IF(D60=Цены!$H$26,Цены!$K$26,IF(D60=Цены!$H$27,Цены!$K$27,IF(D60=Цены!$H$28,Цены!$K$28,IF(D60=Цены!$H$29,Цены!$K$29,IF(D60=Цены!$H$30,Цены!$K$30,IF(D60=Цены!$H$31,Цены!$K$31,IF(D60=Цены!$H$32,Цены!$K$32,IF(D60=Цены!$H$33,Цены!$K$33,IF(D60=Цены!$H$34,Цены!$K$34,IF(D60=Цены!$H$35,Цены!$K$35,IF(D60=Цены!$H$36,Цены!$K$36,IF(D60=Цены!$H$37,Цены!$K$37,IF(D60=Цены!$H$38,Цены!$K$38,IF(D60=Цены!$H$39,Цены!$K$39,IF(D60=Цены!$H$40,Цены!$K$40,IF(D60=Цены!$H$41,Цены!$K$41,IF(D60=Цены!$H$42,Цены!$K$42,IF(D60=Цены!$H$43,Цены!$K$43,IF(D60=Цены!$H$44,Цены!$K$44,IF(D60=Цены!$H$45,Цены!$K$45,IF(D60=Цены!$H$46,Цены!$K$46,IF(D60=Цены!$H$47,Цены!$K$47,IF(D60=Цены!$H$48,Цены!$K$48,IF(D60=Цены!$H$49,Цены!$K$49,IF(D60=Цены!$H$50,Цены!$K$50,IF(D60=Цены!$H$51,Цены!$K$51,IF(D60=Цены!$H$52,Цены!$K$52,IF(D60=Цены!$H$53,Цены!$K$53,IF(D60=Цены!$H$54,Цены!$K$54,IF(D60=Цены!$H$55,Цены!$K$55))))))))))))))))))))))))))))))))))))))))))))))))))))))</f>
        <v>166</v>
      </c>
      <c r="I60" s="265"/>
      <c r="J60" s="265"/>
      <c r="K60" s="310"/>
      <c r="L60" s="265"/>
      <c r="M60" s="265"/>
      <c r="N60" s="265"/>
      <c r="O60" s="310"/>
      <c r="P60" s="313"/>
      <c r="Q60" s="123" t="s">
        <v>80</v>
      </c>
      <c r="R60" s="30">
        <v>5</v>
      </c>
      <c r="S60" s="27">
        <f>IF(Q60=Цены!$H$3,Цены!$L$3,IF(Q60=Цены!$H$4,Цены!$L$4,IF(Q60=Цены!$H$5,Цены!$L$5,IF(Q60=Цены!$H$6,Цены!$L$6,IF(Q60=Цены!$H$7,Цены!$L$7,IF(Q60=Цены!$H$8,Цены!$L$8,IF(Q60=Цены!$H$9,Цены!$L$9,IF(Q60=Цены!$H$10,Цены!$L$10,IF(Q60=Цены!$H$11,Цены!$L$11,IF(Q60=Цены!$H$12,Цены!$L$12,IF(Q60=Цены!$H$13,Цены!$L$13,IF(Q60=Цены!$H$14,Цены!$L$14,IF(Q60=Цены!$H$14,Цены!$L$14,IF(Q60=Цены!$H$15,Цены!$L$15,IF(Q60=Цены!$H$16,Цены!$L$16,IF(Q60=Цены!$H$17,Цены!$L$17,IF(Q60=Цены!$H$18,Цены!$L$18,IF(Q60=Цены!$H$19,Цены!$L$19,IF(Q60=Цены!$H$20,Цены!$L$20,IF(Q60=Цены!$H$21,Цены!$L$21,IF(Q60=Цены!$H$22,Цены!$L$22,IF(Q60=Цены!$H$23,Цены!$L$23,IF(Q60=Цены!$H$24,Цены!$L$24,IF(Q60=Цены!$H$25,Цены!$L$25,IF(Q60=Цены!$H$26,Цены!$L$26,IF(Q60=Цены!$H$27,Цены!$L$27,IF(Q60=Цены!$H$28,Цены!$L$28,IF(Q60=Цены!$H$29,Цены!$L$29,IF(Q60=Цены!$H$30,Цены!$L$30,IF(Q60=Цены!$H$31,Цены!$L$31,IF(Q60=Цены!$H$32,Цены!$L$32,IF(Q60=Цены!$H$33,Цены!$L$33,IF(Q60=Цены!$H$34,Цены!$L$34,IF(Q60=Цены!$H$35,Цены!$L$35,IF(Q60=Цены!$H$36,Цены!$L$36,IF(Q60=Цены!$H$37,Цены!$L$37,IF(Q60=Цены!$H$38,Цены!$L$38,IF(Q60=Цены!$H$39,Цены!$L$39,IF(Q60=Цены!$H$40,Цены!$L$40,IF(Q60=Цены!$H$41,Цены!$L$41,IF(Q60=Цены!$H$42,Цены!$L$42,IF(Q60=Цены!$H$43,Цены!$L$43,IF(Q60=Цены!$H$44,Цены!$L$44,IF(Q60=Цены!$H$45,Цены!$L$45,IF(Q60=Цены!$H$46,Цены!$L$46,IF(Q60=Цены!$H$47,Цены!$L$47,IF(Q60=Цены!$H$48,Цены!$L$48,IF(Q60=Цены!$H$49,Цены!$L$49,IF(Q60=Цены!$H$50,Цены!$L$50,IF(Q60=Цены!$H$51,Цены!$L$51,IF(Q60=Цены!$H$52,Цены!$L$52,IF(Q60=Цены!$H$53,Цены!$L$53,IF(Q60=Цены!$H$54,Цены!$L$54,IF(Q60=Цены!$H$55,Цены!$L$55))))))))))))))))))))))))))))))))))))))))))))))))))))))</f>
        <v>0.64</v>
      </c>
      <c r="T60" s="309"/>
      <c r="U60" s="162">
        <f>IF(Q60=Цены!$H$3,Цены!$K$3,IF(Q60=Цены!$H$4,Цены!$K$4,IF(Q60=Цены!$H$5,Цены!$K$5,IF(Q60=Цены!$H$6,Цены!$K$6,IF(Q60=Цены!$H$7,Цены!$K$7,IF(Q60=Цены!$H$8,Цены!$K$8,IF(Q60=Цены!$H$9,Цены!$K$9,IF(Q60=Цены!$H$10,Цены!$K$10,IF(Q60=Цены!$H$11,Цены!$K$11,IF(Q60=Цены!$H$12,Цены!$K$12,IF(Q60=Цены!$H$13,Цены!$K$13,IF(Q60=Цены!$H$14,Цены!$K$14,IF(Q60=Цены!$H$14,Цены!$K$14,IF(Q60=Цены!$H$15,Цены!$K$15,IF(Q60=Цены!$H$16,Цены!$K$16,IF(Q60=Цены!$H$17,Цены!$K$17,IF(Q60=Цены!$H$18,Цены!$K$18,IF(Q60=Цены!$H$19,Цены!$K$19,IF(Q60=Цены!$H$20,Цены!$K$20,IF(Q60=Цены!$H$21,Цены!$K$21,IF(Q60=Цены!$H$22,Цены!$K$22,IF(Q60=Цены!$H$23,Цены!$K$23,IF(Q60=Цены!$H$24,Цены!$K$24,IF(Q60=Цены!$H$25,Цены!$K$25,IF(Q60=Цены!$H$26,Цены!$K$26,IF(Q60=Цены!$H$27,Цены!$K$27,IF(Q60=Цены!$H$28,Цены!$K$28,IF(Q60=Цены!$H$29,Цены!$K$29,IF(Q60=Цены!$H$30,Цены!$K$30,IF(Q60=Цены!$H$31,Цены!$K$31,IF(Q60=Цены!$H$32,Цены!$K$32,IF(Q60=Цены!$H$33,Цены!$K$33,IF(Q60=Цены!$H$34,Цены!$K$34,IF(Q60=Цены!$H$35,Цены!$K$35,IF(Q60=Цены!$H$36,Цены!$K$36,IF(Q60=Цены!$H$37,Цены!$K$37,IF(Q60=Цены!$H$38,Цены!$K$38,IF(Q60=Цены!$H$39,Цены!$K$39,IF(Q60=Цены!$H$40,Цены!$K$40,IF(Q60=Цены!$H$41,Цены!$K$41,IF(Q60=Цены!$H$42,Цены!$K$42,IF(Q60=Цены!$H$43,Цены!$K$43,IF(Q60=Цены!$H$44,Цены!$K$44,IF(Q60=Цены!$H$45,Цены!$K$45,IF(Q60=Цены!$H$46,Цены!$K$46,IF(Q60=Цены!$H$47,Цены!$K$47,IF(Q60=Цены!$H$48,Цены!$K$48,IF(Q60=Цены!$H$49,Цены!$K$49,IF(Q60=Цены!$H$50,Цены!$K$50,IF(Q60=Цены!$H$51,Цены!$K$51,IF(Q60=Цены!$H$52,Цены!$K$52,IF(Q60=Цены!$H$53,Цены!$K$53,IF(Q60=Цены!$H$54,Цены!$K$54,IF(Q60=Цены!$H$55,Цены!$K$55))))))))))))))))))))))))))))))))))))))))))))))))))))))</f>
        <v>312</v>
      </c>
      <c r="V60" s="265"/>
      <c r="W60" s="265"/>
      <c r="X60" s="310"/>
      <c r="Y60" s="265"/>
      <c r="Z60" s="265"/>
      <c r="AA60" s="265"/>
      <c r="AB60" s="310"/>
      <c r="AC60" s="313"/>
      <c r="AD60" s="35" t="s">
        <v>64</v>
      </c>
      <c r="AE60" s="30">
        <v>4</v>
      </c>
      <c r="AF60" s="27">
        <f>IF(AD60=Цены!$H$3,Цены!$L$3,IF(AD60=Цены!$H$4,Цены!$L$4,IF(AD60=Цены!$H$5,Цены!$L$5,IF(AD60=Цены!$H$6,Цены!$L$6,IF(AD60=Цены!$H$7,Цены!$L$7,IF(AD60=Цены!$H$8,Цены!$L$8,IF(AD60=Цены!$H$9,Цены!$L$9,IF(AD60=Цены!$H$10,Цены!$L$10,IF(AD60=Цены!$H$11,Цены!$L$11,IF(AD60=Цены!$H$12,Цены!$L$12,IF(AD60=Цены!$H$13,Цены!$L$13,IF(AD60=Цены!$H$14,Цены!$L$14,IF(AD60=Цены!$H$14,Цены!$L$14,IF(AD60=Цены!$H$15,Цены!$L$15,IF(AD60=Цены!$H$16,Цены!$L$16,IF(AD60=Цены!$H$17,Цены!$L$17,IF(AD60=Цены!$H$18,Цены!$L$18,IF(AD60=Цены!$H$19,Цены!$L$19,IF(AD60=Цены!$H$20,Цены!$L$20,IF(AD60=Цены!$H$21,Цены!$L$21,IF(AD60=Цены!$H$22,Цены!$L$22,IF(AD60=Цены!$H$23,Цены!$L$23,IF(AD60=Цены!$H$24,Цены!$L$24,IF(AD60=Цены!$H$25,Цены!$L$25,IF(AD60=Цены!$H$26,Цены!$L$26,IF(AD60=Цены!$H$27,Цены!$L$27,IF(AD60=Цены!$H$28,Цены!$L$28,IF(AD60=Цены!$H$29,Цены!$L$29,IF(AD60=Цены!$H$30,Цены!$L$30,IF(AD60=Цены!$H$31,Цены!$L$31,IF(AD60=Цены!$H$32,Цены!$L$32,IF(AD60=Цены!$H$33,Цены!$L$33,IF(AD60=Цены!$H$34,Цены!$L$34,IF(AD60=Цены!$H$35,Цены!$L$35,IF(AD60=Цены!$H$36,Цены!$L$36,IF(AD60=Цены!$H$37,Цены!$L$37,IF(AD60=Цены!$H$38,Цены!$L$38,IF(AD60=Цены!$H$39,Цены!$L$39,IF(AD60=Цены!$H$40,Цены!$L$40,IF(AD60=Цены!$H$41,Цены!$L$41,IF(AD60=Цены!$H$42,Цены!$L$42,IF(AD60=Цены!$H$43,Цены!$L$43,IF(AD60=Цены!$H$44,Цены!$L$44,IF(AD60=Цены!$H$45,Цены!$L$45,IF(AD60=Цены!$H$46,Цены!$L$46,IF(AD60=Цены!$H$47,Цены!$L$47,IF(AD60=Цены!$H$48,Цены!$L$48,IF(AD60=Цены!$H$49,Цены!$L$49,IF(AD60=Цены!$H$50,Цены!$L$50,IF(AD60=Цены!$H$51,Цены!$L$51,IF(AD60=Цены!$H$52,Цены!$L$52,IF(AD60=Цены!$H$53,Цены!$L$53,IF(AD60=Цены!$H$54,Цены!$L$54,IF(AD60=Цены!$H$55,Цены!$L$55))))))))))))))))))))))))))))))))))))))))))))))))))))))</f>
        <v>2.34</v>
      </c>
      <c r="AG60" s="309"/>
      <c r="AH60" s="28">
        <f>IF(AD60=Цены!$H$3,Цены!$K$3,IF(AD60=Цены!$H$4,Цены!$K$4,IF(AD60=Цены!$H$5,Цены!$K$5,IF(AD60=Цены!$H$6,Цены!$K$6,IF(AD60=Цены!$H$7,Цены!$K$7,IF(AD60=Цены!$H$8,Цены!$K$8,IF(AD60=Цены!$H$9,Цены!$K$9,IF(AD60=Цены!$H$10,Цены!$K$10,IF(AD60=Цены!$H$11,Цены!$K$11,IF(AD60=Цены!$H$12,Цены!$K$12,IF(AD60=Цены!$H$13,Цены!$K$13,IF(AD60=Цены!$H$14,Цены!$K$14,IF(AD60=Цены!$H$14,Цены!$K$14,IF(AD60=Цены!$H$15,Цены!$K$15,IF(AD60=Цены!$H$16,Цены!$K$16,IF(AD60=Цены!$H$17,Цены!$K$17,IF(AD60=Цены!$H$18,Цены!$K$18,IF(AD60=Цены!$H$19,Цены!$K$19,IF(AD60=Цены!$H$20,Цены!$K$20,IF(AD60=Цены!$H$21,Цены!$K$21,IF(AD60=Цены!$H$22,Цены!$K$22,IF(AD60=Цены!$H$23,Цены!$K$23,IF(AD60=Цены!$H$24,Цены!$K$24,IF(AD60=Цены!$H$25,Цены!$K$25,IF(AD60=Цены!$H$26,Цены!$K$26,IF(AD60=Цены!$H$27,Цены!$K$27,IF(AD60=Цены!$H$28,Цены!$K$28,IF(AD60=Цены!$H$29,Цены!$K$29,IF(AD60=Цены!$H$30,Цены!$K$30,IF(AD60=Цены!$H$31,Цены!$K$31,IF(AD60=Цены!$H$32,Цены!$K$32,IF(AD60=Цены!$H$33,Цены!$K$33,IF(AD60=Цены!$H$34,Цены!$K$34,IF(AD60=Цены!$H$35,Цены!$K$35,IF(AD60=Цены!$H$36,Цены!$K$36,IF(AD60=Цены!$H$37,Цены!$K$37,IF(AD60=Цены!$H$38,Цены!$K$38,IF(AD60=Цены!$H$39,Цены!$K$39,IF(AD60=Цены!$H$40,Цены!$K$40,IF(AD60=Цены!$H$41,Цены!$K$41,IF(AD60=Цены!$H$42,Цены!$K$42,IF(AD60=Цены!$H$43,Цены!$K$43,IF(AD60=Цены!$H$44,Цены!$K$44,IF(AD60=Цены!$H$45,Цены!$K$45,IF(AD60=Цены!$H$46,Цены!$K$46,IF(AD60=Цены!$H$47,Цены!$K$47,IF(AD60=Цены!$H$48,Цены!$K$48,IF(AD60=Цены!$H$49,Цены!$K$49,IF(AD60=Цены!$H$50,Цены!$K$50,IF(AD60=Цены!$H$51,Цены!$K$51,IF(AD60=Цены!$H$52,Цены!$K$52,IF(AD60=Цены!$H$53,Цены!$K$53,IF(AD60=Цены!$H$54,Цены!$K$54,IF(AD60=Цены!$H$55,Цены!$K$55))))))))))))))))))))))))))))))))))))))))))))))))))))))</f>
        <v>370.5</v>
      </c>
      <c r="AI60" s="265"/>
      <c r="AJ60" s="265"/>
      <c r="AK60" s="310"/>
      <c r="AL60" s="265"/>
      <c r="AM60" s="265"/>
      <c r="AN60" s="265"/>
      <c r="AO60" s="310"/>
      <c r="AP60" s="313"/>
      <c r="AQ60" s="123" t="s">
        <v>144</v>
      </c>
      <c r="AR60" s="129">
        <v>3</v>
      </c>
      <c r="AS60" s="33">
        <f>IF(AQ60=Цены!$H$3,Цены!$L$3,IF(AQ60=Цены!$H$4,Цены!$L$4,IF(AQ60=Цены!$H$5,Цены!$L$5,IF(AQ60=Цены!$H$6,Цены!$L$6,IF(AQ60=Цены!$H$7,Цены!$L$7,IF(AQ60=Цены!$H$8,Цены!$L$8,IF(AQ60=Цены!$H$9,Цены!$L$9,IF(AQ60=Цены!$H$10,Цены!$L$10,IF(AQ60=Цены!$H$11,Цены!$L$11,IF(AQ60=Цены!$H$12,Цены!$L$12,IF(AQ60=Цены!$H$13,Цены!$L$13,IF(AQ60=Цены!$H$14,Цены!$L$14,IF(AQ60=Цены!$H$14,Цены!$L$14,IF(AQ60=Цены!$H$15,Цены!$L$15,IF(AQ60=Цены!$H$16,Цены!$L$16,IF(AQ60=Цены!$H$17,Цены!$L$17,IF(AQ60=Цены!$H$18,Цены!$L$18,IF(AQ60=Цены!$H$19,Цены!$L$19,IF(AQ60=Цены!$H$20,Цены!$L$20,IF(AQ60=Цены!$H$21,Цены!$L$21,IF(AQ60=Цены!$H$22,Цены!$L$22,IF(AQ60=Цены!$H$23,Цены!$L$23,IF(AQ60=Цены!$H$24,Цены!$L$24,IF(AQ60=Цены!$H$25,Цены!$L$25,IF(AQ60=Цены!$H$26,Цены!$L$26,IF(AQ60=Цены!$H$27,Цены!$L$27,IF(AQ60=Цены!$H$28,Цены!$L$28,IF(AQ60=Цены!$H$29,Цены!$L$29,IF(AQ60=Цены!$H$30,Цены!$L$30,IF(AQ60=Цены!$H$31,Цены!$L$31,IF(AQ60=Цены!$H$32,Цены!$L$32,IF(AQ60=Цены!$H$33,Цены!$L$33,IF(AQ60=Цены!$H$34,Цены!$L$34,IF(AQ60=Цены!$H$35,Цены!$L$35,IF(AQ60=Цены!$H$36,Цены!$L$36,IF(AQ60=Цены!$H$37,Цены!$L$37,IF(AQ60=Цены!$H$38,Цены!$L$38,IF(AQ60=Цены!$H$39,Цены!$L$39,IF(AQ60=Цены!$H$40,Цены!$L$40,IF(AQ60=Цены!$H$41,Цены!$L$41,IF(AQ60=Цены!$H$42,Цены!$L$42,IF(AQ60=Цены!$H$43,Цены!$L$43,IF(AQ60=Цены!$H$44,Цены!$L$44,IF(AQ60=Цены!$H$45,Цены!$L$45,IF(AQ60=Цены!$H$46,Цены!$L$46,IF(AQ60=Цены!$H$47,Цены!$L$47,IF(AQ60=Цены!$H$48,Цены!$L$48,IF(AQ60=Цены!$H$49,Цены!$L$49,IF(AQ60=Цены!$H$50,Цены!$L$50,IF(AQ60=Цены!$H$51,Цены!$L$51,IF(AQ60=Цены!$H$52,Цены!$L$52,IF(AQ60=Цены!$H$53,Цены!$L$53,IF(AQ60=Цены!$H$54,Цены!$L$54,IF(AQ60=Цены!$H$55,Цены!$L$55))))))))))))))))))))))))))))))))))))))))))))))))))))))</f>
        <v>0.19</v>
      </c>
      <c r="AT60" s="276"/>
      <c r="AU60" s="34">
        <f>IF(AQ60=Цены!$H$3,Цены!$K$3,IF(AQ60=Цены!$H$4,Цены!$K$4,IF(AQ60=Цены!$H$5,Цены!$K$5,IF(AQ60=Цены!$H$6,Цены!$K$6,IF(AQ60=Цены!$H$7,Цены!$K$7,IF(AQ60=Цены!$H$8,Цены!$K$8,IF(AQ60=Цены!$H$9,Цены!$K$9,IF(AQ60=Цены!$H$10,Цены!$K$10,IF(AQ60=Цены!$H$11,Цены!$K$11,IF(AQ60=Цены!$H$12,Цены!$K$12,IF(AQ60=Цены!$H$13,Цены!$K$13,IF(AQ60=Цены!$H$14,Цены!$K$14,IF(AQ60=Цены!$H$14,Цены!$K$14,IF(AQ60=Цены!$H$15,Цены!$K$15,IF(AQ60=Цены!$H$16,Цены!$K$16,IF(AQ60=Цены!$H$17,Цены!$K$17,IF(AQ60=Цены!$H$18,Цены!$K$18,IF(AQ60=Цены!$H$19,Цены!$K$19,IF(AQ60=Цены!$H$20,Цены!$K$20,IF(AQ60=Цены!$H$21,Цены!$K$21,IF(AQ60=Цены!$H$22,Цены!$K$22,IF(AQ60=Цены!$H$23,Цены!$K$23,IF(AQ60=Цены!$H$24,Цены!$K$24,IF(AQ60=Цены!$H$25,Цены!$K$25,IF(AQ60=Цены!$H$26,Цены!$K$26,IF(AQ60=Цены!$H$27,Цены!$K$27,IF(AQ60=Цены!$H$28,Цены!$K$28,IF(AQ60=Цены!$H$29,Цены!$K$29,IF(AQ60=Цены!$H$30,Цены!$K$30,IF(AQ60=Цены!$H$31,Цены!$K$31,IF(AQ60=Цены!$H$32,Цены!$K$32,IF(AQ60=Цены!$H$33,Цены!$K$33,IF(AQ60=Цены!$H$34,Цены!$K$34,IF(AQ60=Цены!$H$35,Цены!$K$35,IF(AQ60=Цены!$H$36,Цены!$K$36,IF(AQ60=Цены!$H$37,Цены!$K$37,IF(AQ60=Цены!$H$38,Цены!$K$38,IF(AQ60=Цены!$H$39,Цены!$K$39,IF(AQ60=Цены!$H$40,Цены!$K$40,IF(AQ60=Цены!$H$41,Цены!$K$41,IF(AQ60=Цены!$H$42,Цены!$K$42,IF(AQ60=Цены!$H$43,Цены!$K$43,IF(AQ60=Цены!$H$44,Цены!$K$44,IF(AQ60=Цены!$H$45,Цены!$K$45,IF(AQ60=Цены!$H$46,Цены!$K$46,IF(AQ60=Цены!$H$47,Цены!$K$47,IF(AQ60=Цены!$H$48,Цены!$K$48,IF(AQ60=Цены!$H$49,Цены!$K$49,IF(AQ60=Цены!$H$50,Цены!$K$50,IF(AQ60=Цены!$H$51,Цены!$K$51,IF(AQ60=Цены!$H$52,Цены!$K$52,IF(AQ60=Цены!$H$53,Цены!$K$53,IF(AQ60=Цены!$H$54,Цены!$K$54,IF(AQ60=Цены!$H$55,Цены!$K$55))))))))))))))))))))))))))))))))))))))))))))))))))))))</f>
        <v>448</v>
      </c>
      <c r="AV60" s="265"/>
      <c r="AW60" s="265"/>
      <c r="AX60" s="269"/>
      <c r="AY60" s="286"/>
      <c r="AZ60" s="286"/>
      <c r="BA60" s="265"/>
      <c r="BB60" s="269"/>
      <c r="BC60" s="287"/>
      <c r="BD60" s="259"/>
      <c r="BE60" s="123" t="s">
        <v>144</v>
      </c>
      <c r="BF60" s="71">
        <v>4</v>
      </c>
      <c r="BG60" s="33">
        <f>IF(BE60=Цены!$H$3,Цены!$L$3,IF(BE60=Цены!$H$4,Цены!$L$4,IF(BE60=Цены!$H$5,Цены!$L$5,IF(BE60=Цены!$H$6,Цены!$L$6,IF(BE60=Цены!$H$7,Цены!$L$7,IF(BE60=Цены!$H$8,Цены!$L$8,IF(BE60=Цены!$H$9,Цены!$L$9,IF(BE60=Цены!$H$10,Цены!$L$10,IF(BE60=Цены!$H$11,Цены!$L$11,IF(BE60=Цены!$H$12,Цены!$L$12,IF(BE60=Цены!$H$13,Цены!$L$13,IF(BE60=Цены!$H$14,Цены!$L$14,IF(BE60=Цены!$H$14,Цены!$L$14,IF(BE60=Цены!$H$15,Цены!$L$15,IF(BE60=Цены!$H$16,Цены!$L$16,IF(BE60=Цены!$H$17,Цены!$L$17,IF(BE60=Цены!$H$18,Цены!$L$18,IF(BE60=Цены!$H$19,Цены!$L$19,IF(BE60=Цены!$H$20,Цены!$L$20,IF(BE60=Цены!$H$21,Цены!$L$21,IF(BE60=Цены!$H$22,Цены!$L$22,IF(BE60=Цены!$H$23,Цены!$L$23,IF(BE60=Цены!$H$24,Цены!$L$24,IF(BE60=Цены!$H$25,Цены!$L$25,IF(BE60=Цены!$H$26,Цены!$L$26,IF(BE60=Цены!$H$27,Цены!$L$27,IF(BE60=Цены!$H$28,Цены!$L$28,IF(BE60=Цены!$H$29,Цены!$L$29,IF(BE60=Цены!$H$30,Цены!$L$30,IF(BE60=Цены!$H$31,Цены!$L$31,IF(BE60=Цены!$H$32,Цены!$L$32,IF(BE60=Цены!$H$33,Цены!$L$33,IF(BE60=Цены!$H$34,Цены!$L$34,IF(BE60=Цены!$H$35,Цены!$L$35,IF(BE60=Цены!$H$36,Цены!$L$36,IF(BE60=Цены!$H$37,Цены!$L$37,IF(BE60=Цены!$H$38,Цены!$L$38,IF(BE60=Цены!$H$39,Цены!$L$39,IF(BE60=Цены!$H$40,Цены!$L$40,IF(BE60=Цены!$H$41,Цены!$L$41,IF(BE60=Цены!$H$42,Цены!$L$42,IF(BE60=Цены!$H$43,Цены!$L$43,IF(BE60=Цены!$H$44,Цены!$L$44,IF(BE60=Цены!$H$45,Цены!$L$45,IF(BE60=Цены!$H$46,Цены!$L$46,IF(BE60=Цены!$H$47,Цены!$L$47,IF(BE60=Цены!$H$48,Цены!$L$48,IF(BE60=Цены!$H$49,Цены!$L$49,IF(BE60=Цены!$H$50,Цены!$L$50,IF(BE60=Цены!$H$51,Цены!$L$51,IF(BE60=Цены!$H$52,Цены!$L$52,IF(BE60=Цены!$H$53,Цены!$L$53,IF(BE60=Цены!$H$54,Цены!$L$54,IF(BE60=Цены!$H$55,Цены!$L$55))))))))))))))))))))))))))))))))))))))))))))))))))))))</f>
        <v>0.19</v>
      </c>
      <c r="BH60" s="276"/>
      <c r="BI60" s="34">
        <f>IF(BE60=Цены!$H$3,Цены!$K$3,IF(BE60=Цены!$H$4,Цены!$K$4,IF(BE60=Цены!$H$5,Цены!$K$5,IF(BE60=Цены!$H$6,Цены!$K$6,IF(BE60=Цены!$H$7,Цены!$K$7,IF(BE60=Цены!$H$8,Цены!$K$8,IF(BE60=Цены!$H$9,Цены!$K$9,IF(BE60=Цены!$H$10,Цены!$K$10,IF(BE60=Цены!$H$11,Цены!$K$11,IF(BE60=Цены!$H$12,Цены!$K$12,IF(BE60=Цены!$H$13,Цены!$K$13,IF(BE60=Цены!$H$14,Цены!$K$14,IF(BE60=Цены!$H$14,Цены!$K$14,IF(BE60=Цены!$H$15,Цены!$K$15,IF(BE60=Цены!$H$16,Цены!$K$16,IF(BE60=Цены!$H$17,Цены!$K$17,IF(BE60=Цены!$H$18,Цены!$K$18,IF(BE60=Цены!$H$19,Цены!$K$19,IF(BE60=Цены!$H$20,Цены!$K$20,IF(BE60=Цены!$H$21,Цены!$K$21,IF(BE60=Цены!$H$22,Цены!$K$22,IF(BE60=Цены!$H$23,Цены!$K$23,IF(BE60=Цены!$H$24,Цены!$K$24,IF(BE60=Цены!$H$25,Цены!$K$25,IF(BE60=Цены!$H$26,Цены!$K$26,IF(BE60=Цены!$H$27,Цены!$K$27,IF(BE60=Цены!$H$28,Цены!$K$28,IF(BE60=Цены!$H$29,Цены!$K$29,IF(BE60=Цены!$H$30,Цены!$K$30,IF(BE60=Цены!$H$31,Цены!$K$31,IF(BE60=Цены!$H$32,Цены!$K$32,IF(BE60=Цены!$H$33,Цены!$K$33,IF(BE60=Цены!$H$34,Цены!$K$34,IF(BE60=Цены!$H$35,Цены!$K$35,IF(BE60=Цены!$H$36,Цены!$K$36,IF(BE60=Цены!$H$37,Цены!$K$37,IF(BE60=Цены!$H$38,Цены!$K$38,IF(BE60=Цены!$H$39,Цены!$K$39,IF(BE60=Цены!$H$40,Цены!$K$40,IF(BE60=Цены!$H$41,Цены!$K$41,IF(BE60=Цены!$H$42,Цены!$K$42,IF(BE60=Цены!$H$43,Цены!$K$43,IF(BE60=Цены!$H$44,Цены!$K$44,IF(BE60=Цены!$H$45,Цены!$K$45,IF(BE60=Цены!$H$46,Цены!$K$46,IF(BE60=Цены!$H$47,Цены!$K$47,IF(BE60=Цены!$H$48,Цены!$K$48,IF(BE60=Цены!$H$49,Цены!$K$49,IF(BE60=Цены!$H$50,Цены!$K$50,IF(BE60=Цены!$H$51,Цены!$K$51,IF(BE60=Цены!$H$52,Цены!$K$52,IF(BE60=Цены!$H$53,Цены!$K$53,IF(BE60=Цены!$H$54,Цены!$K$54,IF(BE60=Цены!$H$55,Цены!$K$55))))))))))))))))))))))))))))))))))))))))))))))))))))))</f>
        <v>448</v>
      </c>
      <c r="BJ60" s="265"/>
      <c r="BK60" s="265"/>
      <c r="BL60" s="269"/>
      <c r="BM60" s="286"/>
      <c r="BN60" s="286"/>
      <c r="BO60" s="268"/>
      <c r="BP60" s="269"/>
      <c r="BQ60" s="287"/>
      <c r="BR60" s="117" t="s">
        <v>122</v>
      </c>
      <c r="BS60" s="43">
        <v>2</v>
      </c>
      <c r="BT60" s="33">
        <f>IF(BR60=Цены!$H$3,Цены!$L$3,IF(BR60=Цены!$H$4,Цены!$L$4,IF(BR60=Цены!$H$5,Цены!$L$5,IF(BR60=Цены!$H$6,Цены!$L$6,IF(BR60=Цены!$H$7,Цены!$L$7,IF(BR60=Цены!$H$8,Цены!$L$8,IF(BR60=Цены!$H$9,Цены!$L$9,IF(BR60=Цены!$H$10,Цены!$L$10,IF(BR60=Цены!$H$11,Цены!$L$11,IF(BR60=Цены!$H$12,Цены!$L$12,IF(BR60=Цены!$H$13,Цены!$L$13,IF(BR60=Цены!$H$14,Цены!$L$14,IF(BR60=Цены!$H$14,Цены!$L$14,IF(BR60=Цены!$H$15,Цены!$L$15,IF(BR60=Цены!$H$16,Цены!$L$16,IF(BR60=Цены!$H$17,Цены!$L$17,IF(BR60=Цены!$H$18,Цены!$L$18,IF(BR60=Цены!$H$19,Цены!$L$19,IF(BR60=Цены!$H$20,Цены!$L$20,IF(BR60=Цены!$H$21,Цены!$L$21,IF(BR60=Цены!$H$22,Цены!$L$22,IF(BR60=Цены!$H$23,Цены!$L$23,IF(BR60=Цены!$H$24,Цены!$L$24,IF(BR60=Цены!$H$25,Цены!$L$25,IF(BR60=Цены!$H$26,Цены!$L$26,IF(BR60=Цены!$H$27,Цены!$L$27,IF(BR60=Цены!$H$28,Цены!$L$28,IF(BR60=Цены!$H$29,Цены!$L$29,IF(BR60=Цены!$H$30,Цены!$L$30,IF(BR60=Цены!$H$31,Цены!$L$31,IF(BR60=Цены!$H$32,Цены!$L$32,IF(BR60=Цены!$H$33,Цены!$L$33,IF(BR60=Цены!$H$34,Цены!$L$34,IF(BR60=Цены!$H$35,Цены!$L$35,IF(BR60=Цены!$H$36,Цены!$L$36,IF(BR60=Цены!$H$37,Цены!$L$37,IF(BR60=Цены!$H$38,Цены!$L$38,IF(BR60=Цены!$H$39,Цены!$L$39,IF(BR60=Цены!$H$40,Цены!$L$40,IF(BR60=Цены!$H$41,Цены!$L$41,IF(BR60=Цены!$H$42,Цены!$L$42,IF(BR60=Цены!$H$43,Цены!$L$43,IF(BR60=Цены!$H$44,Цены!$L$44,IF(BR60=Цены!$H$45,Цены!$L$45,IF(BR60=Цены!$H$46,Цены!$L$46,IF(BR60=Цены!$H$47,Цены!$L$47,IF(BR60=Цены!$H$48,Цены!$L$48,IF(BR60=Цены!$H$49,Цены!$L$49,IF(BR60=Цены!$H$50,Цены!$L$50,IF(BR60=Цены!$H$51,Цены!$L$51,IF(BR60=Цены!$H$52,Цены!$L$52,IF(BR60=Цены!$H$53,Цены!$L$53,IF(BR60=Цены!$H$54,Цены!$L$54,IF(BR60=Цены!$H$55,Цены!$L$55))))))))))))))))))))))))))))))))))))))))))))))))))))))</f>
        <v>0.6</v>
      </c>
      <c r="BU60" s="276"/>
      <c r="BV60" s="34">
        <f>IF(BR60=Цены!$H$3,Цены!$K$3,IF(BR60=Цены!$H$4,Цены!$K$4,IF(BR60=Цены!$H$5,Цены!$K$5,IF(BR60=Цены!$H$6,Цены!$K$6,IF(BR60=Цены!$H$7,Цены!$K$7,IF(BR60=Цены!$H$8,Цены!$K$8,IF(BR60=Цены!$H$9,Цены!$K$9,IF(BR60=Цены!$H$10,Цены!$K$10,IF(BR60=Цены!$H$11,Цены!$K$11,IF(BR60=Цены!$H$12,Цены!$K$12,IF(BR60=Цены!$H$13,Цены!$K$13,IF(BR60=Цены!$H$14,Цены!$K$14,IF(BR60=Цены!$H$14,Цены!$K$14,IF(BR60=Цены!$H$15,Цены!$K$15,IF(BR60=Цены!$H$16,Цены!$K$16,IF(BR60=Цены!$H$17,Цены!$K$17,IF(BR60=Цены!$H$18,Цены!$K$18,IF(BR60=Цены!$H$19,Цены!$K$19,IF(BR60=Цены!$H$20,Цены!$K$20,IF(BR60=Цены!$H$21,Цены!$K$21,IF(BR60=Цены!$H$22,Цены!$K$22,IF(BR60=Цены!$H$23,Цены!$K$23,IF(BR60=Цены!$H$24,Цены!$K$24,IF(BR60=Цены!$H$25,Цены!$K$25,IF(BR60=Цены!$H$26,Цены!$K$26,IF(BR60=Цены!$H$27,Цены!$K$27,IF(BR60=Цены!$H$28,Цены!$K$28,IF(BR60=Цены!$H$29,Цены!$K$29,IF(BR60=Цены!$H$30,Цены!$K$30,IF(BR60=Цены!$H$31,Цены!$K$31,IF(BR60=Цены!$H$32,Цены!$K$32,IF(BR60=Цены!$H$33,Цены!$K$33,IF(BR60=Цены!$H$34,Цены!$K$34,IF(BR60=Цены!$H$35,Цены!$K$35,IF(BR60=Цены!$H$36,Цены!$K$36,IF(BR60=Цены!$H$37,Цены!$K$37,IF(BR60=Цены!$H$38,Цены!$K$38,IF(BR60=Цены!$H$39,Цены!$K$39,IF(BR60=Цены!$H$40,Цены!$K$40,IF(BR60=Цены!$H$41,Цены!$K$41,IF(BR60=Цены!$H$42,Цены!$K$42,IF(BR60=Цены!$H$43,Цены!$K$43,IF(BR60=Цены!$H$44,Цены!$K$44,IF(BR60=Цены!$H$45,Цены!$K$45,IF(BR60=Цены!$H$46,Цены!$K$46,IF(BR60=Цены!$H$47,Цены!$K$47,IF(BR60=Цены!$H$48,Цены!$K$48,IF(BR60=Цены!$H$49,Цены!$K$49,IF(BR60=Цены!$H$50,Цены!$K$50,IF(BR60=Цены!$H$51,Цены!$K$51,IF(BR60=Цены!$H$52,Цены!$K$52,IF(BR60=Цены!$H$53,Цены!$K$53,IF(BR60=Цены!$H$54,Цены!$K$54,IF(BR60=Цены!$H$55,Цены!$K$55))))))))))))))))))))))))))))))))))))))))))))))))))))))</f>
        <v>166</v>
      </c>
      <c r="BW60" s="265"/>
      <c r="BX60" s="265"/>
      <c r="BY60" s="269"/>
      <c r="BZ60" s="286"/>
      <c r="CA60" s="286"/>
      <c r="CB60" s="268"/>
      <c r="CC60" s="269"/>
      <c r="CD60" s="287"/>
      <c r="CE60" s="117" t="s">
        <v>122</v>
      </c>
      <c r="CF60" s="43">
        <v>3</v>
      </c>
      <c r="CG60" s="33">
        <f>IF(CE60=Цены!$H$3,Цены!$L$3,IF(CE60=Цены!$H$4,Цены!$L$4,IF(CE60=Цены!$H$5,Цены!$L$5,IF(CE60=Цены!$H$6,Цены!$L$6,IF(CE60=Цены!$H$7,Цены!$L$7,IF(CE60=Цены!$H$8,Цены!$L$8,IF(CE60=Цены!$H$9,Цены!$L$9,IF(CE60=Цены!$H$10,Цены!$L$10,IF(CE60=Цены!$H$11,Цены!$L$11,IF(CE60=Цены!$H$12,Цены!$L$12,IF(CE60=Цены!$H$13,Цены!$L$13,IF(CE60=Цены!$H$14,Цены!$L$14,IF(CE60=Цены!$H$14,Цены!$L$14,IF(CE60=Цены!$H$15,Цены!$L$15,IF(CE60=Цены!$H$16,Цены!$L$16,IF(CE60=Цены!$H$17,Цены!$L$17,IF(CE60=Цены!$H$18,Цены!$L$18,IF(CE60=Цены!$H$19,Цены!$L$19,IF(CE60=Цены!$H$20,Цены!$L$20,IF(CE60=Цены!$H$21,Цены!$L$21,IF(CE60=Цены!$H$22,Цены!$L$22,IF(CE60=Цены!$H$23,Цены!$L$23,IF(CE60=Цены!$H$24,Цены!$L$24,IF(CE60=Цены!$H$25,Цены!$L$25,IF(CE60=Цены!$H$26,Цены!$L$26,IF(CE60=Цены!$H$27,Цены!$L$27,IF(CE60=Цены!$H$28,Цены!$L$28,IF(CE60=Цены!$H$29,Цены!$L$29,IF(CE60=Цены!$H$30,Цены!$L$30,IF(CE60=Цены!$H$31,Цены!$L$31,IF(CE60=Цены!$H$32,Цены!$L$32,IF(CE60=Цены!$H$33,Цены!$L$33,IF(CE60=Цены!$H$34,Цены!$L$34,IF(CE60=Цены!$H$35,Цены!$L$35,IF(CE60=Цены!$H$36,Цены!$L$36,IF(CE60=Цены!$H$37,Цены!$L$37,IF(CE60=Цены!$H$38,Цены!$L$38,IF(CE60=Цены!$H$39,Цены!$L$39,IF(CE60=Цены!$H$40,Цены!$L$40,IF(CE60=Цены!$H$41,Цены!$L$41,IF(CE60=Цены!$H$42,Цены!$L$42,IF(CE60=Цены!$H$43,Цены!$L$43,IF(CE60=Цены!$H$44,Цены!$L$44,IF(CE60=Цены!$H$45,Цены!$L$45,IF(CE60=Цены!$H$46,Цены!$L$46,IF(CE60=Цены!$H$47,Цены!$L$47,IF(CE60=Цены!$H$48,Цены!$L$48,IF(CE60=Цены!$H$49,Цены!$L$49,IF(CE60=Цены!$H$50,Цены!$L$50,IF(CE60=Цены!$H$51,Цены!$L$51,IF(CE60=Цены!$H$52,Цены!$L$52,IF(CE60=Цены!$H$53,Цены!$L$53,IF(CE60=Цены!$H$54,Цены!$L$54,IF(CE60=Цены!$H$55,Цены!$L$55))))))))))))))))))))))))))))))))))))))))))))))))))))))</f>
        <v>0.6</v>
      </c>
      <c r="CH60" s="276"/>
      <c r="CI60" s="34">
        <f>IF(CE60=Цены!$H$3,Цены!$K$3,IF(CE60=Цены!$H$4,Цены!$K$4,IF(CE60=Цены!$H$5,Цены!$K$5,IF(CE60=Цены!$H$6,Цены!$K$6,IF(CE60=Цены!$H$7,Цены!$K$7,IF(CE60=Цены!$H$8,Цены!$K$8,IF(CE60=Цены!$H$9,Цены!$K$9,IF(CE60=Цены!$H$10,Цены!$K$10,IF(CE60=Цены!$H$11,Цены!$K$11,IF(CE60=Цены!$H$12,Цены!$K$12,IF(CE60=Цены!$H$13,Цены!$K$13,IF(CE60=Цены!$H$14,Цены!$K$14,IF(CE60=Цены!$H$14,Цены!$K$14,IF(CE60=Цены!$H$15,Цены!$K$15,IF(CE60=Цены!$H$16,Цены!$K$16,IF(CE60=Цены!$H$17,Цены!$K$17,IF(CE60=Цены!$H$18,Цены!$K$18,IF(CE60=Цены!$H$19,Цены!$K$19,IF(CE60=Цены!$H$20,Цены!$K$20,IF(CE60=Цены!$H$21,Цены!$K$21,IF(CE60=Цены!$H$22,Цены!$K$22,IF(CE60=Цены!$H$23,Цены!$K$23,IF(CE60=Цены!$H$24,Цены!$K$24,IF(CE60=Цены!$H$25,Цены!$K$25,IF(CE60=Цены!$H$26,Цены!$K$26,IF(CE60=Цены!$H$27,Цены!$K$27,IF(CE60=Цены!$H$28,Цены!$K$28,IF(CE60=Цены!$H$29,Цены!$K$29,IF(CE60=Цены!$H$30,Цены!$K$30,IF(CE60=Цены!$H$31,Цены!$K$31,IF(CE60=Цены!$H$32,Цены!$K$32,IF(CE60=Цены!$H$33,Цены!$K$33,IF(CE60=Цены!$H$34,Цены!$K$34,IF(CE60=Цены!$H$35,Цены!$K$35,IF(CE60=Цены!$H$36,Цены!$K$36,IF(CE60=Цены!$H$37,Цены!$K$37,IF(CE60=Цены!$H$38,Цены!$K$38,IF(CE60=Цены!$H$39,Цены!$K$39,IF(CE60=Цены!$H$40,Цены!$K$40,IF(CE60=Цены!$H$41,Цены!$K$41,IF(CE60=Цены!$H$42,Цены!$K$42,IF(CE60=Цены!$H$43,Цены!$K$43,IF(CE60=Цены!$H$44,Цены!$K$44,IF(CE60=Цены!$H$45,Цены!$K$45,IF(CE60=Цены!$H$46,Цены!$K$46,IF(CE60=Цены!$H$47,Цены!$K$47,IF(CE60=Цены!$H$48,Цены!$K$48,IF(CE60=Цены!$H$49,Цены!$K$49,IF(CE60=Цены!$H$50,Цены!$K$50,IF(CE60=Цены!$H$51,Цены!$K$51,IF(CE60=Цены!$H$52,Цены!$K$52,IF(CE60=Цены!$H$53,Цены!$K$53,IF(CE60=Цены!$H$54,Цены!$K$54,IF(CE60=Цены!$H$55,Цены!$K$55))))))))))))))))))))))))))))))))))))))))))))))))))))))</f>
        <v>166</v>
      </c>
      <c r="CJ60" s="265"/>
      <c r="CK60" s="265"/>
      <c r="CL60" s="269"/>
      <c r="CM60" s="286"/>
      <c r="CN60" s="286"/>
      <c r="CO60" s="268"/>
      <c r="CP60" s="269"/>
      <c r="CQ60" s="287"/>
    </row>
    <row r="61" spans="1:95" ht="15.75" hidden="1" customHeight="1" x14ac:dyDescent="0.25">
      <c r="A61" s="341"/>
      <c r="B61" s="265"/>
      <c r="C61" s="265"/>
      <c r="D61" s="26" t="s">
        <v>123</v>
      </c>
      <c r="E61" s="25">
        <v>4</v>
      </c>
      <c r="F61" s="27">
        <f>IF(D61=Цены!$H$3,Цены!$L$3,IF(D61=Цены!$H$4,Цены!$L$4,IF(D61=Цены!$H$5,Цены!$L$5,IF(D61=Цены!$H$6,Цены!$L$6,IF(D61=Цены!$H$7,Цены!$L$7,IF(D61=Цены!$H$8,Цены!$L$8,IF(D61=Цены!$H$9,Цены!$L$9,IF(D61=Цены!$H$10,Цены!$L$10,IF(D61=Цены!$H$11,Цены!$L$11,IF(D61=Цены!$H$12,Цены!$L$12,IF(D61=Цены!$H$13,Цены!$L$13,IF(D61=Цены!$H$14,Цены!$L$14,IF(D61=Цены!$H$14,Цены!$L$14,IF(D61=Цены!$H$15,Цены!$L$15,IF(D61=Цены!$H$16,Цены!$L$16,IF(D61=Цены!$H$17,Цены!$L$17,IF(D61=Цены!$H$18,Цены!$L$18,IF(D61=Цены!$H$19,Цены!$L$19,IF(D61=Цены!$H$20,Цены!$L$20,IF(D61=Цены!$H$21,Цены!$L$21,IF(D61=Цены!$H$22,Цены!$L$22,IF(D61=Цены!$H$23,Цены!$L$23,IF(D61=Цены!$H$24,Цены!$L$24,IF(D61=Цены!$H$25,Цены!$L$25,IF(D61=Цены!$H$26,Цены!$L$26,IF(D61=Цены!$H$27,Цены!$L$27,IF(D61=Цены!$H$28,Цены!$L$28,IF(D61=Цены!$H$29,Цены!$L$29,IF(D61=Цены!$H$30,Цены!$L$30,IF(D61=Цены!$H$31,Цены!$L$31,IF(D61=Цены!$H$32,Цены!$L$32,IF(D61=Цены!$H$33,Цены!$L$33,IF(D61=Цены!$H$34,Цены!$L$34,IF(D61=Цены!$H$35,Цены!$L$35,IF(D61=Цены!$H$36,Цены!$L$36,IF(D61=Цены!$H$37,Цены!$L$37,IF(D61=Цены!$H$38,Цены!$L$38,IF(D61=Цены!$H$39,Цены!$L$39,IF(D61=Цены!$H$40,Цены!$L$40,IF(D61=Цены!$H$41,Цены!$L$41,IF(D61=Цены!$H$42,Цены!$L$42,IF(D61=Цены!$H$43,Цены!$L$43,IF(D61=Цены!$H$44,Цены!$L$44,IF(D61=Цены!$H$45,Цены!$L$45,IF(D61=Цены!$H$46,Цены!$L$46,IF(D61=Цены!$H$47,Цены!$L$47,IF(D61=Цены!$H$48,Цены!$L$48,IF(D61=Цены!$H$49,Цены!$L$49,IF(D61=Цены!$H$50,Цены!$L$50,IF(D61=Цены!$H$51,Цены!$L$51,IF(D61=Цены!$H$52,Цены!$L$52,IF(D61=Цены!$H$53,Цены!$L$53,IF(D61=Цены!$H$54,Цены!$L$54,IF(D61=Цены!$H$55,Цены!$L$55))))))))))))))))))))))))))))))))))))))))))))))))))))))</f>
        <v>0.39</v>
      </c>
      <c r="G61" s="309"/>
      <c r="H61" s="28">
        <f>IF(D61=Цены!$H$3,Цены!$K$3,IF(D61=Цены!$H$4,Цены!$K$4,IF(D61=Цены!$H$5,Цены!$K$5,IF(D61=Цены!$H$6,Цены!$K$6,IF(D61=Цены!$H$7,Цены!$K$7,IF(D61=Цены!$H$8,Цены!$K$8,IF(D61=Цены!$H$9,Цены!$K$9,IF(D61=Цены!$H$10,Цены!$K$10,IF(D61=Цены!$H$11,Цены!$K$11,IF(D61=Цены!$H$12,Цены!$K$12,IF(D61=Цены!$H$13,Цены!$K$13,IF(D61=Цены!$H$14,Цены!$K$14,IF(D61=Цены!$H$14,Цены!$K$14,IF(D61=Цены!$H$15,Цены!$K$15,IF(D61=Цены!$H$16,Цены!$K$16,IF(D61=Цены!$H$17,Цены!$K$17,IF(D61=Цены!$H$18,Цены!$K$18,IF(D61=Цены!$H$19,Цены!$K$19,IF(D61=Цены!$H$20,Цены!$K$20,IF(D61=Цены!$H$21,Цены!$K$21,IF(D61=Цены!$H$22,Цены!$K$22,IF(D61=Цены!$H$23,Цены!$K$23,IF(D61=Цены!$H$24,Цены!$K$24,IF(D61=Цены!$H$25,Цены!$K$25,IF(D61=Цены!$H$26,Цены!$K$26,IF(D61=Цены!$H$27,Цены!$K$27,IF(D61=Цены!$H$28,Цены!$K$28,IF(D61=Цены!$H$29,Цены!$K$29,IF(D61=Цены!$H$30,Цены!$K$30,IF(D61=Цены!$H$31,Цены!$K$31,IF(D61=Цены!$H$32,Цены!$K$32,IF(D61=Цены!$H$33,Цены!$K$33,IF(D61=Цены!$H$34,Цены!$K$34,IF(D61=Цены!$H$35,Цены!$K$35,IF(D61=Цены!$H$36,Цены!$K$36,IF(D61=Цены!$H$37,Цены!$K$37,IF(D61=Цены!$H$38,Цены!$K$38,IF(D61=Цены!$H$39,Цены!$K$39,IF(D61=Цены!$H$40,Цены!$K$40,IF(D61=Цены!$H$41,Цены!$K$41,IF(D61=Цены!$H$42,Цены!$K$42,IF(D61=Цены!$H$43,Цены!$K$43,IF(D61=Цены!$H$44,Цены!$K$44,IF(D61=Цены!$H$45,Цены!$K$45,IF(D61=Цены!$H$46,Цены!$K$46,IF(D61=Цены!$H$47,Цены!$K$47,IF(D61=Цены!$H$48,Цены!$K$48,IF(D61=Цены!$H$49,Цены!$K$49,IF(D61=Цены!$H$50,Цены!$K$50,IF(D61=Цены!$H$51,Цены!$K$51,IF(D61=Цены!$H$52,Цены!$K$52,IF(D61=Цены!$H$53,Цены!$K$53,IF(D61=Цены!$H$54,Цены!$K$54,IF(D61=Цены!$H$55,Цены!$K$55))))))))))))))))))))))))))))))))))))))))))))))))))))))</f>
        <v>624</v>
      </c>
      <c r="I61" s="265"/>
      <c r="J61" s="265"/>
      <c r="K61" s="310"/>
      <c r="L61" s="265"/>
      <c r="M61" s="265"/>
      <c r="N61" s="265"/>
      <c r="O61" s="310"/>
      <c r="P61" s="313"/>
      <c r="Q61" s="35"/>
      <c r="R61" s="30"/>
      <c r="S61" s="27" t="b">
        <f>IF(Q61=Цены!$H$3,Цены!$L$3,IF(Q61=Цены!$H$4,Цены!$L$4,IF(Q61=Цены!$H$5,Цены!$L$5,IF(Q61=Цены!$H$6,Цены!$L$6,IF(Q61=Цены!$H$7,Цены!$L$7,IF(Q61=Цены!$H$8,Цены!$L$8,IF(Q61=Цены!$H$9,Цены!$L$9,IF(Q61=Цены!$H$10,Цены!$L$10,IF(Q61=Цены!$H$11,Цены!$L$11,IF(Q61=Цены!$H$12,Цены!$L$12,IF(Q61=Цены!$H$13,Цены!$L$13,IF(Q61=Цены!$H$14,Цены!$L$14,IF(Q61=Цены!$H$14,Цены!$L$14,IF(Q61=Цены!$H$15,Цены!$L$15,IF(Q61=Цены!$H$16,Цены!$L$16,IF(Q61=Цены!$H$17,Цены!$L$17,IF(Q61=Цены!$H$18,Цены!$L$18,IF(Q61=Цены!$H$19,Цены!$L$19,IF(Q61=Цены!$H$20,Цены!$L$20,IF(Q61=Цены!$H$21,Цены!$L$21,IF(Q61=Цены!$H$22,Цены!$L$22,IF(Q61=Цены!$H$23,Цены!$L$23,IF(Q61=Цены!$H$24,Цены!$L$24,IF(Q61=Цены!$H$25,Цены!$L$25,IF(Q61=Цены!$H$26,Цены!$L$26,IF(Q61=Цены!$H$27,Цены!$L$27,IF(Q61=Цены!$H$28,Цены!$L$28,IF(Q61=Цены!$H$29,Цены!$L$29,IF(Q61=Цены!$H$30,Цены!$L$30,IF(Q61=Цены!$H$31,Цены!$L$31,IF(Q61=Цены!$H$32,Цены!$L$32,IF(Q61=Цены!$H$33,Цены!$L$33,IF(Q61=Цены!$H$34,Цены!$L$34,IF(Q61=Цены!$H$35,Цены!$L$35,IF(Q61=Цены!$H$36,Цены!$L$36,IF(Q61=Цены!$H$37,Цены!$L$37,IF(Q61=Цены!$H$38,Цены!$L$38,IF(Q61=Цены!$H$39,Цены!$L$39,IF(Q61=Цены!$H$40,Цены!$L$40,IF(Q61=Цены!$H$41,Цены!$L$41,IF(Q61=Цены!$H$42,Цены!$L$42,IF(Q61=Цены!$H$43,Цены!$L$43,IF(Q61=Цены!$H$44,Цены!$L$44,IF(Q61=Цены!$H$45,Цены!$L$45,IF(Q61=Цены!$H$46,Цены!$L$46,IF(Q61=Цены!$H$47,Цены!$L$47,IF(Q61=Цены!$H$48,Цены!$L$48,IF(Q61=Цены!$H$49,Цены!$L$49,IF(Q61=Цены!$H$50,Цены!$L$50,IF(Q61=Цены!$H$51,Цены!$L$51,IF(Q61=Цены!$H$52,Цены!$L$52,IF(Q61=Цены!$H$53,Цены!$L$53,IF(Q61=Цены!$H$54,Цены!$L$54,IF(Q61=Цены!$H$55,Цены!$L$55))))))))))))))))))))))))))))))))))))))))))))))))))))))</f>
        <v>0</v>
      </c>
      <c r="T61" s="309"/>
      <c r="U61" s="162" t="b">
        <f>IF(Q61=Цены!$H$3,Цены!$K$3,IF(Q61=Цены!$H$4,Цены!$K$4,IF(Q61=Цены!$H$5,Цены!$K$5,IF(Q61=Цены!$H$6,Цены!$K$6,IF(Q61=Цены!$H$7,Цены!$K$7,IF(Q61=Цены!$H$8,Цены!$K$8,IF(Q61=Цены!$H$9,Цены!$K$9,IF(Q61=Цены!$H$10,Цены!$K$10,IF(Q61=Цены!$H$11,Цены!$K$11,IF(Q61=Цены!$H$12,Цены!$K$12,IF(Q61=Цены!$H$13,Цены!$K$13,IF(Q61=Цены!$H$14,Цены!$K$14,IF(Q61=Цены!$H$14,Цены!$K$14,IF(Q61=Цены!$H$15,Цены!$K$15,IF(Q61=Цены!$H$16,Цены!$K$16,IF(Q61=Цены!$H$17,Цены!$K$17,IF(Q61=Цены!$H$18,Цены!$K$18,IF(Q61=Цены!$H$19,Цены!$K$19,IF(Q61=Цены!$H$20,Цены!$K$20,IF(Q61=Цены!$H$21,Цены!$K$21,IF(Q61=Цены!$H$22,Цены!$K$22,IF(Q61=Цены!$H$23,Цены!$K$23,IF(Q61=Цены!$H$24,Цены!$K$24,IF(Q61=Цены!$H$25,Цены!$K$25,IF(Q61=Цены!$H$26,Цены!$K$26,IF(Q61=Цены!$H$27,Цены!$K$27,IF(Q61=Цены!$H$28,Цены!$K$28,IF(Q61=Цены!$H$29,Цены!$K$29,IF(Q61=Цены!$H$30,Цены!$K$30,IF(Q61=Цены!$H$31,Цены!$K$31,IF(Q61=Цены!$H$32,Цены!$K$32,IF(Q61=Цены!$H$33,Цены!$K$33,IF(Q61=Цены!$H$34,Цены!$K$34,IF(Q61=Цены!$H$35,Цены!$K$35,IF(Q61=Цены!$H$36,Цены!$K$36,IF(Q61=Цены!$H$37,Цены!$K$37,IF(Q61=Цены!$H$38,Цены!$K$38,IF(Q61=Цены!$H$39,Цены!$K$39,IF(Q61=Цены!$H$40,Цены!$K$40,IF(Q61=Цены!$H$41,Цены!$K$41,IF(Q61=Цены!$H$42,Цены!$K$42,IF(Q61=Цены!$H$43,Цены!$K$43,IF(Q61=Цены!$H$44,Цены!$K$44,IF(Q61=Цены!$H$45,Цены!$K$45,IF(Q61=Цены!$H$46,Цены!$K$46,IF(Q61=Цены!$H$47,Цены!$K$47,IF(Q61=Цены!$H$48,Цены!$K$48,IF(Q61=Цены!$H$49,Цены!$K$49,IF(Q61=Цены!$H$50,Цены!$K$50,IF(Q61=Цены!$H$51,Цены!$K$51,IF(Q61=Цены!$H$52,Цены!$K$52,IF(Q61=Цены!$H$53,Цены!$K$53,IF(Q61=Цены!$H$54,Цены!$K$54,IF(Q61=Цены!$H$55,Цены!$K$55))))))))))))))))))))))))))))))))))))))))))))))))))))))</f>
        <v>0</v>
      </c>
      <c r="V61" s="265"/>
      <c r="W61" s="265"/>
      <c r="X61" s="310"/>
      <c r="Y61" s="265"/>
      <c r="Z61" s="265"/>
      <c r="AA61" s="265"/>
      <c r="AB61" s="310"/>
      <c r="AC61" s="313"/>
      <c r="AD61" s="123" t="s">
        <v>89</v>
      </c>
      <c r="AE61" s="30">
        <v>4</v>
      </c>
      <c r="AF61" s="27">
        <f>IF(AD61=Цены!$H$3,Цены!$L$3,IF(AD61=Цены!$H$4,Цены!$L$4,IF(AD61=Цены!$H$5,Цены!$L$5,IF(AD61=Цены!$H$6,Цены!$L$6,IF(AD61=Цены!$H$7,Цены!$L$7,IF(AD61=Цены!$H$8,Цены!$L$8,IF(AD61=Цены!$H$9,Цены!$L$9,IF(AD61=Цены!$H$10,Цены!$L$10,IF(AD61=Цены!$H$11,Цены!$L$11,IF(AD61=Цены!$H$12,Цены!$L$12,IF(AD61=Цены!$H$13,Цены!$L$13,IF(AD61=Цены!$H$14,Цены!$L$14,IF(AD61=Цены!$H$14,Цены!$L$14,IF(AD61=Цены!$H$15,Цены!$L$15,IF(AD61=Цены!$H$16,Цены!$L$16,IF(AD61=Цены!$H$17,Цены!$L$17,IF(AD61=Цены!$H$18,Цены!$L$18,IF(AD61=Цены!$H$19,Цены!$L$19,IF(AD61=Цены!$H$20,Цены!$L$20,IF(AD61=Цены!$H$21,Цены!$L$21,IF(AD61=Цены!$H$22,Цены!$L$22,IF(AD61=Цены!$H$23,Цены!$L$23,IF(AD61=Цены!$H$24,Цены!$L$24,IF(AD61=Цены!$H$25,Цены!$L$25,IF(AD61=Цены!$H$26,Цены!$L$26,IF(AD61=Цены!$H$27,Цены!$L$27,IF(AD61=Цены!$H$28,Цены!$L$28,IF(AD61=Цены!$H$29,Цены!$L$29,IF(AD61=Цены!$H$30,Цены!$L$30,IF(AD61=Цены!$H$31,Цены!$L$31,IF(AD61=Цены!$H$32,Цены!$L$32,IF(AD61=Цены!$H$33,Цены!$L$33,IF(AD61=Цены!$H$34,Цены!$L$34,IF(AD61=Цены!$H$35,Цены!$L$35,IF(AD61=Цены!$H$36,Цены!$L$36,IF(AD61=Цены!$H$37,Цены!$L$37,IF(AD61=Цены!$H$38,Цены!$L$38,IF(AD61=Цены!$H$39,Цены!$L$39,IF(AD61=Цены!$H$40,Цены!$L$40,IF(AD61=Цены!$H$41,Цены!$L$41,IF(AD61=Цены!$H$42,Цены!$L$42,IF(AD61=Цены!$H$43,Цены!$L$43,IF(AD61=Цены!$H$44,Цены!$L$44,IF(AD61=Цены!$H$45,Цены!$L$45,IF(AD61=Цены!$H$46,Цены!$L$46,IF(AD61=Цены!$H$47,Цены!$L$47,IF(AD61=Цены!$H$48,Цены!$L$48,IF(AD61=Цены!$H$49,Цены!$L$49,IF(AD61=Цены!$H$50,Цены!$L$50,IF(AD61=Цены!$H$51,Цены!$L$51,IF(AD61=Цены!$H$52,Цены!$L$52,IF(AD61=Цены!$H$53,Цены!$L$53,IF(AD61=Цены!$H$54,Цены!$L$54,IF(AD61=Цены!$H$55,Цены!$L$55))))))))))))))))))))))))))))))))))))))))))))))))))))))</f>
        <v>1.1499999999999999</v>
      </c>
      <c r="AG61" s="309"/>
      <c r="AH61" s="28">
        <f>IF(AD61=Цены!$H$3,Цены!$K$3,IF(AD61=Цены!$H$4,Цены!$K$4,IF(AD61=Цены!$H$5,Цены!$K$5,IF(AD61=Цены!$H$6,Цены!$K$6,IF(AD61=Цены!$H$7,Цены!$K$7,IF(AD61=Цены!$H$8,Цены!$K$8,IF(AD61=Цены!$H$9,Цены!$K$9,IF(AD61=Цены!$H$10,Цены!$K$10,IF(AD61=Цены!$H$11,Цены!$K$11,IF(AD61=Цены!$H$12,Цены!$K$12,IF(AD61=Цены!$H$13,Цены!$K$13,IF(AD61=Цены!$H$14,Цены!$K$14,IF(AD61=Цены!$H$14,Цены!$K$14,IF(AD61=Цены!$H$15,Цены!$K$15,IF(AD61=Цены!$H$16,Цены!$K$16,IF(AD61=Цены!$H$17,Цены!$K$17,IF(AD61=Цены!$H$18,Цены!$K$18,IF(AD61=Цены!$H$19,Цены!$K$19,IF(AD61=Цены!$H$20,Цены!$K$20,IF(AD61=Цены!$H$21,Цены!$K$21,IF(AD61=Цены!$H$22,Цены!$K$22,IF(AD61=Цены!$H$23,Цены!$K$23,IF(AD61=Цены!$H$24,Цены!$K$24,IF(AD61=Цены!$H$25,Цены!$K$25,IF(AD61=Цены!$H$26,Цены!$K$26,IF(AD61=Цены!$H$27,Цены!$K$27,IF(AD61=Цены!$H$28,Цены!$K$28,IF(AD61=Цены!$H$29,Цены!$K$29,IF(AD61=Цены!$H$30,Цены!$K$30,IF(AD61=Цены!$H$31,Цены!$K$31,IF(AD61=Цены!$H$32,Цены!$K$32,IF(AD61=Цены!$H$33,Цены!$K$33,IF(AD61=Цены!$H$34,Цены!$K$34,IF(AD61=Цены!$H$35,Цены!$K$35,IF(AD61=Цены!$H$36,Цены!$K$36,IF(AD61=Цены!$H$37,Цены!$K$37,IF(AD61=Цены!$H$38,Цены!$K$38,IF(AD61=Цены!$H$39,Цены!$K$39,IF(AD61=Цены!$H$40,Цены!$K$40,IF(AD61=Цены!$H$41,Цены!$K$41,IF(AD61=Цены!$H$42,Цены!$K$42,IF(AD61=Цены!$H$43,Цены!$K$43,IF(AD61=Цены!$H$44,Цены!$K$44,IF(AD61=Цены!$H$45,Цены!$K$45,IF(AD61=Цены!$H$46,Цены!$K$46,IF(AD61=Цены!$H$47,Цены!$K$47,IF(AD61=Цены!$H$48,Цены!$K$48,IF(AD61=Цены!$H$49,Цены!$K$49,IF(AD61=Цены!$H$50,Цены!$K$50,IF(AD61=Цены!$H$51,Цены!$K$51,IF(AD61=Цены!$H$52,Цены!$K$52,IF(AD61=Цены!$H$53,Цены!$K$53,IF(AD61=Цены!$H$54,Цены!$K$54,IF(AD61=Цены!$H$55,Цены!$K$55))))))))))))))))))))))))))))))))))))))))))))))))))))))</f>
        <v>400</v>
      </c>
      <c r="AI61" s="265"/>
      <c r="AJ61" s="265"/>
      <c r="AK61" s="310"/>
      <c r="AL61" s="265"/>
      <c r="AM61" s="265"/>
      <c r="AN61" s="265"/>
      <c r="AO61" s="310"/>
      <c r="AP61" s="313"/>
      <c r="AQ61" s="123"/>
      <c r="AR61" s="129"/>
      <c r="AS61" s="33" t="b">
        <f>IF(AQ61=Цены!$H$3,Цены!$L$3,IF(AQ61=Цены!$H$4,Цены!$L$4,IF(AQ61=Цены!$H$5,Цены!$L$5,IF(AQ61=Цены!$H$6,Цены!$L$6,IF(AQ61=Цены!$H$7,Цены!$L$7,IF(AQ61=Цены!$H$8,Цены!$L$8,IF(AQ61=Цены!$H$9,Цены!$L$9,IF(AQ61=Цены!$H$10,Цены!$L$10,IF(AQ61=Цены!$H$11,Цены!$L$11,IF(AQ61=Цены!$H$12,Цены!$L$12,IF(AQ61=Цены!$H$13,Цены!$L$13,IF(AQ61=Цены!$H$14,Цены!$L$14,IF(AQ61=Цены!$H$14,Цены!$L$14,IF(AQ61=Цены!$H$15,Цены!$L$15,IF(AQ61=Цены!$H$16,Цены!$L$16,IF(AQ61=Цены!$H$17,Цены!$L$17,IF(AQ61=Цены!$H$18,Цены!$L$18,IF(AQ61=Цены!$H$19,Цены!$L$19,IF(AQ61=Цены!$H$20,Цены!$L$20,IF(AQ61=Цены!$H$21,Цены!$L$21,IF(AQ61=Цены!$H$22,Цены!$L$22,IF(AQ61=Цены!$H$23,Цены!$L$23,IF(AQ61=Цены!$H$24,Цены!$L$24,IF(AQ61=Цены!$H$25,Цены!$L$25,IF(AQ61=Цены!$H$26,Цены!$L$26,IF(AQ61=Цены!$H$27,Цены!$L$27,IF(AQ61=Цены!$H$28,Цены!$L$28,IF(AQ61=Цены!$H$29,Цены!$L$29,IF(AQ61=Цены!$H$30,Цены!$L$30,IF(AQ61=Цены!$H$31,Цены!$L$31,IF(AQ61=Цены!$H$32,Цены!$L$32,IF(AQ61=Цены!$H$33,Цены!$L$33,IF(AQ61=Цены!$H$34,Цены!$L$34,IF(AQ61=Цены!$H$35,Цены!$L$35,IF(AQ61=Цены!$H$36,Цены!$L$36,IF(AQ61=Цены!$H$37,Цены!$L$37,IF(AQ61=Цены!$H$38,Цены!$L$38,IF(AQ61=Цены!$H$39,Цены!$L$39,IF(AQ61=Цены!$H$40,Цены!$L$40,IF(AQ61=Цены!$H$41,Цены!$L$41,IF(AQ61=Цены!$H$42,Цены!$L$42,IF(AQ61=Цены!$H$43,Цены!$L$43,IF(AQ61=Цены!$H$44,Цены!$L$44,IF(AQ61=Цены!$H$45,Цены!$L$45,IF(AQ61=Цены!$H$46,Цены!$L$46,IF(AQ61=Цены!$H$47,Цены!$L$47,IF(AQ61=Цены!$H$48,Цены!$L$48,IF(AQ61=Цены!$H$49,Цены!$L$49,IF(AQ61=Цены!$H$50,Цены!$L$50,IF(AQ61=Цены!$H$51,Цены!$L$51,IF(AQ61=Цены!$H$52,Цены!$L$52,IF(AQ61=Цены!$H$53,Цены!$L$53,IF(AQ61=Цены!$H$54,Цены!$L$54,IF(AQ61=Цены!$H$55,Цены!$L$55))))))))))))))))))))))))))))))))))))))))))))))))))))))</f>
        <v>0</v>
      </c>
      <c r="AT61" s="276"/>
      <c r="AU61" s="34" t="b">
        <f>IF(AQ61=Цены!$H$3,Цены!$K$3,IF(AQ61=Цены!$H$4,Цены!$K$4,IF(AQ61=Цены!$H$5,Цены!$K$5,IF(AQ61=Цены!$H$6,Цены!$K$6,IF(AQ61=Цены!$H$7,Цены!$K$7,IF(AQ61=Цены!$H$8,Цены!$K$8,IF(AQ61=Цены!$H$9,Цены!$K$9,IF(AQ61=Цены!$H$10,Цены!$K$10,IF(AQ61=Цены!$H$11,Цены!$K$11,IF(AQ61=Цены!$H$12,Цены!$K$12,IF(AQ61=Цены!$H$13,Цены!$K$13,IF(AQ61=Цены!$H$14,Цены!$K$14,IF(AQ61=Цены!$H$14,Цены!$K$14,IF(AQ61=Цены!$H$15,Цены!$K$15,IF(AQ61=Цены!$H$16,Цены!$K$16,IF(AQ61=Цены!$H$17,Цены!$K$17,IF(AQ61=Цены!$H$18,Цены!$K$18,IF(AQ61=Цены!$H$19,Цены!$K$19,IF(AQ61=Цены!$H$20,Цены!$K$20,IF(AQ61=Цены!$H$21,Цены!$K$21,IF(AQ61=Цены!$H$22,Цены!$K$22,IF(AQ61=Цены!$H$23,Цены!$K$23,IF(AQ61=Цены!$H$24,Цены!$K$24,IF(AQ61=Цены!$H$25,Цены!$K$25,IF(AQ61=Цены!$H$26,Цены!$K$26,IF(AQ61=Цены!$H$27,Цены!$K$27,IF(AQ61=Цены!$H$28,Цены!$K$28,IF(AQ61=Цены!$H$29,Цены!$K$29,IF(AQ61=Цены!$H$30,Цены!$K$30,IF(AQ61=Цены!$H$31,Цены!$K$31,IF(AQ61=Цены!$H$32,Цены!$K$32,IF(AQ61=Цены!$H$33,Цены!$K$33,IF(AQ61=Цены!$H$34,Цены!$K$34,IF(AQ61=Цены!$H$35,Цены!$K$35,IF(AQ61=Цены!$H$36,Цены!$K$36,IF(AQ61=Цены!$H$37,Цены!$K$37,IF(AQ61=Цены!$H$38,Цены!$K$38,IF(AQ61=Цены!$H$39,Цены!$K$39,IF(AQ61=Цены!$H$40,Цены!$K$40,IF(AQ61=Цены!$H$41,Цены!$K$41,IF(AQ61=Цены!$H$42,Цены!$K$42,IF(AQ61=Цены!$H$43,Цены!$K$43,IF(AQ61=Цены!$H$44,Цены!$K$44,IF(AQ61=Цены!$H$45,Цены!$K$45,IF(AQ61=Цены!$H$46,Цены!$K$46,IF(AQ61=Цены!$H$47,Цены!$K$47,IF(AQ61=Цены!$H$48,Цены!$K$48,IF(AQ61=Цены!$H$49,Цены!$K$49,IF(AQ61=Цены!$H$50,Цены!$K$50,IF(AQ61=Цены!$H$51,Цены!$K$51,IF(AQ61=Цены!$H$52,Цены!$K$52,IF(AQ61=Цены!$H$53,Цены!$K$53,IF(AQ61=Цены!$H$54,Цены!$K$54,IF(AQ61=Цены!$H$55,Цены!$K$55))))))))))))))))))))))))))))))))))))))))))))))))))))))</f>
        <v>0</v>
      </c>
      <c r="AV61" s="265"/>
      <c r="AW61" s="265"/>
      <c r="AX61" s="269"/>
      <c r="AY61" s="286"/>
      <c r="AZ61" s="286"/>
      <c r="BA61" s="265"/>
      <c r="BB61" s="269"/>
      <c r="BC61" s="287"/>
      <c r="BD61" s="259"/>
      <c r="BE61" s="35"/>
      <c r="BF61" s="71"/>
      <c r="BG61" s="33" t="b">
        <f>IF(BE61=Цены!$H$3,Цены!$L$3,IF(BE61=Цены!$H$4,Цены!$L$4,IF(BE61=Цены!$H$5,Цены!$L$5,IF(BE61=Цены!$H$6,Цены!$L$6,IF(BE61=Цены!$H$7,Цены!$L$7,IF(BE61=Цены!$H$8,Цены!$L$8,IF(BE61=Цены!$H$9,Цены!$L$9,IF(BE61=Цены!$H$10,Цены!$L$10,IF(BE61=Цены!$H$11,Цены!$L$11,IF(BE61=Цены!$H$12,Цены!$L$12,IF(BE61=Цены!$H$13,Цены!$L$13,IF(BE61=Цены!$H$14,Цены!$L$14,IF(BE61=Цены!$H$14,Цены!$L$14,IF(BE61=Цены!$H$15,Цены!$L$15,IF(BE61=Цены!$H$16,Цены!$L$16,IF(BE61=Цены!$H$17,Цены!$L$17,IF(BE61=Цены!$H$18,Цены!$L$18,IF(BE61=Цены!$H$19,Цены!$L$19,IF(BE61=Цены!$H$20,Цены!$L$20,IF(BE61=Цены!$H$21,Цены!$L$21,IF(BE61=Цены!$H$22,Цены!$L$22,IF(BE61=Цены!$H$23,Цены!$L$23,IF(BE61=Цены!$H$24,Цены!$L$24,IF(BE61=Цены!$H$25,Цены!$L$25,IF(BE61=Цены!$H$26,Цены!$L$26,IF(BE61=Цены!$H$27,Цены!$L$27,IF(BE61=Цены!$H$28,Цены!$L$28,IF(BE61=Цены!$H$29,Цены!$L$29,IF(BE61=Цены!$H$30,Цены!$L$30,IF(BE61=Цены!$H$31,Цены!$L$31,IF(BE61=Цены!$H$32,Цены!$L$32,IF(BE61=Цены!$H$33,Цены!$L$33,IF(BE61=Цены!$H$34,Цены!$L$34,IF(BE61=Цены!$H$35,Цены!$L$35,IF(BE61=Цены!$H$36,Цены!$L$36,IF(BE61=Цены!$H$37,Цены!$L$37,IF(BE61=Цены!$H$38,Цены!$L$38,IF(BE61=Цены!$H$39,Цены!$L$39,IF(BE61=Цены!$H$40,Цены!$L$40,IF(BE61=Цены!$H$41,Цены!$L$41,IF(BE61=Цены!$H$42,Цены!$L$42,IF(BE61=Цены!$H$43,Цены!$L$43,IF(BE61=Цены!$H$44,Цены!$L$44,IF(BE61=Цены!$H$45,Цены!$L$45,IF(BE61=Цены!$H$46,Цены!$L$46,IF(BE61=Цены!$H$47,Цены!$L$47,IF(BE61=Цены!$H$48,Цены!$L$48,IF(BE61=Цены!$H$49,Цены!$L$49,IF(BE61=Цены!$H$50,Цены!$L$50,IF(BE61=Цены!$H$51,Цены!$L$51,IF(BE61=Цены!$H$52,Цены!$L$52,IF(BE61=Цены!$H$53,Цены!$L$53,IF(BE61=Цены!$H$54,Цены!$L$54,IF(BE61=Цены!$H$55,Цены!$L$55))))))))))))))))))))))))))))))))))))))))))))))))))))))</f>
        <v>0</v>
      </c>
      <c r="BH61" s="276"/>
      <c r="BI61" s="34" t="b">
        <f>IF(BE61=Цены!$H$3,Цены!$K$3,IF(BE61=Цены!$H$4,Цены!$K$4,IF(BE61=Цены!$H$5,Цены!$K$5,IF(BE61=Цены!$H$6,Цены!$K$6,IF(BE61=Цены!$H$7,Цены!$K$7,IF(BE61=Цены!$H$8,Цены!$K$8,IF(BE61=Цены!$H$9,Цены!$K$9,IF(BE61=Цены!$H$10,Цены!$K$10,IF(BE61=Цены!$H$11,Цены!$K$11,IF(BE61=Цены!$H$12,Цены!$K$12,IF(BE61=Цены!$H$13,Цены!$K$13,IF(BE61=Цены!$H$14,Цены!$K$14,IF(BE61=Цены!$H$14,Цены!$K$14,IF(BE61=Цены!$H$15,Цены!$K$15,IF(BE61=Цены!$H$16,Цены!$K$16,IF(BE61=Цены!$H$17,Цены!$K$17,IF(BE61=Цены!$H$18,Цены!$K$18,IF(BE61=Цены!$H$19,Цены!$K$19,IF(BE61=Цены!$H$20,Цены!$K$20,IF(BE61=Цены!$H$21,Цены!$K$21,IF(BE61=Цены!$H$22,Цены!$K$22,IF(BE61=Цены!$H$23,Цены!$K$23,IF(BE61=Цены!$H$24,Цены!$K$24,IF(BE61=Цены!$H$25,Цены!$K$25,IF(BE61=Цены!$H$26,Цены!$K$26,IF(BE61=Цены!$H$27,Цены!$K$27,IF(BE61=Цены!$H$28,Цены!$K$28,IF(BE61=Цены!$H$29,Цены!$K$29,IF(BE61=Цены!$H$30,Цены!$K$30,IF(BE61=Цены!$H$31,Цены!$K$31,IF(BE61=Цены!$H$32,Цены!$K$32,IF(BE61=Цены!$H$33,Цены!$K$33,IF(BE61=Цены!$H$34,Цены!$K$34,IF(BE61=Цены!$H$35,Цены!$K$35,IF(BE61=Цены!$H$36,Цены!$K$36,IF(BE61=Цены!$H$37,Цены!$K$37,IF(BE61=Цены!$H$38,Цены!$K$38,IF(BE61=Цены!$H$39,Цены!$K$39,IF(BE61=Цены!$H$40,Цены!$K$40,IF(BE61=Цены!$H$41,Цены!$K$41,IF(BE61=Цены!$H$42,Цены!$K$42,IF(BE61=Цены!$H$43,Цены!$K$43,IF(BE61=Цены!$H$44,Цены!$K$44,IF(BE61=Цены!$H$45,Цены!$K$45,IF(BE61=Цены!$H$46,Цены!$K$46,IF(BE61=Цены!$H$47,Цены!$K$47,IF(BE61=Цены!$H$48,Цены!$K$48,IF(BE61=Цены!$H$49,Цены!$K$49,IF(BE61=Цены!$H$50,Цены!$K$50,IF(BE61=Цены!$H$51,Цены!$K$51,IF(BE61=Цены!$H$52,Цены!$K$52,IF(BE61=Цены!$H$53,Цены!$K$53,IF(BE61=Цены!$H$54,Цены!$K$54,IF(BE61=Цены!$H$55,Цены!$K$55))))))))))))))))))))))))))))))))))))))))))))))))))))))</f>
        <v>0</v>
      </c>
      <c r="BJ61" s="265"/>
      <c r="BK61" s="265"/>
      <c r="BL61" s="269"/>
      <c r="BM61" s="286"/>
      <c r="BN61" s="286"/>
      <c r="BO61" s="268"/>
      <c r="BP61" s="269"/>
      <c r="BQ61" s="287"/>
      <c r="BR61" s="35"/>
      <c r="BS61" s="43"/>
      <c r="BT61" s="33" t="b">
        <f>IF(BR61=Цены!$H$3,Цены!$L$3,IF(BR61=Цены!$H$4,Цены!$L$4,IF(BR61=Цены!$H$5,Цены!$L$5,IF(BR61=Цены!$H$6,Цены!$L$6,IF(BR61=Цены!$H$7,Цены!$L$7,IF(BR61=Цены!$H$8,Цены!$L$8,IF(BR61=Цены!$H$9,Цены!$L$9,IF(BR61=Цены!$H$10,Цены!$L$10,IF(BR61=Цены!$H$11,Цены!$L$11,IF(BR61=Цены!$H$12,Цены!$L$12,IF(BR61=Цены!$H$13,Цены!$L$13,IF(BR61=Цены!$H$14,Цены!$L$14,IF(BR61=Цены!$H$14,Цены!$L$14,IF(BR61=Цены!$H$15,Цены!$L$15,IF(BR61=Цены!$H$16,Цены!$L$16,IF(BR61=Цены!$H$17,Цены!$L$17,IF(BR61=Цены!$H$18,Цены!$L$18,IF(BR61=Цены!$H$19,Цены!$L$19,IF(BR61=Цены!$H$20,Цены!$L$20,IF(BR61=Цены!$H$21,Цены!$L$21,IF(BR61=Цены!$H$22,Цены!$L$22,IF(BR61=Цены!$H$23,Цены!$L$23,IF(BR61=Цены!$H$24,Цены!$L$24,IF(BR61=Цены!$H$25,Цены!$L$25,IF(BR61=Цены!$H$26,Цены!$L$26,IF(BR61=Цены!$H$27,Цены!$L$27,IF(BR61=Цены!$H$28,Цены!$L$28,IF(BR61=Цены!$H$29,Цены!$L$29,IF(BR61=Цены!$H$30,Цены!$L$30,IF(BR61=Цены!$H$31,Цены!$L$31,IF(BR61=Цены!$H$32,Цены!$L$32,IF(BR61=Цены!$H$33,Цены!$L$33,IF(BR61=Цены!$H$34,Цены!$L$34,IF(BR61=Цены!$H$35,Цены!$L$35,IF(BR61=Цены!$H$36,Цены!$L$36,IF(BR61=Цены!$H$37,Цены!$L$37,IF(BR61=Цены!$H$38,Цены!$L$38,IF(BR61=Цены!$H$39,Цены!$L$39,IF(BR61=Цены!$H$40,Цены!$L$40,IF(BR61=Цены!$H$41,Цены!$L$41,IF(BR61=Цены!$H$42,Цены!$L$42,IF(BR61=Цены!$H$43,Цены!$L$43,IF(BR61=Цены!$H$44,Цены!$L$44,IF(BR61=Цены!$H$45,Цены!$L$45,IF(BR61=Цены!$H$46,Цены!$L$46,IF(BR61=Цены!$H$47,Цены!$L$47,IF(BR61=Цены!$H$48,Цены!$L$48,IF(BR61=Цены!$H$49,Цены!$L$49,IF(BR61=Цены!$H$50,Цены!$L$50,IF(BR61=Цены!$H$51,Цены!$L$51,IF(BR61=Цены!$H$52,Цены!$L$52,IF(BR61=Цены!$H$53,Цены!$L$53,IF(BR61=Цены!$H$54,Цены!$L$54,IF(BR61=Цены!$H$55,Цены!$L$55))))))))))))))))))))))))))))))))))))))))))))))))))))))</f>
        <v>0</v>
      </c>
      <c r="BU61" s="276"/>
      <c r="BV61" s="34" t="b">
        <f>IF(BR61=Цены!$H$3,Цены!$K$3,IF(BR61=Цены!$H$4,Цены!$K$4,IF(BR61=Цены!$H$5,Цены!$K$5,IF(BR61=Цены!$H$6,Цены!$K$6,IF(BR61=Цены!$H$7,Цены!$K$7,IF(BR61=Цены!$H$8,Цены!$K$8,IF(BR61=Цены!$H$9,Цены!$K$9,IF(BR61=Цены!$H$10,Цены!$K$10,IF(BR61=Цены!$H$11,Цены!$K$11,IF(BR61=Цены!$H$12,Цены!$K$12,IF(BR61=Цены!$H$13,Цены!$K$13,IF(BR61=Цены!$H$14,Цены!$K$14,IF(BR61=Цены!$H$14,Цены!$K$14,IF(BR61=Цены!$H$15,Цены!$K$15,IF(BR61=Цены!$H$16,Цены!$K$16,IF(BR61=Цены!$H$17,Цены!$K$17,IF(BR61=Цены!$H$18,Цены!$K$18,IF(BR61=Цены!$H$19,Цены!$K$19,IF(BR61=Цены!$H$20,Цены!$K$20,IF(BR61=Цены!$H$21,Цены!$K$21,IF(BR61=Цены!$H$22,Цены!$K$22,IF(BR61=Цены!$H$23,Цены!$K$23,IF(BR61=Цены!$H$24,Цены!$K$24,IF(BR61=Цены!$H$25,Цены!$K$25,IF(BR61=Цены!$H$26,Цены!$K$26,IF(BR61=Цены!$H$27,Цены!$K$27,IF(BR61=Цены!$H$28,Цены!$K$28,IF(BR61=Цены!$H$29,Цены!$K$29,IF(BR61=Цены!$H$30,Цены!$K$30,IF(BR61=Цены!$H$31,Цены!$K$31,IF(BR61=Цены!$H$32,Цены!$K$32,IF(BR61=Цены!$H$33,Цены!$K$33,IF(BR61=Цены!$H$34,Цены!$K$34,IF(BR61=Цены!$H$35,Цены!$K$35,IF(BR61=Цены!$H$36,Цены!$K$36,IF(BR61=Цены!$H$37,Цены!$K$37,IF(BR61=Цены!$H$38,Цены!$K$38,IF(BR61=Цены!$H$39,Цены!$K$39,IF(BR61=Цены!$H$40,Цены!$K$40,IF(BR61=Цены!$H$41,Цены!$K$41,IF(BR61=Цены!$H$42,Цены!$K$42,IF(BR61=Цены!$H$43,Цены!$K$43,IF(BR61=Цены!$H$44,Цены!$K$44,IF(BR61=Цены!$H$45,Цены!$K$45,IF(BR61=Цены!$H$46,Цены!$K$46,IF(BR61=Цены!$H$47,Цены!$K$47,IF(BR61=Цены!$H$48,Цены!$K$48,IF(BR61=Цены!$H$49,Цены!$K$49,IF(BR61=Цены!$H$50,Цены!$K$50,IF(BR61=Цены!$H$51,Цены!$K$51,IF(BR61=Цены!$H$52,Цены!$K$52,IF(BR61=Цены!$H$53,Цены!$K$53,IF(BR61=Цены!$H$54,Цены!$K$54,IF(BR61=Цены!$H$55,Цены!$K$55))))))))))))))))))))))))))))))))))))))))))))))))))))))</f>
        <v>0</v>
      </c>
      <c r="BW61" s="265"/>
      <c r="BX61" s="265"/>
      <c r="BY61" s="269"/>
      <c r="BZ61" s="286"/>
      <c r="CA61" s="286"/>
      <c r="CB61" s="268"/>
      <c r="CC61" s="269"/>
      <c r="CD61" s="287"/>
      <c r="CE61" s="117" t="s">
        <v>121</v>
      </c>
      <c r="CF61" s="43">
        <v>2</v>
      </c>
      <c r="CG61" s="33">
        <f>IF(CE61=Цены!$H$3,Цены!$L$3,IF(CE61=Цены!$H$4,Цены!$L$4,IF(CE61=Цены!$H$5,Цены!$L$5,IF(CE61=Цены!$H$6,Цены!$L$6,IF(CE61=Цены!$H$7,Цены!$L$7,IF(CE61=Цены!$H$8,Цены!$L$8,IF(CE61=Цены!$H$9,Цены!$L$9,IF(CE61=Цены!$H$10,Цены!$L$10,IF(CE61=Цены!$H$11,Цены!$L$11,IF(CE61=Цены!$H$12,Цены!$L$12,IF(CE61=Цены!$H$13,Цены!$L$13,IF(CE61=Цены!$H$14,Цены!$L$14,IF(CE61=Цены!$H$14,Цены!$L$14,IF(CE61=Цены!$H$15,Цены!$L$15,IF(CE61=Цены!$H$16,Цены!$L$16,IF(CE61=Цены!$H$17,Цены!$L$17,IF(CE61=Цены!$H$18,Цены!$L$18,IF(CE61=Цены!$H$19,Цены!$L$19,IF(CE61=Цены!$H$20,Цены!$L$20,IF(CE61=Цены!$H$21,Цены!$L$21,IF(CE61=Цены!$H$22,Цены!$L$22,IF(CE61=Цены!$H$23,Цены!$L$23,IF(CE61=Цены!$H$24,Цены!$L$24,IF(CE61=Цены!$H$25,Цены!$L$25,IF(CE61=Цены!$H$26,Цены!$L$26,IF(CE61=Цены!$H$27,Цены!$L$27,IF(CE61=Цены!$H$28,Цены!$L$28,IF(CE61=Цены!$H$29,Цены!$L$29,IF(CE61=Цены!$H$30,Цены!$L$30,IF(CE61=Цены!$H$31,Цены!$L$31,IF(CE61=Цены!$H$32,Цены!$L$32,IF(CE61=Цены!$H$33,Цены!$L$33,IF(CE61=Цены!$H$34,Цены!$L$34,IF(CE61=Цены!$H$35,Цены!$L$35,IF(CE61=Цены!$H$36,Цены!$L$36,IF(CE61=Цены!$H$37,Цены!$L$37,IF(CE61=Цены!$H$38,Цены!$L$38,IF(CE61=Цены!$H$39,Цены!$L$39,IF(CE61=Цены!$H$40,Цены!$L$40,IF(CE61=Цены!$H$41,Цены!$L$41,IF(CE61=Цены!$H$42,Цены!$L$42,IF(CE61=Цены!$H$43,Цены!$L$43,IF(CE61=Цены!$H$44,Цены!$L$44,IF(CE61=Цены!$H$45,Цены!$L$45,IF(CE61=Цены!$H$46,Цены!$L$46,IF(CE61=Цены!$H$47,Цены!$L$47,IF(CE61=Цены!$H$48,Цены!$L$48,IF(CE61=Цены!$H$49,Цены!$L$49,IF(CE61=Цены!$H$50,Цены!$L$50,IF(CE61=Цены!$H$51,Цены!$L$51,IF(CE61=Цены!$H$52,Цены!$L$52,IF(CE61=Цены!$H$53,Цены!$L$53,IF(CE61=Цены!$H$54,Цены!$L$54,IF(CE61=Цены!$H$55,Цены!$L$55))))))))))))))))))))))))))))))))))))))))))))))))))))))</f>
        <v>1.32E-2</v>
      </c>
      <c r="CH61" s="276"/>
      <c r="CI61" s="34">
        <f>IF(CE61=Цены!$H$3,Цены!$K$3,IF(CE61=Цены!$H$4,Цены!$K$4,IF(CE61=Цены!$H$5,Цены!$K$5,IF(CE61=Цены!$H$6,Цены!$K$6,IF(CE61=Цены!$H$7,Цены!$K$7,IF(CE61=Цены!$H$8,Цены!$K$8,IF(CE61=Цены!$H$9,Цены!$K$9,IF(CE61=Цены!$H$10,Цены!$K$10,IF(CE61=Цены!$H$11,Цены!$K$11,IF(CE61=Цены!$H$12,Цены!$K$12,IF(CE61=Цены!$H$13,Цены!$K$13,IF(CE61=Цены!$H$14,Цены!$K$14,IF(CE61=Цены!$H$14,Цены!$K$14,IF(CE61=Цены!$H$15,Цены!$K$15,IF(CE61=Цены!$H$16,Цены!$K$16,IF(CE61=Цены!$H$17,Цены!$K$17,IF(CE61=Цены!$H$18,Цены!$K$18,IF(CE61=Цены!$H$19,Цены!$K$19,IF(CE61=Цены!$H$20,Цены!$K$20,IF(CE61=Цены!$H$21,Цены!$K$21,IF(CE61=Цены!$H$22,Цены!$K$22,IF(CE61=Цены!$H$23,Цены!$K$23,IF(CE61=Цены!$H$24,Цены!$K$24,IF(CE61=Цены!$H$25,Цены!$K$25,IF(CE61=Цены!$H$26,Цены!$K$26,IF(CE61=Цены!$H$27,Цены!$K$27,IF(CE61=Цены!$H$28,Цены!$K$28,IF(CE61=Цены!$H$29,Цены!$K$29,IF(CE61=Цены!$H$30,Цены!$K$30,IF(CE61=Цены!$H$31,Цены!$K$31,IF(CE61=Цены!$H$32,Цены!$K$32,IF(CE61=Цены!$H$33,Цены!$K$33,IF(CE61=Цены!$H$34,Цены!$K$34,IF(CE61=Цены!$H$35,Цены!$K$35,IF(CE61=Цены!$H$36,Цены!$K$36,IF(CE61=Цены!$H$37,Цены!$K$37,IF(CE61=Цены!$H$38,Цены!$K$38,IF(CE61=Цены!$H$39,Цены!$K$39,IF(CE61=Цены!$H$40,Цены!$K$40,IF(CE61=Цены!$H$41,Цены!$K$41,IF(CE61=Цены!$H$42,Цены!$K$42,IF(CE61=Цены!$H$43,Цены!$K$43,IF(CE61=Цены!$H$44,Цены!$K$44,IF(CE61=Цены!$H$45,Цены!$K$45,IF(CE61=Цены!$H$46,Цены!$K$46,IF(CE61=Цены!$H$47,Цены!$K$47,IF(CE61=Цены!$H$48,Цены!$K$48,IF(CE61=Цены!$H$49,Цены!$K$49,IF(CE61=Цены!$H$50,Цены!$K$50,IF(CE61=Цены!$H$51,Цены!$K$51,IF(CE61=Цены!$H$52,Цены!$K$52,IF(CE61=Цены!$H$53,Цены!$K$53,IF(CE61=Цены!$H$54,Цены!$K$54,IF(CE61=Цены!$H$55,Цены!$K$55))))))))))))))))))))))))))))))))))))))))))))))))))))))</f>
        <v>54</v>
      </c>
      <c r="CJ61" s="265"/>
      <c r="CK61" s="265"/>
      <c r="CL61" s="269"/>
      <c r="CM61" s="286"/>
      <c r="CN61" s="286"/>
      <c r="CO61" s="268"/>
      <c r="CP61" s="269"/>
      <c r="CQ61" s="287"/>
    </row>
    <row r="62" spans="1:95" ht="15.75" hidden="1" customHeight="1" x14ac:dyDescent="0.25">
      <c r="A62" s="341"/>
      <c r="B62" s="265"/>
      <c r="C62" s="265"/>
      <c r="D62" s="26" t="s">
        <v>121</v>
      </c>
      <c r="E62" s="25">
        <v>4</v>
      </c>
      <c r="F62" s="27">
        <f>IF(D62=Цены!$H$3,Цены!$L$3,IF(D62=Цены!$H$4,Цены!$L$4,IF(D62=Цены!$H$5,Цены!$L$5,IF(D62=Цены!$H$6,Цены!$L$6,IF(D62=Цены!$H$7,Цены!$L$7,IF(D62=Цены!$H$8,Цены!$L$8,IF(D62=Цены!$H$9,Цены!$L$9,IF(D62=Цены!$H$10,Цены!$L$10,IF(D62=Цены!$H$11,Цены!$L$11,IF(D62=Цены!$H$12,Цены!$L$12,IF(D62=Цены!$H$13,Цены!$L$13,IF(D62=Цены!$H$14,Цены!$L$14,IF(D62=Цены!$H$14,Цены!$L$14,IF(D62=Цены!$H$15,Цены!$L$15,IF(D62=Цены!$H$16,Цены!$L$16,IF(D62=Цены!$H$17,Цены!$L$17,IF(D62=Цены!$H$18,Цены!$L$18,IF(D62=Цены!$H$19,Цены!$L$19,IF(D62=Цены!$H$20,Цены!$L$20,IF(D62=Цены!$H$21,Цены!$L$21,IF(D62=Цены!$H$22,Цены!$L$22,IF(D62=Цены!$H$23,Цены!$L$23,IF(D62=Цены!$H$24,Цены!$L$24,IF(D62=Цены!$H$25,Цены!$L$25,IF(D62=Цены!$H$26,Цены!$L$26,IF(D62=Цены!$H$27,Цены!$L$27,IF(D62=Цены!$H$28,Цены!$L$28,IF(D62=Цены!$H$29,Цены!$L$29,IF(D62=Цены!$H$30,Цены!$L$30,IF(D62=Цены!$H$31,Цены!$L$31,IF(D62=Цены!$H$32,Цены!$L$32,IF(D62=Цены!$H$33,Цены!$L$33,IF(D62=Цены!$H$34,Цены!$L$34,IF(D62=Цены!$H$35,Цены!$L$35,IF(D62=Цены!$H$36,Цены!$L$36,IF(D62=Цены!$H$37,Цены!$L$37,IF(D62=Цены!$H$38,Цены!$L$38,IF(D62=Цены!$H$39,Цены!$L$39,IF(D62=Цены!$H$40,Цены!$L$40,IF(D62=Цены!$H$41,Цены!$L$41,IF(D62=Цены!$H$42,Цены!$L$42,IF(D62=Цены!$H$43,Цены!$L$43,IF(D62=Цены!$H$44,Цены!$L$44,IF(D62=Цены!$H$45,Цены!$L$45,IF(D62=Цены!$H$46,Цены!$L$46,IF(D62=Цены!$H$47,Цены!$L$47,IF(D62=Цены!$H$48,Цены!$L$48,IF(D62=Цены!$H$49,Цены!$L$49,IF(D62=Цены!$H$50,Цены!$L$50,IF(D62=Цены!$H$51,Цены!$L$51,IF(D62=Цены!$H$52,Цены!$L$52,IF(D62=Цены!$H$53,Цены!$L$53,IF(D62=Цены!$H$54,Цены!$L$54,IF(D62=Цены!$H$55,Цены!$L$55))))))))))))))))))))))))))))))))))))))))))))))))))))))</f>
        <v>1.32E-2</v>
      </c>
      <c r="G62" s="309"/>
      <c r="H62" s="28">
        <f>IF(D62=Цены!$H$3,Цены!$K$3,IF(D62=Цены!$H$4,Цены!$K$4,IF(D62=Цены!$H$5,Цены!$K$5,IF(D62=Цены!$H$6,Цены!$K$6,IF(D62=Цены!$H$7,Цены!$K$7,IF(D62=Цены!$H$8,Цены!$K$8,IF(D62=Цены!$H$9,Цены!$K$9,IF(D62=Цены!$H$10,Цены!$K$10,IF(D62=Цены!$H$11,Цены!$K$11,IF(D62=Цены!$H$12,Цены!$K$12,IF(D62=Цены!$H$13,Цены!$K$13,IF(D62=Цены!$H$14,Цены!$K$14,IF(D62=Цены!$H$14,Цены!$K$14,IF(D62=Цены!$H$15,Цены!$K$15,IF(D62=Цены!$H$16,Цены!$K$16,IF(D62=Цены!$H$17,Цены!$K$17,IF(D62=Цены!$H$18,Цены!$K$18,IF(D62=Цены!$H$19,Цены!$K$19,IF(D62=Цены!$H$20,Цены!$K$20,IF(D62=Цены!$H$21,Цены!$K$21,IF(D62=Цены!$H$22,Цены!$K$22,IF(D62=Цены!$H$23,Цены!$K$23,IF(D62=Цены!$H$24,Цены!$K$24,IF(D62=Цены!$H$25,Цены!$K$25,IF(D62=Цены!$H$26,Цены!$K$26,IF(D62=Цены!$H$27,Цены!$K$27,IF(D62=Цены!$H$28,Цены!$K$28,IF(D62=Цены!$H$29,Цены!$K$29,IF(D62=Цены!$H$30,Цены!$K$30,IF(D62=Цены!$H$31,Цены!$K$31,IF(D62=Цены!$H$32,Цены!$K$32,IF(D62=Цены!$H$33,Цены!$K$33,IF(D62=Цены!$H$34,Цены!$K$34,IF(D62=Цены!$H$35,Цены!$K$35,IF(D62=Цены!$H$36,Цены!$K$36,IF(D62=Цены!$H$37,Цены!$K$37,IF(D62=Цены!$H$38,Цены!$K$38,IF(D62=Цены!$H$39,Цены!$K$39,IF(D62=Цены!$H$40,Цены!$K$40,IF(D62=Цены!$H$41,Цены!$K$41,IF(D62=Цены!$H$42,Цены!$K$42,IF(D62=Цены!$H$43,Цены!$K$43,IF(D62=Цены!$H$44,Цены!$K$44,IF(D62=Цены!$H$45,Цены!$K$45,IF(D62=Цены!$H$46,Цены!$K$46,IF(D62=Цены!$H$47,Цены!$K$47,IF(D62=Цены!$H$48,Цены!$K$48,IF(D62=Цены!$H$49,Цены!$K$49,IF(D62=Цены!$H$50,Цены!$K$50,IF(D62=Цены!$H$51,Цены!$K$51,IF(D62=Цены!$H$52,Цены!$K$52,IF(D62=Цены!$H$53,Цены!$K$53,IF(D62=Цены!$H$54,Цены!$K$54,IF(D62=Цены!$H$55,Цены!$K$55))))))))))))))))))))))))))))))))))))))))))))))))))))))</f>
        <v>54</v>
      </c>
      <c r="I62" s="265"/>
      <c r="J62" s="265"/>
      <c r="K62" s="310"/>
      <c r="L62" s="265"/>
      <c r="M62" s="265"/>
      <c r="N62" s="265"/>
      <c r="O62" s="310"/>
      <c r="P62" s="313"/>
      <c r="Q62" s="35"/>
      <c r="R62" s="30"/>
      <c r="S62" s="27" t="b">
        <f>IF(Q62=Цены!$H$3,Цены!$L$3,IF(Q62=Цены!$H$4,Цены!$L$4,IF(Q62=Цены!$H$5,Цены!$L$5,IF(Q62=Цены!$H$6,Цены!$L$6,IF(Q62=Цены!$H$7,Цены!$L$7,IF(Q62=Цены!$H$8,Цены!$L$8,IF(Q62=Цены!$H$9,Цены!$L$9,IF(Q62=Цены!$H$10,Цены!$L$10,IF(Q62=Цены!$H$11,Цены!$L$11,IF(Q62=Цены!$H$12,Цены!$L$12,IF(Q62=Цены!$H$13,Цены!$L$13,IF(Q62=Цены!$H$14,Цены!$L$14,IF(Q62=Цены!$H$14,Цены!$L$14,IF(Q62=Цены!$H$15,Цены!$L$15,IF(Q62=Цены!$H$16,Цены!$L$16,IF(Q62=Цены!$H$17,Цены!$L$17,IF(Q62=Цены!$H$18,Цены!$L$18,IF(Q62=Цены!$H$19,Цены!$L$19,IF(Q62=Цены!$H$20,Цены!$L$20,IF(Q62=Цены!$H$21,Цены!$L$21,IF(Q62=Цены!$H$22,Цены!$L$22,IF(Q62=Цены!$H$23,Цены!$L$23,IF(Q62=Цены!$H$24,Цены!$L$24,IF(Q62=Цены!$H$25,Цены!$L$25,IF(Q62=Цены!$H$26,Цены!$L$26,IF(Q62=Цены!$H$27,Цены!$L$27,IF(Q62=Цены!$H$28,Цены!$L$28,IF(Q62=Цены!$H$29,Цены!$L$29,IF(Q62=Цены!$H$30,Цены!$L$30,IF(Q62=Цены!$H$31,Цены!$L$31,IF(Q62=Цены!$H$32,Цены!$L$32,IF(Q62=Цены!$H$33,Цены!$L$33,IF(Q62=Цены!$H$34,Цены!$L$34,IF(Q62=Цены!$H$35,Цены!$L$35,IF(Q62=Цены!$H$36,Цены!$L$36,IF(Q62=Цены!$H$37,Цены!$L$37,IF(Q62=Цены!$H$38,Цены!$L$38,IF(Q62=Цены!$H$39,Цены!$L$39,IF(Q62=Цены!$H$40,Цены!$L$40,IF(Q62=Цены!$H$41,Цены!$L$41,IF(Q62=Цены!$H$42,Цены!$L$42,IF(Q62=Цены!$H$43,Цены!$L$43,IF(Q62=Цены!$H$44,Цены!$L$44,IF(Q62=Цены!$H$45,Цены!$L$45,IF(Q62=Цены!$H$46,Цены!$L$46,IF(Q62=Цены!$H$47,Цены!$L$47,IF(Q62=Цены!$H$48,Цены!$L$48,IF(Q62=Цены!$H$49,Цены!$L$49,IF(Q62=Цены!$H$50,Цены!$L$50,IF(Q62=Цены!$H$51,Цены!$L$51,IF(Q62=Цены!$H$52,Цены!$L$52,IF(Q62=Цены!$H$53,Цены!$L$53,IF(Q62=Цены!$H$54,Цены!$L$54,IF(Q62=Цены!$H$55,Цены!$L$55))))))))))))))))))))))))))))))))))))))))))))))))))))))</f>
        <v>0</v>
      </c>
      <c r="T62" s="309"/>
      <c r="U62" s="162" t="b">
        <f>IF(Q62=Цены!$H$3,Цены!$K$3,IF(Q62=Цены!$H$4,Цены!$K$4,IF(Q62=Цены!$H$5,Цены!$K$5,IF(Q62=Цены!$H$6,Цены!$K$6,IF(Q62=Цены!$H$7,Цены!$K$7,IF(Q62=Цены!$H$8,Цены!$K$8,IF(Q62=Цены!$H$9,Цены!$K$9,IF(Q62=Цены!$H$10,Цены!$K$10,IF(Q62=Цены!$H$11,Цены!$K$11,IF(Q62=Цены!$H$12,Цены!$K$12,IF(Q62=Цены!$H$13,Цены!$K$13,IF(Q62=Цены!$H$14,Цены!$K$14,IF(Q62=Цены!$H$14,Цены!$K$14,IF(Q62=Цены!$H$15,Цены!$K$15,IF(Q62=Цены!$H$16,Цены!$K$16,IF(Q62=Цены!$H$17,Цены!$K$17,IF(Q62=Цены!$H$18,Цены!$K$18,IF(Q62=Цены!$H$19,Цены!$K$19,IF(Q62=Цены!$H$20,Цены!$K$20,IF(Q62=Цены!$H$21,Цены!$K$21,IF(Q62=Цены!$H$22,Цены!$K$22,IF(Q62=Цены!$H$23,Цены!$K$23,IF(Q62=Цены!$H$24,Цены!$K$24,IF(Q62=Цены!$H$25,Цены!$K$25,IF(Q62=Цены!$H$26,Цены!$K$26,IF(Q62=Цены!$H$27,Цены!$K$27,IF(Q62=Цены!$H$28,Цены!$K$28,IF(Q62=Цены!$H$29,Цены!$K$29,IF(Q62=Цены!$H$30,Цены!$K$30,IF(Q62=Цены!$H$31,Цены!$K$31,IF(Q62=Цены!$H$32,Цены!$K$32,IF(Q62=Цены!$H$33,Цены!$K$33,IF(Q62=Цены!$H$34,Цены!$K$34,IF(Q62=Цены!$H$35,Цены!$K$35,IF(Q62=Цены!$H$36,Цены!$K$36,IF(Q62=Цены!$H$37,Цены!$K$37,IF(Q62=Цены!$H$38,Цены!$K$38,IF(Q62=Цены!$H$39,Цены!$K$39,IF(Q62=Цены!$H$40,Цены!$K$40,IF(Q62=Цены!$H$41,Цены!$K$41,IF(Q62=Цены!$H$42,Цены!$K$42,IF(Q62=Цены!$H$43,Цены!$K$43,IF(Q62=Цены!$H$44,Цены!$K$44,IF(Q62=Цены!$H$45,Цены!$K$45,IF(Q62=Цены!$H$46,Цены!$K$46,IF(Q62=Цены!$H$47,Цены!$K$47,IF(Q62=Цены!$H$48,Цены!$K$48,IF(Q62=Цены!$H$49,Цены!$K$49,IF(Q62=Цены!$H$50,Цены!$K$50,IF(Q62=Цены!$H$51,Цены!$K$51,IF(Q62=Цены!$H$52,Цены!$K$52,IF(Q62=Цены!$H$53,Цены!$K$53,IF(Q62=Цены!$H$54,Цены!$K$54,IF(Q62=Цены!$H$55,Цены!$K$55))))))))))))))))))))))))))))))))))))))))))))))))))))))</f>
        <v>0</v>
      </c>
      <c r="V62" s="265"/>
      <c r="W62" s="265"/>
      <c r="X62" s="310"/>
      <c r="Y62" s="265"/>
      <c r="Z62" s="265"/>
      <c r="AA62" s="265"/>
      <c r="AB62" s="310"/>
      <c r="AC62" s="313"/>
      <c r="AD62" s="123" t="s">
        <v>144</v>
      </c>
      <c r="AE62" s="30">
        <v>8</v>
      </c>
      <c r="AF62" s="27">
        <f>IF(AD62=Цены!$H$3,Цены!$L$3,IF(AD62=Цены!$H$4,Цены!$L$4,IF(AD62=Цены!$H$5,Цены!$L$5,IF(AD62=Цены!$H$6,Цены!$L$6,IF(AD62=Цены!$H$7,Цены!$L$7,IF(AD62=Цены!$H$8,Цены!$L$8,IF(AD62=Цены!$H$9,Цены!$L$9,IF(AD62=Цены!$H$10,Цены!$L$10,IF(AD62=Цены!$H$11,Цены!$L$11,IF(AD62=Цены!$H$12,Цены!$L$12,IF(AD62=Цены!$H$13,Цены!$L$13,IF(AD62=Цены!$H$14,Цены!$L$14,IF(AD62=Цены!$H$14,Цены!$L$14,IF(AD62=Цены!$H$15,Цены!$L$15,IF(AD62=Цены!$H$16,Цены!$L$16,IF(AD62=Цены!$H$17,Цены!$L$17,IF(AD62=Цены!$H$18,Цены!$L$18,IF(AD62=Цены!$H$19,Цены!$L$19,IF(AD62=Цены!$H$20,Цены!$L$20,IF(AD62=Цены!$H$21,Цены!$L$21,IF(AD62=Цены!$H$22,Цены!$L$22,IF(AD62=Цены!$H$23,Цены!$L$23,IF(AD62=Цены!$H$24,Цены!$L$24,IF(AD62=Цены!$H$25,Цены!$L$25,IF(AD62=Цены!$H$26,Цены!$L$26,IF(AD62=Цены!$H$27,Цены!$L$27,IF(AD62=Цены!$H$28,Цены!$L$28,IF(AD62=Цены!$H$29,Цены!$L$29,IF(AD62=Цены!$H$30,Цены!$L$30,IF(AD62=Цены!$H$31,Цены!$L$31,IF(AD62=Цены!$H$32,Цены!$L$32,IF(AD62=Цены!$H$33,Цены!$L$33,IF(AD62=Цены!$H$34,Цены!$L$34,IF(AD62=Цены!$H$35,Цены!$L$35,IF(AD62=Цены!$H$36,Цены!$L$36,IF(AD62=Цены!$H$37,Цены!$L$37,IF(AD62=Цены!$H$38,Цены!$L$38,IF(AD62=Цены!$H$39,Цены!$L$39,IF(AD62=Цены!$H$40,Цены!$L$40,IF(AD62=Цены!$H$41,Цены!$L$41,IF(AD62=Цены!$H$42,Цены!$L$42,IF(AD62=Цены!$H$43,Цены!$L$43,IF(AD62=Цены!$H$44,Цены!$L$44,IF(AD62=Цены!$H$45,Цены!$L$45,IF(AD62=Цены!$H$46,Цены!$L$46,IF(AD62=Цены!$H$47,Цены!$L$47,IF(AD62=Цены!$H$48,Цены!$L$48,IF(AD62=Цены!$H$49,Цены!$L$49,IF(AD62=Цены!$H$50,Цены!$L$50,IF(AD62=Цены!$H$51,Цены!$L$51,IF(AD62=Цены!$H$52,Цены!$L$52,IF(AD62=Цены!$H$53,Цены!$L$53,IF(AD62=Цены!$H$54,Цены!$L$54,IF(AD62=Цены!$H$55,Цены!$L$55))))))))))))))))))))))))))))))))))))))))))))))))))))))</f>
        <v>0.19</v>
      </c>
      <c r="AG62" s="309"/>
      <c r="AH62" s="28">
        <f>IF(AD62=Цены!$H$3,Цены!$K$3,IF(AD62=Цены!$H$4,Цены!$K$4,IF(AD62=Цены!$H$5,Цены!$K$5,IF(AD62=Цены!$H$6,Цены!$K$6,IF(AD62=Цены!$H$7,Цены!$K$7,IF(AD62=Цены!$H$8,Цены!$K$8,IF(AD62=Цены!$H$9,Цены!$K$9,IF(AD62=Цены!$H$10,Цены!$K$10,IF(AD62=Цены!$H$11,Цены!$K$11,IF(AD62=Цены!$H$12,Цены!$K$12,IF(AD62=Цены!$H$13,Цены!$K$13,IF(AD62=Цены!$H$14,Цены!$K$14,IF(AD62=Цены!$H$14,Цены!$K$14,IF(AD62=Цены!$H$15,Цены!$K$15,IF(AD62=Цены!$H$16,Цены!$K$16,IF(AD62=Цены!$H$17,Цены!$K$17,IF(AD62=Цены!$H$18,Цены!$K$18,IF(AD62=Цены!$H$19,Цены!$K$19,IF(AD62=Цены!$H$20,Цены!$K$20,IF(AD62=Цены!$H$21,Цены!$K$21,IF(AD62=Цены!$H$22,Цены!$K$22,IF(AD62=Цены!$H$23,Цены!$K$23,IF(AD62=Цены!$H$24,Цены!$K$24,IF(AD62=Цены!$H$25,Цены!$K$25,IF(AD62=Цены!$H$26,Цены!$K$26,IF(AD62=Цены!$H$27,Цены!$K$27,IF(AD62=Цены!$H$28,Цены!$K$28,IF(AD62=Цены!$H$29,Цены!$K$29,IF(AD62=Цены!$H$30,Цены!$K$30,IF(AD62=Цены!$H$31,Цены!$K$31,IF(AD62=Цены!$H$32,Цены!$K$32,IF(AD62=Цены!$H$33,Цены!$K$33,IF(AD62=Цены!$H$34,Цены!$K$34,IF(AD62=Цены!$H$35,Цены!$K$35,IF(AD62=Цены!$H$36,Цены!$K$36,IF(AD62=Цены!$H$37,Цены!$K$37,IF(AD62=Цены!$H$38,Цены!$K$38,IF(AD62=Цены!$H$39,Цены!$K$39,IF(AD62=Цены!$H$40,Цены!$K$40,IF(AD62=Цены!$H$41,Цены!$K$41,IF(AD62=Цены!$H$42,Цены!$K$42,IF(AD62=Цены!$H$43,Цены!$K$43,IF(AD62=Цены!$H$44,Цены!$K$44,IF(AD62=Цены!$H$45,Цены!$K$45,IF(AD62=Цены!$H$46,Цены!$K$46,IF(AD62=Цены!$H$47,Цены!$K$47,IF(AD62=Цены!$H$48,Цены!$K$48,IF(AD62=Цены!$H$49,Цены!$K$49,IF(AD62=Цены!$H$50,Цены!$K$50,IF(AD62=Цены!$H$51,Цены!$K$51,IF(AD62=Цены!$H$52,Цены!$K$52,IF(AD62=Цены!$H$53,Цены!$K$53,IF(AD62=Цены!$H$54,Цены!$K$54,IF(AD62=Цены!$H$55,Цены!$K$55))))))))))))))))))))))))))))))))))))))))))))))))))))))</f>
        <v>448</v>
      </c>
      <c r="AI62" s="265"/>
      <c r="AJ62" s="265"/>
      <c r="AK62" s="310"/>
      <c r="AL62" s="265"/>
      <c r="AM62" s="265"/>
      <c r="AN62" s="265"/>
      <c r="AO62" s="310"/>
      <c r="AP62" s="313"/>
      <c r="AQ62" s="117"/>
      <c r="AR62" s="129"/>
      <c r="AS62" s="33" t="b">
        <f>IF(AQ62=Цены!$H$3,Цены!$L$3,IF(AQ62=Цены!$H$4,Цены!$L$4,IF(AQ62=Цены!$H$5,Цены!$L$5,IF(AQ62=Цены!$H$6,Цены!$L$6,IF(AQ62=Цены!$H$7,Цены!$L$7,IF(AQ62=Цены!$H$8,Цены!$L$8,IF(AQ62=Цены!$H$9,Цены!$L$9,IF(AQ62=Цены!$H$10,Цены!$L$10,IF(AQ62=Цены!$H$11,Цены!$L$11,IF(AQ62=Цены!$H$12,Цены!$L$12,IF(AQ62=Цены!$H$13,Цены!$L$13,IF(AQ62=Цены!$H$14,Цены!$L$14,IF(AQ62=Цены!$H$14,Цены!$L$14,IF(AQ62=Цены!$H$15,Цены!$L$15,IF(AQ62=Цены!$H$16,Цены!$L$16,IF(AQ62=Цены!$H$17,Цены!$L$17,IF(AQ62=Цены!$H$18,Цены!$L$18,IF(AQ62=Цены!$H$19,Цены!$L$19,IF(AQ62=Цены!$H$20,Цены!$L$20,IF(AQ62=Цены!$H$21,Цены!$L$21,IF(AQ62=Цены!$H$22,Цены!$L$22,IF(AQ62=Цены!$H$23,Цены!$L$23,IF(AQ62=Цены!$H$24,Цены!$L$24,IF(AQ62=Цены!$H$25,Цены!$L$25,IF(AQ62=Цены!$H$26,Цены!$L$26,IF(AQ62=Цены!$H$27,Цены!$L$27,IF(AQ62=Цены!$H$28,Цены!$L$28,IF(AQ62=Цены!$H$29,Цены!$L$29,IF(AQ62=Цены!$H$30,Цены!$L$30,IF(AQ62=Цены!$H$31,Цены!$L$31,IF(AQ62=Цены!$H$32,Цены!$L$32,IF(AQ62=Цены!$H$33,Цены!$L$33,IF(AQ62=Цены!$H$34,Цены!$L$34,IF(AQ62=Цены!$H$35,Цены!$L$35,IF(AQ62=Цены!$H$36,Цены!$L$36,IF(AQ62=Цены!$H$37,Цены!$L$37,IF(AQ62=Цены!$H$38,Цены!$L$38,IF(AQ62=Цены!$H$39,Цены!$L$39,IF(AQ62=Цены!$H$40,Цены!$L$40,IF(AQ62=Цены!$H$41,Цены!$L$41,IF(AQ62=Цены!$H$42,Цены!$L$42,IF(AQ62=Цены!$H$43,Цены!$L$43,IF(AQ62=Цены!$H$44,Цены!$L$44,IF(AQ62=Цены!$H$45,Цены!$L$45,IF(AQ62=Цены!$H$46,Цены!$L$46,IF(AQ62=Цены!$H$47,Цены!$L$47,IF(AQ62=Цены!$H$48,Цены!$L$48,IF(AQ62=Цены!$H$49,Цены!$L$49,IF(AQ62=Цены!$H$50,Цены!$L$50,IF(AQ62=Цены!$H$51,Цены!$L$51,IF(AQ62=Цены!$H$52,Цены!$L$52,IF(AQ62=Цены!$H$53,Цены!$L$53,IF(AQ62=Цены!$H$54,Цены!$L$54,IF(AQ62=Цены!$H$55,Цены!$L$55))))))))))))))))))))))))))))))))))))))))))))))))))))))</f>
        <v>0</v>
      </c>
      <c r="AT62" s="276"/>
      <c r="AU62" s="34" t="b">
        <f>IF(AQ62=Цены!$H$3,Цены!$K$3,IF(AQ62=Цены!$H$4,Цены!$K$4,IF(AQ62=Цены!$H$5,Цены!$K$5,IF(AQ62=Цены!$H$6,Цены!$K$6,IF(AQ62=Цены!$H$7,Цены!$K$7,IF(AQ62=Цены!$H$8,Цены!$K$8,IF(AQ62=Цены!$H$9,Цены!$K$9,IF(AQ62=Цены!$H$10,Цены!$K$10,IF(AQ62=Цены!$H$11,Цены!$K$11,IF(AQ62=Цены!$H$12,Цены!$K$12,IF(AQ62=Цены!$H$13,Цены!$K$13,IF(AQ62=Цены!$H$14,Цены!$K$14,IF(AQ62=Цены!$H$14,Цены!$K$14,IF(AQ62=Цены!$H$15,Цены!$K$15,IF(AQ62=Цены!$H$16,Цены!$K$16,IF(AQ62=Цены!$H$17,Цены!$K$17,IF(AQ62=Цены!$H$18,Цены!$K$18,IF(AQ62=Цены!$H$19,Цены!$K$19,IF(AQ62=Цены!$H$20,Цены!$K$20,IF(AQ62=Цены!$H$21,Цены!$K$21,IF(AQ62=Цены!$H$22,Цены!$K$22,IF(AQ62=Цены!$H$23,Цены!$K$23,IF(AQ62=Цены!$H$24,Цены!$K$24,IF(AQ62=Цены!$H$25,Цены!$K$25,IF(AQ62=Цены!$H$26,Цены!$K$26,IF(AQ62=Цены!$H$27,Цены!$K$27,IF(AQ62=Цены!$H$28,Цены!$K$28,IF(AQ62=Цены!$H$29,Цены!$K$29,IF(AQ62=Цены!$H$30,Цены!$K$30,IF(AQ62=Цены!$H$31,Цены!$K$31,IF(AQ62=Цены!$H$32,Цены!$K$32,IF(AQ62=Цены!$H$33,Цены!$K$33,IF(AQ62=Цены!$H$34,Цены!$K$34,IF(AQ62=Цены!$H$35,Цены!$K$35,IF(AQ62=Цены!$H$36,Цены!$K$36,IF(AQ62=Цены!$H$37,Цены!$K$37,IF(AQ62=Цены!$H$38,Цены!$K$38,IF(AQ62=Цены!$H$39,Цены!$K$39,IF(AQ62=Цены!$H$40,Цены!$K$40,IF(AQ62=Цены!$H$41,Цены!$K$41,IF(AQ62=Цены!$H$42,Цены!$K$42,IF(AQ62=Цены!$H$43,Цены!$K$43,IF(AQ62=Цены!$H$44,Цены!$K$44,IF(AQ62=Цены!$H$45,Цены!$K$45,IF(AQ62=Цены!$H$46,Цены!$K$46,IF(AQ62=Цены!$H$47,Цены!$K$47,IF(AQ62=Цены!$H$48,Цены!$K$48,IF(AQ62=Цены!$H$49,Цены!$K$49,IF(AQ62=Цены!$H$50,Цены!$K$50,IF(AQ62=Цены!$H$51,Цены!$K$51,IF(AQ62=Цены!$H$52,Цены!$K$52,IF(AQ62=Цены!$H$53,Цены!$K$53,IF(AQ62=Цены!$H$54,Цены!$K$54,IF(AQ62=Цены!$H$55,Цены!$K$55))))))))))))))))))))))))))))))))))))))))))))))))))))))</f>
        <v>0</v>
      </c>
      <c r="AV62" s="265"/>
      <c r="AW62" s="265"/>
      <c r="AX62" s="269"/>
      <c r="AY62" s="286"/>
      <c r="AZ62" s="286"/>
      <c r="BA62" s="265"/>
      <c r="BB62" s="269"/>
      <c r="BC62" s="287"/>
      <c r="BD62" s="260"/>
      <c r="BE62" s="35"/>
      <c r="BF62" s="71"/>
      <c r="BG62" s="33" t="b">
        <f>IF(BE62=Цены!$H$3,Цены!$L$3,IF(BE62=Цены!$H$4,Цены!$L$4,IF(BE62=Цены!$H$5,Цены!$L$5,IF(BE62=Цены!$H$6,Цены!$L$6,IF(BE62=Цены!$H$7,Цены!$L$7,IF(BE62=Цены!$H$8,Цены!$L$8,IF(BE62=Цены!$H$9,Цены!$L$9,IF(BE62=Цены!$H$10,Цены!$L$10,IF(BE62=Цены!$H$11,Цены!$L$11,IF(BE62=Цены!$H$12,Цены!$L$12,IF(BE62=Цены!$H$13,Цены!$L$13,IF(BE62=Цены!$H$14,Цены!$L$14,IF(BE62=Цены!$H$14,Цены!$L$14,IF(BE62=Цены!$H$15,Цены!$L$15,IF(BE62=Цены!$H$16,Цены!$L$16,IF(BE62=Цены!$H$17,Цены!$L$17,IF(BE62=Цены!$H$18,Цены!$L$18,IF(BE62=Цены!$H$19,Цены!$L$19,IF(BE62=Цены!$H$20,Цены!$L$20,IF(BE62=Цены!$H$21,Цены!$L$21,IF(BE62=Цены!$H$22,Цены!$L$22,IF(BE62=Цены!$H$23,Цены!$L$23,IF(BE62=Цены!$H$24,Цены!$L$24,IF(BE62=Цены!$H$25,Цены!$L$25,IF(BE62=Цены!$H$26,Цены!$L$26,IF(BE62=Цены!$H$27,Цены!$L$27,IF(BE62=Цены!$H$28,Цены!$L$28,IF(BE62=Цены!$H$29,Цены!$L$29,IF(BE62=Цены!$H$30,Цены!$L$30,IF(BE62=Цены!$H$31,Цены!$L$31,IF(BE62=Цены!$H$32,Цены!$L$32,IF(BE62=Цены!$H$33,Цены!$L$33,IF(BE62=Цены!$H$34,Цены!$L$34,IF(BE62=Цены!$H$35,Цены!$L$35,IF(BE62=Цены!$H$36,Цены!$L$36,IF(BE62=Цены!$H$37,Цены!$L$37,IF(BE62=Цены!$H$38,Цены!$L$38,IF(BE62=Цены!$H$39,Цены!$L$39,IF(BE62=Цены!$H$40,Цены!$L$40,IF(BE62=Цены!$H$41,Цены!$L$41,IF(BE62=Цены!$H$42,Цены!$L$42,IF(BE62=Цены!$H$43,Цены!$L$43,IF(BE62=Цены!$H$44,Цены!$L$44,IF(BE62=Цены!$H$45,Цены!$L$45,IF(BE62=Цены!$H$46,Цены!$L$46,IF(BE62=Цены!$H$47,Цены!$L$47,IF(BE62=Цены!$H$48,Цены!$L$48,IF(BE62=Цены!$H$49,Цены!$L$49,IF(BE62=Цены!$H$50,Цены!$L$50,IF(BE62=Цены!$H$51,Цены!$L$51,IF(BE62=Цены!$H$52,Цены!$L$52,IF(BE62=Цены!$H$53,Цены!$L$53,IF(BE62=Цены!$H$54,Цены!$L$54,IF(BE62=Цены!$H$55,Цены!$L$55))))))))))))))))))))))))))))))))))))))))))))))))))))))</f>
        <v>0</v>
      </c>
      <c r="BH62" s="276"/>
      <c r="BI62" s="34" t="b">
        <f>IF(BE62=Цены!$H$3,Цены!$K$3,IF(BE62=Цены!$H$4,Цены!$K$4,IF(BE62=Цены!$H$5,Цены!$K$5,IF(BE62=Цены!$H$6,Цены!$K$6,IF(BE62=Цены!$H$7,Цены!$K$7,IF(BE62=Цены!$H$8,Цены!$K$8,IF(BE62=Цены!$H$9,Цены!$K$9,IF(BE62=Цены!$H$10,Цены!$K$10,IF(BE62=Цены!$H$11,Цены!$K$11,IF(BE62=Цены!$H$12,Цены!$K$12,IF(BE62=Цены!$H$13,Цены!$K$13,IF(BE62=Цены!$H$14,Цены!$K$14,IF(BE62=Цены!$H$14,Цены!$K$14,IF(BE62=Цены!$H$15,Цены!$K$15,IF(BE62=Цены!$H$16,Цены!$K$16,IF(BE62=Цены!$H$17,Цены!$K$17,IF(BE62=Цены!$H$18,Цены!$K$18,IF(BE62=Цены!$H$19,Цены!$K$19,IF(BE62=Цены!$H$20,Цены!$K$20,IF(BE62=Цены!$H$21,Цены!$K$21,IF(BE62=Цены!$H$22,Цены!$K$22,IF(BE62=Цены!$H$23,Цены!$K$23,IF(BE62=Цены!$H$24,Цены!$K$24,IF(BE62=Цены!$H$25,Цены!$K$25,IF(BE62=Цены!$H$26,Цены!$K$26,IF(BE62=Цены!$H$27,Цены!$K$27,IF(BE62=Цены!$H$28,Цены!$K$28,IF(BE62=Цены!$H$29,Цены!$K$29,IF(BE62=Цены!$H$30,Цены!$K$30,IF(BE62=Цены!$H$31,Цены!$K$31,IF(BE62=Цены!$H$32,Цены!$K$32,IF(BE62=Цены!$H$33,Цены!$K$33,IF(BE62=Цены!$H$34,Цены!$K$34,IF(BE62=Цены!$H$35,Цены!$K$35,IF(BE62=Цены!$H$36,Цены!$K$36,IF(BE62=Цены!$H$37,Цены!$K$37,IF(BE62=Цены!$H$38,Цены!$K$38,IF(BE62=Цены!$H$39,Цены!$K$39,IF(BE62=Цены!$H$40,Цены!$K$40,IF(BE62=Цены!$H$41,Цены!$K$41,IF(BE62=Цены!$H$42,Цены!$K$42,IF(BE62=Цены!$H$43,Цены!$K$43,IF(BE62=Цены!$H$44,Цены!$K$44,IF(BE62=Цены!$H$45,Цены!$K$45,IF(BE62=Цены!$H$46,Цены!$K$46,IF(BE62=Цены!$H$47,Цены!$K$47,IF(BE62=Цены!$H$48,Цены!$K$48,IF(BE62=Цены!$H$49,Цены!$K$49,IF(BE62=Цены!$H$50,Цены!$K$50,IF(BE62=Цены!$H$51,Цены!$K$51,IF(BE62=Цены!$H$52,Цены!$K$52,IF(BE62=Цены!$H$53,Цены!$K$53,IF(BE62=Цены!$H$54,Цены!$K$54,IF(BE62=Цены!$H$55,Цены!$K$55))))))))))))))))))))))))))))))))))))))))))))))))))))))</f>
        <v>0</v>
      </c>
      <c r="BJ62" s="265"/>
      <c r="BK62" s="265"/>
      <c r="BL62" s="269"/>
      <c r="BM62" s="286"/>
      <c r="BN62" s="286"/>
      <c r="BO62" s="268"/>
      <c r="BP62" s="269"/>
      <c r="BQ62" s="287"/>
      <c r="BR62" s="35"/>
      <c r="BS62" s="43"/>
      <c r="BT62" s="33" t="b">
        <f>IF(BR62=Цены!$H$3,Цены!$L$3,IF(BR62=Цены!$H$4,Цены!$L$4,IF(BR62=Цены!$H$5,Цены!$L$5,IF(BR62=Цены!$H$6,Цены!$L$6,IF(BR62=Цены!$H$7,Цены!$L$7,IF(BR62=Цены!$H$8,Цены!$L$8,IF(BR62=Цены!$H$9,Цены!$L$9,IF(BR62=Цены!$H$10,Цены!$L$10,IF(BR62=Цены!$H$11,Цены!$L$11,IF(BR62=Цены!$H$12,Цены!$L$12,IF(BR62=Цены!$H$13,Цены!$L$13,IF(BR62=Цены!$H$14,Цены!$L$14,IF(BR62=Цены!$H$14,Цены!$L$14,IF(BR62=Цены!$H$15,Цены!$L$15,IF(BR62=Цены!$H$16,Цены!$L$16,IF(BR62=Цены!$H$17,Цены!$L$17,IF(BR62=Цены!$H$18,Цены!$L$18,IF(BR62=Цены!$H$19,Цены!$L$19,IF(BR62=Цены!$H$20,Цены!$L$20,IF(BR62=Цены!$H$21,Цены!$L$21,IF(BR62=Цены!$H$22,Цены!$L$22,IF(BR62=Цены!$H$23,Цены!$L$23,IF(BR62=Цены!$H$24,Цены!$L$24,IF(BR62=Цены!$H$25,Цены!$L$25,IF(BR62=Цены!$H$26,Цены!$L$26,IF(BR62=Цены!$H$27,Цены!$L$27,IF(BR62=Цены!$H$28,Цены!$L$28,IF(BR62=Цены!$H$29,Цены!$L$29,IF(BR62=Цены!$H$30,Цены!$L$30,IF(BR62=Цены!$H$31,Цены!$L$31,IF(BR62=Цены!$H$32,Цены!$L$32,IF(BR62=Цены!$H$33,Цены!$L$33,IF(BR62=Цены!$H$34,Цены!$L$34,IF(BR62=Цены!$H$35,Цены!$L$35,IF(BR62=Цены!$H$36,Цены!$L$36,IF(BR62=Цены!$H$37,Цены!$L$37,IF(BR62=Цены!$H$38,Цены!$L$38,IF(BR62=Цены!$H$39,Цены!$L$39,IF(BR62=Цены!$H$40,Цены!$L$40,IF(BR62=Цены!$H$41,Цены!$L$41,IF(BR62=Цены!$H$42,Цены!$L$42,IF(BR62=Цены!$H$43,Цены!$L$43,IF(BR62=Цены!$H$44,Цены!$L$44,IF(BR62=Цены!$H$45,Цены!$L$45,IF(BR62=Цены!$H$46,Цены!$L$46,IF(BR62=Цены!$H$47,Цены!$L$47,IF(BR62=Цены!$H$48,Цены!$L$48,IF(BR62=Цены!$H$49,Цены!$L$49,IF(BR62=Цены!$H$50,Цены!$L$50,IF(BR62=Цены!$H$51,Цены!$L$51,IF(BR62=Цены!$H$52,Цены!$L$52,IF(BR62=Цены!$H$53,Цены!$L$53,IF(BR62=Цены!$H$54,Цены!$L$54,IF(BR62=Цены!$H$55,Цены!$L$55))))))))))))))))))))))))))))))))))))))))))))))))))))))</f>
        <v>0</v>
      </c>
      <c r="BU62" s="276"/>
      <c r="BV62" s="34" t="b">
        <f>IF(BR62=Цены!$H$3,Цены!$K$3,IF(BR62=Цены!$H$4,Цены!$K$4,IF(BR62=Цены!$H$5,Цены!$K$5,IF(BR62=Цены!$H$6,Цены!$K$6,IF(BR62=Цены!$H$7,Цены!$K$7,IF(BR62=Цены!$H$8,Цены!$K$8,IF(BR62=Цены!$H$9,Цены!$K$9,IF(BR62=Цены!$H$10,Цены!$K$10,IF(BR62=Цены!$H$11,Цены!$K$11,IF(BR62=Цены!$H$12,Цены!$K$12,IF(BR62=Цены!$H$13,Цены!$K$13,IF(BR62=Цены!$H$14,Цены!$K$14,IF(BR62=Цены!$H$14,Цены!$K$14,IF(BR62=Цены!$H$15,Цены!$K$15,IF(BR62=Цены!$H$16,Цены!$K$16,IF(BR62=Цены!$H$17,Цены!$K$17,IF(BR62=Цены!$H$18,Цены!$K$18,IF(BR62=Цены!$H$19,Цены!$K$19,IF(BR62=Цены!$H$20,Цены!$K$20,IF(BR62=Цены!$H$21,Цены!$K$21,IF(BR62=Цены!$H$22,Цены!$K$22,IF(BR62=Цены!$H$23,Цены!$K$23,IF(BR62=Цены!$H$24,Цены!$K$24,IF(BR62=Цены!$H$25,Цены!$K$25,IF(BR62=Цены!$H$26,Цены!$K$26,IF(BR62=Цены!$H$27,Цены!$K$27,IF(BR62=Цены!$H$28,Цены!$K$28,IF(BR62=Цены!$H$29,Цены!$K$29,IF(BR62=Цены!$H$30,Цены!$K$30,IF(BR62=Цены!$H$31,Цены!$K$31,IF(BR62=Цены!$H$32,Цены!$K$32,IF(BR62=Цены!$H$33,Цены!$K$33,IF(BR62=Цены!$H$34,Цены!$K$34,IF(BR62=Цены!$H$35,Цены!$K$35,IF(BR62=Цены!$H$36,Цены!$K$36,IF(BR62=Цены!$H$37,Цены!$K$37,IF(BR62=Цены!$H$38,Цены!$K$38,IF(BR62=Цены!$H$39,Цены!$K$39,IF(BR62=Цены!$H$40,Цены!$K$40,IF(BR62=Цены!$H$41,Цены!$K$41,IF(BR62=Цены!$H$42,Цены!$K$42,IF(BR62=Цены!$H$43,Цены!$K$43,IF(BR62=Цены!$H$44,Цены!$K$44,IF(BR62=Цены!$H$45,Цены!$K$45,IF(BR62=Цены!$H$46,Цены!$K$46,IF(BR62=Цены!$H$47,Цены!$K$47,IF(BR62=Цены!$H$48,Цены!$K$48,IF(BR62=Цены!$H$49,Цены!$K$49,IF(BR62=Цены!$H$50,Цены!$K$50,IF(BR62=Цены!$H$51,Цены!$K$51,IF(BR62=Цены!$H$52,Цены!$K$52,IF(BR62=Цены!$H$53,Цены!$K$53,IF(BR62=Цены!$H$54,Цены!$K$54,IF(BR62=Цены!$H$55,Цены!$K$55))))))))))))))))))))))))))))))))))))))))))))))))))))))</f>
        <v>0</v>
      </c>
      <c r="BW62" s="265"/>
      <c r="BX62" s="265"/>
      <c r="BY62" s="269"/>
      <c r="BZ62" s="286"/>
      <c r="CA62" s="286"/>
      <c r="CB62" s="268"/>
      <c r="CC62" s="269"/>
      <c r="CD62" s="287"/>
      <c r="CE62" s="117"/>
      <c r="CF62" s="43"/>
      <c r="CG62" s="33" t="b">
        <f>IF(CE62=Цены!$H$3,Цены!$L$3,IF(CE62=Цены!$H$4,Цены!$L$4,IF(CE62=Цены!$H$5,Цены!$L$5,IF(CE62=Цены!$H$6,Цены!$L$6,IF(CE62=Цены!$H$7,Цены!$L$7,IF(CE62=Цены!$H$8,Цены!$L$8,IF(CE62=Цены!$H$9,Цены!$L$9,IF(CE62=Цены!$H$10,Цены!$L$10,IF(CE62=Цены!$H$11,Цены!$L$11,IF(CE62=Цены!$H$12,Цены!$L$12,IF(CE62=Цены!$H$13,Цены!$L$13,IF(CE62=Цены!$H$14,Цены!$L$14,IF(CE62=Цены!$H$14,Цены!$L$14,IF(CE62=Цены!$H$15,Цены!$L$15,IF(CE62=Цены!$H$16,Цены!$L$16,IF(CE62=Цены!$H$17,Цены!$L$17,IF(CE62=Цены!$H$18,Цены!$L$18,IF(CE62=Цены!$H$19,Цены!$L$19,IF(CE62=Цены!$H$20,Цены!$L$20,IF(CE62=Цены!$H$21,Цены!$L$21,IF(CE62=Цены!$H$22,Цены!$L$22,IF(CE62=Цены!$H$23,Цены!$L$23,IF(CE62=Цены!$H$24,Цены!$L$24,IF(CE62=Цены!$H$25,Цены!$L$25,IF(CE62=Цены!$H$26,Цены!$L$26,IF(CE62=Цены!$H$27,Цены!$L$27,IF(CE62=Цены!$H$28,Цены!$L$28,IF(CE62=Цены!$H$29,Цены!$L$29,IF(CE62=Цены!$H$30,Цены!$L$30,IF(CE62=Цены!$H$31,Цены!$L$31,IF(CE62=Цены!$H$32,Цены!$L$32,IF(CE62=Цены!$H$33,Цены!$L$33,IF(CE62=Цены!$H$34,Цены!$L$34,IF(CE62=Цены!$H$35,Цены!$L$35,IF(CE62=Цены!$H$36,Цены!$L$36,IF(CE62=Цены!$H$37,Цены!$L$37,IF(CE62=Цены!$H$38,Цены!$L$38,IF(CE62=Цены!$H$39,Цены!$L$39,IF(CE62=Цены!$H$40,Цены!$L$40,IF(CE62=Цены!$H$41,Цены!$L$41,IF(CE62=Цены!$H$42,Цены!$L$42,IF(CE62=Цены!$H$43,Цены!$L$43,IF(CE62=Цены!$H$44,Цены!$L$44,IF(CE62=Цены!$H$45,Цены!$L$45,IF(CE62=Цены!$H$46,Цены!$L$46,IF(CE62=Цены!$H$47,Цены!$L$47,IF(CE62=Цены!$H$48,Цены!$L$48,IF(CE62=Цены!$H$49,Цены!$L$49,IF(CE62=Цены!$H$50,Цены!$L$50,IF(CE62=Цены!$H$51,Цены!$L$51,IF(CE62=Цены!$H$52,Цены!$L$52,IF(CE62=Цены!$H$53,Цены!$L$53,IF(CE62=Цены!$H$54,Цены!$L$54,IF(CE62=Цены!$H$55,Цены!$L$55))))))))))))))))))))))))))))))))))))))))))))))))))))))</f>
        <v>0</v>
      </c>
      <c r="CH62" s="276"/>
      <c r="CI62" s="34" t="b">
        <f>IF(CE62=Цены!$H$3,Цены!$K$3,IF(CE62=Цены!$H$4,Цены!$K$4,IF(CE62=Цены!$H$5,Цены!$K$5,IF(CE62=Цены!$H$6,Цены!$K$6,IF(CE62=Цены!$H$7,Цены!$K$7,IF(CE62=Цены!$H$8,Цены!$K$8,IF(CE62=Цены!$H$9,Цены!$K$9,IF(CE62=Цены!$H$10,Цены!$K$10,IF(CE62=Цены!$H$11,Цены!$K$11,IF(CE62=Цены!$H$12,Цены!$K$12,IF(CE62=Цены!$H$13,Цены!$K$13,IF(CE62=Цены!$H$14,Цены!$K$14,IF(CE62=Цены!$H$14,Цены!$K$14,IF(CE62=Цены!$H$15,Цены!$K$15,IF(CE62=Цены!$H$16,Цены!$K$16,IF(CE62=Цены!$H$17,Цены!$K$17,IF(CE62=Цены!$H$18,Цены!$K$18,IF(CE62=Цены!$H$19,Цены!$K$19,IF(CE62=Цены!$H$20,Цены!$K$20,IF(CE62=Цены!$H$21,Цены!$K$21,IF(CE62=Цены!$H$22,Цены!$K$22,IF(CE62=Цены!$H$23,Цены!$K$23,IF(CE62=Цены!$H$24,Цены!$K$24,IF(CE62=Цены!$H$25,Цены!$K$25,IF(CE62=Цены!$H$26,Цены!$K$26,IF(CE62=Цены!$H$27,Цены!$K$27,IF(CE62=Цены!$H$28,Цены!$K$28,IF(CE62=Цены!$H$29,Цены!$K$29,IF(CE62=Цены!$H$30,Цены!$K$30,IF(CE62=Цены!$H$31,Цены!$K$31,IF(CE62=Цены!$H$32,Цены!$K$32,IF(CE62=Цены!$H$33,Цены!$K$33,IF(CE62=Цены!$H$34,Цены!$K$34,IF(CE62=Цены!$H$35,Цены!$K$35,IF(CE62=Цены!$H$36,Цены!$K$36,IF(CE62=Цены!$H$37,Цены!$K$37,IF(CE62=Цены!$H$38,Цены!$K$38,IF(CE62=Цены!$H$39,Цены!$K$39,IF(CE62=Цены!$H$40,Цены!$K$40,IF(CE62=Цены!$H$41,Цены!$K$41,IF(CE62=Цены!$H$42,Цены!$K$42,IF(CE62=Цены!$H$43,Цены!$K$43,IF(CE62=Цены!$H$44,Цены!$K$44,IF(CE62=Цены!$H$45,Цены!$K$45,IF(CE62=Цены!$H$46,Цены!$K$46,IF(CE62=Цены!$H$47,Цены!$K$47,IF(CE62=Цены!$H$48,Цены!$K$48,IF(CE62=Цены!$H$49,Цены!$K$49,IF(CE62=Цены!$H$50,Цены!$K$50,IF(CE62=Цены!$H$51,Цены!$K$51,IF(CE62=Цены!$H$52,Цены!$K$52,IF(CE62=Цены!$H$53,Цены!$K$53,IF(CE62=Цены!$H$54,Цены!$K$54,IF(CE62=Цены!$H$55,Цены!$K$55))))))))))))))))))))))))))))))))))))))))))))))))))))))</f>
        <v>0</v>
      </c>
      <c r="CJ62" s="265"/>
      <c r="CK62" s="265"/>
      <c r="CL62" s="269"/>
      <c r="CM62" s="286"/>
      <c r="CN62" s="286"/>
      <c r="CO62" s="268"/>
      <c r="CP62" s="269"/>
      <c r="CQ62" s="287"/>
    </row>
    <row r="63" spans="1:95" s="40" customFormat="1" ht="15.75" hidden="1" customHeight="1" x14ac:dyDescent="0.25">
      <c r="A63" s="341"/>
      <c r="B63" s="265"/>
      <c r="C63" s="336" t="s">
        <v>120</v>
      </c>
      <c r="D63" s="44" t="s">
        <v>67</v>
      </c>
      <c r="E63" s="45">
        <v>9</v>
      </c>
      <c r="F63" s="46">
        <f>IF(D63=Цены!$H$3,Цены!$L$3,IF(D63=Цены!$H$4,Цены!$L$4,IF(D63=Цены!$H$5,Цены!$L$5,IF(D63=Цены!$H$6,Цены!$L$6,IF(D63=Цены!$H$7,Цены!$L$7,IF(D63=Цены!$H$8,Цены!$L$8,IF(D63=Цены!$H$9,Цены!$L$9,IF(D63=Цены!$H$10,Цены!$L$10,IF(D63=Цены!$H$11,Цены!$L$11,IF(D63=Цены!$H$12,Цены!$L$12,IF(D63=Цены!$H$13,Цены!$L$13,IF(D63=Цены!$H$14,Цены!$L$14,IF(D63=Цены!$H$14,Цены!$L$14,IF(D63=Цены!$H$15,Цены!$L$15,IF(D63=Цены!$H$16,Цены!$L$16,IF(D63=Цены!$H$17,Цены!$L$17,IF(D63=Цены!$H$18,Цены!$L$18,IF(D63=Цены!$H$19,Цены!$L$19,IF(D63=Цены!$H$20,Цены!$L$20,IF(D63=Цены!$H$21,Цены!$L$21,IF(D63=Цены!$H$22,Цены!$L$22,IF(D63=Цены!$H$23,Цены!$L$23,IF(D63=Цены!$H$24,Цены!$L$24,IF(D63=Цены!$H$25,Цены!$L$25,IF(D63=Цены!$H$26,Цены!$L$26,IF(D63=Цены!$H$27,Цены!$L$27,IF(D63=Цены!$H$28,Цены!$L$28,IF(D63=Цены!$H$29,Цены!$L$29,IF(D63=Цены!$H$30,Цены!$L$30,IF(D63=Цены!$H$31,Цены!$L$31,IF(D63=Цены!$H$32,Цены!$L$32,IF(D63=Цены!$H$33,Цены!$L$33,IF(D63=Цены!$H$34,Цены!$L$34,IF(D63=Цены!$H$35,Цены!$L$35,IF(D63=Цены!$H$36,Цены!$L$36,IF(D63=Цены!$H$37,Цены!$L$37,IF(D63=Цены!$H$38,Цены!$L$38,IF(D63=Цены!$H$39,Цены!$L$39,IF(D63=Цены!$H$40,Цены!$L$40,IF(D63=Цены!$H$41,Цены!$L$41,IF(D63=Цены!$H$42,Цены!$L$42,IF(D63=Цены!$H$43,Цены!$L$43,IF(D63=Цены!$H$44,Цены!$L$44,IF(D63=Цены!$H$45,Цены!$L$45,IF(D63=Цены!$H$46,Цены!$L$46,IF(D63=Цены!$H$47,Цены!$L$47,IF(D63=Цены!$H$48,Цены!$L$48,IF(D63=Цены!$H$49,Цены!$L$49,IF(D63=Цены!$H$50,Цены!$L$50,IF(D63=Цены!$H$51,Цены!$L$51,IF(D63=Цены!$H$52,Цены!$L$52,IF(D63=Цены!$H$53,Цены!$L$53,IF(D63=Цены!$H$54,Цены!$L$54,IF(D63=Цены!$H$55,Цены!$L$55))))))))))))))))))))))))))))))))))))))))))))))))))))))</f>
        <v>0.9</v>
      </c>
      <c r="G63" s="339">
        <f>E63*F63+E64*F64+E65*F65+E66*F66</f>
        <v>19.312799999999999</v>
      </c>
      <c r="H63" s="47">
        <f>IF(D63=Цены!$H$3,Цены!$K$3,IF(D63=Цены!$H$4,Цены!$K$4,IF(D63=Цены!$H$5,Цены!$K$5,IF(D63=Цены!$H$6,Цены!$K$6,IF(D63=Цены!$H$7,Цены!$K$7,IF(D63=Цены!$H$8,Цены!$K$8,IF(D63=Цены!$H$9,Цены!$K$9,IF(D63=Цены!$H$10,Цены!$K$10,IF(D63=Цены!$H$11,Цены!$K$11,IF(D63=Цены!$H$12,Цены!$K$12,IF(D63=Цены!$H$13,Цены!$K$13,IF(D63=Цены!$H$14,Цены!$K$14,IF(D63=Цены!$H$14,Цены!$K$14,IF(D63=Цены!$H$15,Цены!$K$15,IF(D63=Цены!$H$16,Цены!$K$16,IF(D63=Цены!$H$17,Цены!$K$17,IF(D63=Цены!$H$18,Цены!$K$18,IF(D63=Цены!$H$19,Цены!$K$19,IF(D63=Цены!$H$20,Цены!$K$20,IF(D63=Цены!$H$21,Цены!$K$21,IF(D63=Цены!$H$22,Цены!$K$22,IF(D63=Цены!$H$23,Цены!$K$23,IF(D63=Цены!$H$24,Цены!$K$24,IF(D63=Цены!$H$25,Цены!$K$25,IF(D63=Цены!$H$26,Цены!$K$26,IF(D63=Цены!$H$27,Цены!$K$27,IF(D63=Цены!$H$28,Цены!$K$28,IF(D63=Цены!$H$29,Цены!$K$29,IF(D63=Цены!$H$30,Цены!$K$30,IF(D63=Цены!$H$31,Цены!$K$31,IF(D63=Цены!$H$32,Цены!$K$32,IF(D63=Цены!$H$33,Цены!$K$33,IF(D63=Цены!$H$34,Цены!$K$34,IF(D63=Цены!$H$35,Цены!$K$35,IF(D63=Цены!$H$36,Цены!$K$36,IF(D63=Цены!$H$37,Цены!$K$37,IF(D63=Цены!$H$38,Цены!$K$38,IF(D63=Цены!$H$39,Цены!$K$39,IF(D63=Цены!$H$40,Цены!$K$40,IF(D63=Цены!$H$41,Цены!$K$41,IF(D63=Цены!$H$42,Цены!$K$42,IF(D63=Цены!$H$43,Цены!$K$43,IF(D63=Цены!$H$44,Цены!$K$44,IF(D63=Цены!$H$45,Цены!$K$45,IF(D63=Цены!$H$46,Цены!$K$46,IF(D63=Цены!$H$47,Цены!$K$47,IF(D63=Цены!$H$48,Цены!$K$48,IF(D63=Цены!$H$49,Цены!$K$49,IF(D63=Цены!$H$50,Цены!$K$50,IF(D63=Цены!$H$51,Цены!$K$51,IF(D63=Цены!$H$52,Цены!$K$52,IF(D63=Цены!$H$53,Цены!$K$53,IF(D63=Цены!$H$54,Цены!$K$54,IF(D63=Цены!$H$55,Цены!$K$55))))))))))))))))))))))))))))))))))))))))))))))))))))))</f>
        <v>338</v>
      </c>
      <c r="I63" s="265"/>
      <c r="J63" s="265"/>
      <c r="K63" s="332">
        <f t="shared" ref="K63" si="111">E63*H63+E64*H64+E65*H65+E66*H66</f>
        <v>9570</v>
      </c>
      <c r="L63" s="334">
        <f>$I$59*$J$59</f>
        <v>3200</v>
      </c>
      <c r="M63" s="332">
        <f t="shared" ref="M63" si="112">K63+L63</f>
        <v>12770</v>
      </c>
      <c r="N63" s="265"/>
      <c r="O63" s="332">
        <f>N59/M63*100</f>
        <v>27.564604541895072</v>
      </c>
      <c r="P63" s="331">
        <f>MROUND(M63+N59,500)</f>
        <v>16500</v>
      </c>
      <c r="Q63" s="124" t="s">
        <v>143</v>
      </c>
      <c r="R63" s="37">
        <v>10</v>
      </c>
      <c r="S63" s="38">
        <f>IF(Q63=Цены!$H$3,Цены!$L$3,IF(Q63=Цены!$H$4,Цены!$L$4,IF(Q63=Цены!$H$5,Цены!$L$5,IF(Q63=Цены!$H$6,Цены!$L$6,IF(Q63=Цены!$H$7,Цены!$L$7,IF(Q63=Цены!$H$8,Цены!$L$8,IF(Q63=Цены!$H$9,Цены!$L$9,IF(Q63=Цены!$H$10,Цены!$L$10,IF(Q63=Цены!$H$11,Цены!$L$11,IF(Q63=Цены!$H$12,Цены!$L$12,IF(Q63=Цены!$H$13,Цены!$L$13,IF(Q63=Цены!$H$14,Цены!$L$14,IF(Q63=Цены!$H$14,Цены!$L$14,IF(Q63=Цены!$H$15,Цены!$L$15,IF(Q63=Цены!$H$16,Цены!$L$16,IF(Q63=Цены!$H$17,Цены!$L$17,IF(Q63=Цены!$H$18,Цены!$L$18,IF(Q63=Цены!$H$19,Цены!$L$19,IF(Q63=Цены!$H$20,Цены!$L$20,IF(Q63=Цены!$H$21,Цены!$L$21,IF(Q63=Цены!$H$22,Цены!$L$22,IF(Q63=Цены!$H$23,Цены!$L$23,IF(Q63=Цены!$H$24,Цены!$L$24,IF(Q63=Цены!$H$25,Цены!$L$25,IF(Q63=Цены!$H$26,Цены!$L$26,IF(Q63=Цены!$H$27,Цены!$L$27,IF(Q63=Цены!$H$28,Цены!$L$28,IF(Q63=Цены!$H$29,Цены!$L$29,IF(Q63=Цены!$H$30,Цены!$L$30,IF(Q63=Цены!$H$31,Цены!$L$31,IF(Q63=Цены!$H$32,Цены!$L$32,IF(Q63=Цены!$H$33,Цены!$L$33,IF(Q63=Цены!$H$34,Цены!$L$34,IF(Q63=Цены!$H$35,Цены!$L$35,IF(Q63=Цены!$H$36,Цены!$L$36,IF(Q63=Цены!$H$37,Цены!$L$37,IF(Q63=Цены!$H$38,Цены!$L$38,IF(Q63=Цены!$H$39,Цены!$L$39,IF(Q63=Цены!$H$40,Цены!$L$40,IF(Q63=Цены!$H$41,Цены!$L$41,IF(Q63=Цены!$H$42,Цены!$L$42,IF(Q63=Цены!$H$43,Цены!$L$43,IF(Q63=Цены!$H$44,Цены!$L$44,IF(Q63=Цены!$H$45,Цены!$L$45,IF(Q63=Цены!$H$46,Цены!$L$46,IF(Q63=Цены!$H$47,Цены!$L$47,IF(Q63=Цены!$H$48,Цены!$L$48,IF(Q63=Цены!$H$49,Цены!$L$49,IF(Q63=Цены!$H$50,Цены!$L$50,IF(Q63=Цены!$H$51,Цены!$L$51,IF(Q63=Цены!$H$52,Цены!$L$52,IF(Q63=Цены!$H$53,Цены!$L$53,IF(Q63=Цены!$H$54,Цены!$L$54,IF(Q63=Цены!$H$55,Цены!$L$55))))))))))))))))))))))))))))))))))))))))))))))))))))))</f>
        <v>2.4</v>
      </c>
      <c r="T63" s="322">
        <f>R63*S63+R64*S64+R65*S65+R66*S66</f>
        <v>29.75</v>
      </c>
      <c r="U63" s="161">
        <f>IF(Q63=Цены!$H$3,Цены!$K$3,IF(Q63=Цены!$H$4,Цены!$K$4,IF(Q63=Цены!$H$5,Цены!$K$5,IF(Q63=Цены!$H$6,Цены!$K$6,IF(Q63=Цены!$H$7,Цены!$K$7,IF(Q63=Цены!$H$8,Цены!$K$8,IF(Q63=Цены!$H$9,Цены!$K$9,IF(Q63=Цены!$H$10,Цены!$K$10,IF(Q63=Цены!$H$11,Цены!$K$11,IF(Q63=Цены!$H$12,Цены!$K$12,IF(Q63=Цены!$H$13,Цены!$K$13,IF(Q63=Цены!$H$14,Цены!$K$14,IF(Q63=Цены!$H$14,Цены!$K$14,IF(Q63=Цены!$H$15,Цены!$K$15,IF(Q63=Цены!$H$16,Цены!$K$16,IF(Q63=Цены!$H$17,Цены!$K$17,IF(Q63=Цены!$H$18,Цены!$K$18,IF(Q63=Цены!$H$19,Цены!$K$19,IF(Q63=Цены!$H$20,Цены!$K$20,IF(Q63=Цены!$H$21,Цены!$K$21,IF(Q63=Цены!$H$22,Цены!$K$22,IF(Q63=Цены!$H$23,Цены!$K$23,IF(Q63=Цены!$H$24,Цены!$K$24,IF(Q63=Цены!$H$25,Цены!$K$25,IF(Q63=Цены!$H$26,Цены!$K$26,IF(Q63=Цены!$H$27,Цены!$K$27,IF(Q63=Цены!$H$28,Цены!$K$28,IF(Q63=Цены!$H$29,Цены!$K$29,IF(Q63=Цены!$H$30,Цены!$K$30,IF(Q63=Цены!$H$31,Цены!$K$31,IF(Q63=Цены!$H$32,Цены!$K$32,IF(Q63=Цены!$H$33,Цены!$K$33,IF(Q63=Цены!$H$34,Цены!$K$34,IF(Q63=Цены!$H$35,Цены!$K$35,IF(Q63=Цены!$H$36,Цены!$K$36,IF(Q63=Цены!$H$37,Цены!$K$37,IF(Q63=Цены!$H$38,Цены!$K$38,IF(Q63=Цены!$H$39,Цены!$K$39,IF(Q63=Цены!$H$40,Цены!$K$40,IF(Q63=Цены!$H$41,Цены!$K$41,IF(Q63=Цены!$H$42,Цены!$K$42,IF(Q63=Цены!$H$43,Цены!$K$43,IF(Q63=Цены!$H$44,Цены!$K$44,IF(Q63=Цены!$H$45,Цены!$K$45,IF(Q63=Цены!$H$46,Цены!$K$46,IF(Q63=Цены!$H$47,Цены!$K$47,IF(Q63=Цены!$H$48,Цены!$K$48,IF(Q63=Цены!$H$49,Цены!$K$49,IF(Q63=Цены!$H$50,Цены!$K$50,IF(Q63=Цены!$H$51,Цены!$K$51,IF(Q63=Цены!$H$52,Цены!$K$52,IF(Q63=Цены!$H$53,Цены!$K$53,IF(Q63=Цены!$H$54,Цены!$K$54,IF(Q63=Цены!$H$55,Цены!$K$55))))))))))))))))))))))))))))))))))))))))))))))))))))))</f>
        <v>469</v>
      </c>
      <c r="V63" s="265"/>
      <c r="W63" s="265"/>
      <c r="X63" s="323">
        <f t="shared" ref="X63" si="113">R63*U63+R64*U64+R65*U65+R66*U66</f>
        <v>6690</v>
      </c>
      <c r="Y63" s="324">
        <f>V59*W59</f>
        <v>3200</v>
      </c>
      <c r="Z63" s="323">
        <f t="shared" ref="Z63" si="114">X63+Y63</f>
        <v>9890</v>
      </c>
      <c r="AA63" s="265"/>
      <c r="AB63" s="323">
        <f>AA59/Z63*100</f>
        <v>35.591506572295252</v>
      </c>
      <c r="AC63" s="325">
        <f>MROUND(Z63+AA59,500)</f>
        <v>13500</v>
      </c>
      <c r="AD63" s="66" t="s">
        <v>69</v>
      </c>
      <c r="AE63" s="67">
        <v>8</v>
      </c>
      <c r="AF63" s="68">
        <f>IF(AD63=Цены!$H$3,Цены!$L$3,IF(AD63=Цены!$H$4,Цены!$L$4,IF(AD63=Цены!$H$5,Цены!$L$5,IF(AD63=Цены!$H$6,Цены!$L$6,IF(AD63=Цены!$H$7,Цены!$L$7,IF(AD63=Цены!$H$8,Цены!$L$8,IF(AD63=Цены!$H$9,Цены!$L$9,IF(AD63=Цены!$H$10,Цены!$L$10,IF(AD63=Цены!$H$11,Цены!$L$11,IF(AD63=Цены!$H$12,Цены!$L$12,IF(AD63=Цены!$H$13,Цены!$L$13,IF(AD63=Цены!$H$14,Цены!$L$14,IF(AD63=Цены!$H$14,Цены!$L$14,IF(AD63=Цены!$H$15,Цены!$L$15,IF(AD63=Цены!$H$16,Цены!$L$16,IF(AD63=Цены!$H$17,Цены!$L$17,IF(AD63=Цены!$H$18,Цены!$L$18,IF(AD63=Цены!$H$19,Цены!$L$19,IF(AD63=Цены!$H$20,Цены!$L$20,IF(AD63=Цены!$H$21,Цены!$L$21,IF(AD63=Цены!$H$22,Цены!$L$22,IF(AD63=Цены!$H$23,Цены!$L$23,IF(AD63=Цены!$H$24,Цены!$L$24,IF(AD63=Цены!$H$25,Цены!$L$25,IF(AD63=Цены!$H$26,Цены!$L$26,IF(AD63=Цены!$H$27,Цены!$L$27,IF(AD63=Цены!$H$28,Цены!$L$28,IF(AD63=Цены!$H$29,Цены!$L$29,IF(AD63=Цены!$H$30,Цены!$L$30,IF(AD63=Цены!$H$31,Цены!$L$31,IF(AD63=Цены!$H$32,Цены!$L$32,IF(AD63=Цены!$H$33,Цены!$L$33,IF(AD63=Цены!$H$34,Цены!$L$34,IF(AD63=Цены!$H$35,Цены!$L$35,IF(AD63=Цены!$H$36,Цены!$L$36,IF(AD63=Цены!$H$37,Цены!$L$37,IF(AD63=Цены!$H$38,Цены!$L$38,IF(AD63=Цены!$H$39,Цены!$L$39,IF(AD63=Цены!$H$40,Цены!$L$40,IF(AD63=Цены!$H$41,Цены!$L$41,IF(AD63=Цены!$H$42,Цены!$L$42,IF(AD63=Цены!$H$43,Цены!$L$43,IF(AD63=Цены!$H$44,Цены!$L$44,IF(AD63=Цены!$H$45,Цены!$L$45,IF(AD63=Цены!$H$46,Цены!$L$46,IF(AD63=Цены!$H$47,Цены!$L$47,IF(AD63=Цены!$H$48,Цены!$L$48,IF(AD63=Цены!$H$49,Цены!$L$49,IF(AD63=Цены!$H$50,Цены!$L$50,IF(AD63=Цены!$H$51,Цены!$L$51,IF(AD63=Цены!$H$52,Цены!$L$52,IF(AD63=Цены!$H$53,Цены!$L$53,IF(AD63=Цены!$H$54,Цены!$L$54,IF(AD63=Цены!$H$55,Цены!$L$55))))))))))))))))))))))))))))))))))))))))))))))))))))))</f>
        <v>1.19</v>
      </c>
      <c r="AG63" s="311">
        <f>AE63*AF63+AE64*AF64+AE65*AF65+AE66*AF66</f>
        <v>43.919999999999995</v>
      </c>
      <c r="AH63" s="69">
        <f>IF(AD63=Цены!$H$3,Цены!$K$3,IF(AD63=Цены!$H$4,Цены!$K$4,IF(AD63=Цены!$H$5,Цены!$K$5,IF(AD63=Цены!$H$6,Цены!$K$6,IF(AD63=Цены!$H$7,Цены!$K$7,IF(AD63=Цены!$H$8,Цены!$K$8,IF(AD63=Цены!$H$9,Цены!$K$9,IF(AD63=Цены!$H$10,Цены!$K$10,IF(AD63=Цены!$H$11,Цены!$K$11,IF(AD63=Цены!$H$12,Цены!$K$12,IF(AD63=Цены!$H$13,Цены!$K$13,IF(AD63=Цены!$H$14,Цены!$K$14,IF(AD63=Цены!$H$14,Цены!$K$14,IF(AD63=Цены!$H$15,Цены!$K$15,IF(AD63=Цены!$H$16,Цены!$K$16,IF(AD63=Цены!$H$17,Цены!$K$17,IF(AD63=Цены!$H$18,Цены!$K$18,IF(AD63=Цены!$H$19,Цены!$K$19,IF(AD63=Цены!$H$20,Цены!$K$20,IF(AD63=Цены!$H$21,Цены!$K$21,IF(AD63=Цены!$H$22,Цены!$K$22,IF(AD63=Цены!$H$23,Цены!$K$23,IF(AD63=Цены!$H$24,Цены!$K$24,IF(AD63=Цены!$H$25,Цены!$K$25,IF(AD63=Цены!$H$26,Цены!$K$26,IF(AD63=Цены!$H$27,Цены!$K$27,IF(AD63=Цены!$H$28,Цены!$K$28,IF(AD63=Цены!$H$29,Цены!$K$29,IF(AD63=Цены!$H$30,Цены!$K$30,IF(AD63=Цены!$H$31,Цены!$K$31,IF(AD63=Цены!$H$32,Цены!$K$32,IF(AD63=Цены!$H$33,Цены!$K$33,IF(AD63=Цены!$H$34,Цены!$K$34,IF(AD63=Цены!$H$35,Цены!$K$35,IF(AD63=Цены!$H$36,Цены!$K$36,IF(AD63=Цены!$H$37,Цены!$K$37,IF(AD63=Цены!$H$38,Цены!$K$38,IF(AD63=Цены!$H$39,Цены!$K$39,IF(AD63=Цены!$H$40,Цены!$K$40,IF(AD63=Цены!$H$41,Цены!$K$41,IF(AD63=Цены!$H$42,Цены!$K$42,IF(AD63=Цены!$H$43,Цены!$K$43,IF(AD63=Цены!$H$44,Цены!$K$44,IF(AD63=Цены!$H$45,Цены!$K$45,IF(AD63=Цены!$H$46,Цены!$K$46,IF(AD63=Цены!$H$47,Цены!$K$47,IF(AD63=Цены!$H$48,Цены!$K$48,IF(AD63=Цены!$H$49,Цены!$K$49,IF(AD63=Цены!$H$50,Цены!$K$50,IF(AD63=Цены!$H$51,Цены!$K$51,IF(AD63=Цены!$H$52,Цены!$K$52,IF(AD63=Цены!$H$53,Цены!$K$53,IF(AD63=Цены!$H$54,Цены!$K$54,IF(AD63=Цены!$H$55,Цены!$K$55))))))))))))))))))))))))))))))))))))))))))))))))))))))</f>
        <v>398</v>
      </c>
      <c r="AI63" s="265"/>
      <c r="AJ63" s="265"/>
      <c r="AK63" s="312">
        <f t="shared" ref="AK63" si="115">AE63*AH63+AE64*AH64+AE65*AH65+AE66*AH66</f>
        <v>10372</v>
      </c>
      <c r="AL63" s="314">
        <f>AI59*AJ59</f>
        <v>5600</v>
      </c>
      <c r="AM63" s="312">
        <f t="shared" ref="AM63" si="116">AK63+AL63</f>
        <v>15972</v>
      </c>
      <c r="AN63" s="265"/>
      <c r="AO63" s="312">
        <f>AN59/AM63*100</f>
        <v>38.567493112947666</v>
      </c>
      <c r="AP63" s="315">
        <f>MROUND(AM63+AN59,500)</f>
        <v>22000</v>
      </c>
      <c r="AQ63" s="125" t="s">
        <v>146</v>
      </c>
      <c r="AR63" s="131">
        <v>4</v>
      </c>
      <c r="AS63" s="80">
        <f>IF(AQ63=Цены!$H$3,Цены!$L$3,IF(AQ63=Цены!$H$4,Цены!$L$4,IF(AQ63=Цены!$H$5,Цены!$L$5,IF(AQ63=Цены!$H$6,Цены!$L$6,IF(AQ63=Цены!$H$7,Цены!$L$7,IF(AQ63=Цены!$H$8,Цены!$L$8,IF(AQ63=Цены!$H$9,Цены!$L$9,IF(AQ63=Цены!$H$10,Цены!$L$10,IF(AQ63=Цены!$H$11,Цены!$L$11,IF(AQ63=Цены!$H$12,Цены!$L$12,IF(AQ63=Цены!$H$13,Цены!$L$13,IF(AQ63=Цены!$H$14,Цены!$L$14,IF(AQ63=Цены!$H$14,Цены!$L$14,IF(AQ63=Цены!$H$15,Цены!$L$15,IF(AQ63=Цены!$H$16,Цены!$L$16,IF(AQ63=Цены!$H$17,Цены!$L$17,IF(AQ63=Цены!$H$18,Цены!$L$18,IF(AQ63=Цены!$H$19,Цены!$L$19,IF(AQ63=Цены!$H$20,Цены!$L$20,IF(AQ63=Цены!$H$21,Цены!$L$21,IF(AQ63=Цены!$H$22,Цены!$L$22,IF(AQ63=Цены!$H$23,Цены!$L$23,IF(AQ63=Цены!$H$24,Цены!$L$24,IF(AQ63=Цены!$H$25,Цены!$L$25,IF(AQ63=Цены!$H$26,Цены!$L$26,IF(AQ63=Цены!$H$27,Цены!$L$27,IF(AQ63=Цены!$H$28,Цены!$L$28,IF(AQ63=Цены!$H$29,Цены!$L$29,IF(AQ63=Цены!$H$30,Цены!$L$30,IF(AQ63=Цены!$H$31,Цены!$L$31,IF(AQ63=Цены!$H$32,Цены!$L$32,IF(AQ63=Цены!$H$33,Цены!$L$33,IF(AQ63=Цены!$H$34,Цены!$L$34,IF(AQ63=Цены!$H$35,Цены!$L$35,IF(AQ63=Цены!$H$36,Цены!$L$36,IF(AQ63=Цены!$H$37,Цены!$L$37,IF(AQ63=Цены!$H$38,Цены!$L$38,IF(AQ63=Цены!$H$39,Цены!$L$39,IF(AQ63=Цены!$H$40,Цены!$L$40,IF(AQ63=Цены!$H$41,Цены!$L$41,IF(AQ63=Цены!$H$42,Цены!$L$42,IF(AQ63=Цены!$H$43,Цены!$L$43,IF(AQ63=Цены!$H$44,Цены!$L$44,IF(AQ63=Цены!$H$45,Цены!$L$45,IF(AQ63=Цены!$H$46,Цены!$L$46,IF(AQ63=Цены!$H$47,Цены!$L$47,IF(AQ63=Цены!$H$48,Цены!$L$48,IF(AQ63=Цены!$H$49,Цены!$L$49,IF(AQ63=Цены!$H$50,Цены!$L$50,IF(AQ63=Цены!$H$51,Цены!$L$51,IF(AQ63=Цены!$H$52,Цены!$L$52,IF(AQ63=Цены!$H$53,Цены!$L$53,IF(AQ63=Цены!$H$54,Цены!$L$54,IF(AQ63=Цены!$H$55,Цены!$L$55))))))))))))))))))))))))))))))))))))))))))))))))))))))</f>
        <v>1.19</v>
      </c>
      <c r="AT63" s="271">
        <f>AR63*AS63+AR64*AS64+AR65*AS65+AR66*AS66</f>
        <v>13.67</v>
      </c>
      <c r="AU63" s="81">
        <f>IF(AQ63=Цены!$H$3,Цены!$K$3,IF(AQ63=Цены!$H$4,Цены!$K$4,IF(AQ63=Цены!$H$5,Цены!$K$5,IF(AQ63=Цены!$H$6,Цены!$K$6,IF(AQ63=Цены!$H$7,Цены!$K$7,IF(AQ63=Цены!$H$8,Цены!$K$8,IF(AQ63=Цены!$H$9,Цены!$K$9,IF(AQ63=Цены!$H$10,Цены!$K$10,IF(AQ63=Цены!$H$11,Цены!$K$11,IF(AQ63=Цены!$H$12,Цены!$K$12,IF(AQ63=Цены!$H$13,Цены!$K$13,IF(AQ63=Цены!$H$14,Цены!$K$14,IF(AQ63=Цены!$H$14,Цены!$K$14,IF(AQ63=Цены!$H$15,Цены!$K$15,IF(AQ63=Цены!$H$16,Цены!$K$16,IF(AQ63=Цены!$H$17,Цены!$K$17,IF(AQ63=Цены!$H$18,Цены!$K$18,IF(AQ63=Цены!$H$19,Цены!$K$19,IF(AQ63=Цены!$H$20,Цены!$K$20,IF(AQ63=Цены!$H$21,Цены!$K$21,IF(AQ63=Цены!$H$22,Цены!$K$22,IF(AQ63=Цены!$H$23,Цены!$K$23,IF(AQ63=Цены!$H$24,Цены!$K$24,IF(AQ63=Цены!$H$25,Цены!$K$25,IF(AQ63=Цены!$H$26,Цены!$K$26,IF(AQ63=Цены!$H$27,Цены!$K$27,IF(AQ63=Цены!$H$28,Цены!$K$28,IF(AQ63=Цены!$H$29,Цены!$K$29,IF(AQ63=Цены!$H$30,Цены!$K$30,IF(AQ63=Цены!$H$31,Цены!$K$31,IF(AQ63=Цены!$H$32,Цены!$K$32,IF(AQ63=Цены!$H$33,Цены!$K$33,IF(AQ63=Цены!$H$34,Цены!$K$34,IF(AQ63=Цены!$H$35,Цены!$K$35,IF(AQ63=Цены!$H$36,Цены!$K$36,IF(AQ63=Цены!$H$37,Цены!$K$37,IF(AQ63=Цены!$H$38,Цены!$K$38,IF(AQ63=Цены!$H$39,Цены!$K$39,IF(AQ63=Цены!$H$40,Цены!$K$40,IF(AQ63=Цены!$H$41,Цены!$K$41,IF(AQ63=Цены!$H$42,Цены!$K$42,IF(AQ63=Цены!$H$43,Цены!$K$43,IF(AQ63=Цены!$H$44,Цены!$K$44,IF(AQ63=Цены!$H$45,Цены!$K$45,IF(AQ63=Цены!$H$46,Цены!$K$46,IF(AQ63=Цены!$H$47,Цены!$K$47,IF(AQ63=Цены!$H$48,Цены!$K$48,IF(AQ63=Цены!$H$49,Цены!$K$49,IF(AQ63=Цены!$H$50,Цены!$K$50,IF(AQ63=Цены!$H$51,Цены!$K$51,IF(AQ63=Цены!$H$52,Цены!$K$52,IF(AQ63=Цены!$H$53,Цены!$K$53,IF(AQ63=Цены!$H$54,Цены!$K$54,IF(AQ63=Цены!$H$55,Цены!$K$55))))))))))))))))))))))))))))))))))))))))))))))))))))))</f>
        <v>398</v>
      </c>
      <c r="AV63" s="265"/>
      <c r="AW63" s="265"/>
      <c r="AX63" s="274">
        <f t="shared" ref="AX63" si="117">AR63*AU63+AR64*AU64+AR65*AU65+AR66*AU66</f>
        <v>5438</v>
      </c>
      <c r="AY63" s="304">
        <f>AV59*AW59</f>
        <v>4400</v>
      </c>
      <c r="AZ63" s="274">
        <f t="shared" ref="AZ63" si="118">AX63+AY63</f>
        <v>9838</v>
      </c>
      <c r="BA63" s="265"/>
      <c r="BB63" s="274">
        <f>BA59/AZ63*100</f>
        <v>49.19699125838585</v>
      </c>
      <c r="BC63" s="305">
        <f>MROUND(AZ63+BA59,500)</f>
        <v>14500</v>
      </c>
      <c r="BD63" s="258">
        <f t="shared" ref="BD63" si="119">BC63+CQ63</f>
        <v>20500</v>
      </c>
      <c r="BE63" s="127" t="s">
        <v>141</v>
      </c>
      <c r="BF63" s="106">
        <v>5</v>
      </c>
      <c r="BG63" s="103">
        <f>IF(BE63=Цены!$H$3,Цены!$L$3,IF(BE63=Цены!$H$4,Цены!$L$4,IF(BE63=Цены!$H$5,Цены!$L$5,IF(BE63=Цены!$H$6,Цены!$L$6,IF(BE63=Цены!$H$7,Цены!$L$7,IF(BE63=Цены!$H$8,Цены!$L$8,IF(BE63=Цены!$H$9,Цены!$L$9,IF(BE63=Цены!$H$10,Цены!$L$10,IF(BE63=Цены!$H$11,Цены!$L$11,IF(BE63=Цены!$H$12,Цены!$L$12,IF(BE63=Цены!$H$13,Цены!$L$13,IF(BE63=Цены!$H$14,Цены!$L$14,IF(BE63=Цены!$H$14,Цены!$L$14,IF(BE63=Цены!$H$15,Цены!$L$15,IF(BE63=Цены!$H$16,Цены!$L$16,IF(BE63=Цены!$H$17,Цены!$L$17,IF(BE63=Цены!$H$18,Цены!$L$18,IF(BE63=Цены!$H$19,Цены!$L$19,IF(BE63=Цены!$H$20,Цены!$L$20,IF(BE63=Цены!$H$21,Цены!$L$21,IF(BE63=Цены!$H$22,Цены!$L$22,IF(BE63=Цены!$H$23,Цены!$L$23,IF(BE63=Цены!$H$24,Цены!$L$24,IF(BE63=Цены!$H$25,Цены!$L$25,IF(BE63=Цены!$H$26,Цены!$L$26,IF(BE63=Цены!$H$27,Цены!$L$27,IF(BE63=Цены!$H$28,Цены!$L$28,IF(BE63=Цены!$H$29,Цены!$L$29,IF(BE63=Цены!$H$30,Цены!$L$30,IF(BE63=Цены!$H$31,Цены!$L$31,IF(BE63=Цены!$H$32,Цены!$L$32,IF(BE63=Цены!$H$33,Цены!$L$33,IF(BE63=Цены!$H$34,Цены!$L$34,IF(BE63=Цены!$H$35,Цены!$L$35,IF(BE63=Цены!$H$36,Цены!$L$36,IF(BE63=Цены!$H$37,Цены!$L$37,IF(BE63=Цены!$H$38,Цены!$L$38,IF(BE63=Цены!$H$39,Цены!$L$39,IF(BE63=Цены!$H$40,Цены!$L$40,IF(BE63=Цены!$H$41,Цены!$L$41,IF(BE63=Цены!$H$42,Цены!$L$42,IF(BE63=Цены!$H$43,Цены!$L$43,IF(BE63=Цены!$H$44,Цены!$L$44,IF(BE63=Цены!$H$45,Цены!$L$45,IF(BE63=Цены!$H$46,Цены!$L$46,IF(BE63=Цены!$H$47,Цены!$L$47,IF(BE63=Цены!$H$48,Цены!$L$48,IF(BE63=Цены!$H$49,Цены!$L$49,IF(BE63=Цены!$H$50,Цены!$L$50,IF(BE63=Цены!$H$51,Цены!$L$51,IF(BE63=Цены!$H$52,Цены!$L$52,IF(BE63=Цены!$H$53,Цены!$L$53,IF(BE63=Цены!$H$54,Цены!$L$54,IF(BE63=Цены!$H$55,Цены!$L$55))))))))))))))))))))))))))))))))))))))))))))))))))))))</f>
        <v>0.9</v>
      </c>
      <c r="BH63" s="280">
        <f>BF63*BG63+BF64*BG64+BF65*BG65+BF66*BG66</f>
        <v>7.62</v>
      </c>
      <c r="BI63" s="104">
        <f>IF(BE63=Цены!$H$3,Цены!$K$3,IF(BE63=Цены!$H$4,Цены!$K$4,IF(BE63=Цены!$H$5,Цены!$K$5,IF(BE63=Цены!$H$6,Цены!$K$6,IF(BE63=Цены!$H$7,Цены!$K$7,IF(BE63=Цены!$H$8,Цены!$K$8,IF(BE63=Цены!$H$9,Цены!$K$9,IF(BE63=Цены!$H$10,Цены!$K$10,IF(BE63=Цены!$H$11,Цены!$K$11,IF(BE63=Цены!$H$12,Цены!$K$12,IF(BE63=Цены!$H$13,Цены!$K$13,IF(BE63=Цены!$H$14,Цены!$K$14,IF(BE63=Цены!$H$14,Цены!$K$14,IF(BE63=Цены!$H$15,Цены!$K$15,IF(BE63=Цены!$H$16,Цены!$K$16,IF(BE63=Цены!$H$17,Цены!$K$17,IF(BE63=Цены!$H$18,Цены!$K$18,IF(BE63=Цены!$H$19,Цены!$K$19,IF(BE63=Цены!$H$20,Цены!$K$20,IF(BE63=Цены!$H$21,Цены!$K$21,IF(BE63=Цены!$H$22,Цены!$K$22,IF(BE63=Цены!$H$23,Цены!$K$23,IF(BE63=Цены!$H$24,Цены!$K$24,IF(BE63=Цены!$H$25,Цены!$K$25,IF(BE63=Цены!$H$26,Цены!$K$26,IF(BE63=Цены!$H$27,Цены!$K$27,IF(BE63=Цены!$H$28,Цены!$K$28,IF(BE63=Цены!$H$29,Цены!$K$29,IF(BE63=Цены!$H$30,Цены!$K$30,IF(BE63=Цены!$H$31,Цены!$K$31,IF(BE63=Цены!$H$32,Цены!$K$32,IF(BE63=Цены!$H$33,Цены!$K$33,IF(BE63=Цены!$H$34,Цены!$K$34,IF(BE63=Цены!$H$35,Цены!$K$35,IF(BE63=Цены!$H$36,Цены!$K$36,IF(BE63=Цены!$H$37,Цены!$K$37,IF(BE63=Цены!$H$38,Цены!$K$38,IF(BE63=Цены!$H$39,Цены!$K$39,IF(BE63=Цены!$H$40,Цены!$K$40,IF(BE63=Цены!$H$41,Цены!$K$41,IF(BE63=Цены!$H$42,Цены!$K$42,IF(BE63=Цены!$H$43,Цены!$K$43,IF(BE63=Цены!$H$44,Цены!$K$44,IF(BE63=Цены!$H$45,Цены!$K$45,IF(BE63=Цены!$H$46,Цены!$K$46,IF(BE63=Цены!$H$47,Цены!$K$47,IF(BE63=Цены!$H$48,Цены!$K$48,IF(BE63=Цены!$H$49,Цены!$K$49,IF(BE63=Цены!$H$50,Цены!$K$50,IF(BE63=Цены!$H$51,Цены!$K$51,IF(BE63=Цены!$H$52,Цены!$K$52,IF(BE63=Цены!$H$53,Цены!$K$53,IF(BE63=Цены!$H$54,Цены!$K$54,IF(BE63=Цены!$H$55,Цены!$K$55))))))))))))))))))))))))))))))))))))))))))))))))))))))</f>
        <v>338</v>
      </c>
      <c r="BJ63" s="265"/>
      <c r="BK63" s="265"/>
      <c r="BL63" s="281">
        <f t="shared" ref="BL63" si="120">BF63*BI63+BF64*BI64+BF65*BI65+BF66*BI66</f>
        <v>3478</v>
      </c>
      <c r="BM63" s="292">
        <f>BJ59*BK59</f>
        <v>4000</v>
      </c>
      <c r="BN63" s="281">
        <f t="shared" ref="BN63" si="121">BL63+BM63</f>
        <v>7478</v>
      </c>
      <c r="BO63" s="268"/>
      <c r="BP63" s="281">
        <f>BO59/BN63*100</f>
        <v>58.83926183471516</v>
      </c>
      <c r="BQ63" s="293">
        <f>MROUND(BN63+BO59,500)</f>
        <v>12000</v>
      </c>
      <c r="BR63" s="133" t="s">
        <v>67</v>
      </c>
      <c r="BS63" s="108">
        <v>2</v>
      </c>
      <c r="BT63" s="109">
        <f>IF(BR63=Цены!$H$3,Цены!$L$3,IF(BR63=Цены!$H$4,Цены!$L$4,IF(BR63=Цены!$H$5,Цены!$L$5,IF(BR63=Цены!$H$6,Цены!$L$6,IF(BR63=Цены!$H$7,Цены!$L$7,IF(BR63=Цены!$H$8,Цены!$L$8,IF(BR63=Цены!$H$9,Цены!$L$9,IF(BR63=Цены!$H$10,Цены!$L$10,IF(BR63=Цены!$H$11,Цены!$L$11,IF(BR63=Цены!$H$12,Цены!$L$12,IF(BR63=Цены!$H$13,Цены!$L$13,IF(BR63=Цены!$H$14,Цены!$L$14,IF(BR63=Цены!$H$14,Цены!$L$14,IF(BR63=Цены!$H$15,Цены!$L$15,IF(BR63=Цены!$H$16,Цены!$L$16,IF(BR63=Цены!$H$17,Цены!$L$17,IF(BR63=Цены!$H$18,Цены!$L$18,IF(BR63=Цены!$H$19,Цены!$L$19,IF(BR63=Цены!$H$20,Цены!$L$20,IF(BR63=Цены!$H$21,Цены!$L$21,IF(BR63=Цены!$H$22,Цены!$L$22,IF(BR63=Цены!$H$23,Цены!$L$23,IF(BR63=Цены!$H$24,Цены!$L$24,IF(BR63=Цены!$H$25,Цены!$L$25,IF(BR63=Цены!$H$26,Цены!$L$26,IF(BR63=Цены!$H$27,Цены!$L$27,IF(BR63=Цены!$H$28,Цены!$L$28,IF(BR63=Цены!$H$29,Цены!$L$29,IF(BR63=Цены!$H$30,Цены!$L$30,IF(BR63=Цены!$H$31,Цены!$L$31,IF(BR63=Цены!$H$32,Цены!$L$32,IF(BR63=Цены!$H$33,Цены!$L$33,IF(BR63=Цены!$H$34,Цены!$L$34,IF(BR63=Цены!$H$35,Цены!$L$35,IF(BR63=Цены!$H$36,Цены!$L$36,IF(BR63=Цены!$H$37,Цены!$L$37,IF(BR63=Цены!$H$38,Цены!$L$38,IF(BR63=Цены!$H$39,Цены!$L$39,IF(BR63=Цены!$H$40,Цены!$L$40,IF(BR63=Цены!$H$41,Цены!$L$41,IF(BR63=Цены!$H$42,Цены!$L$42,IF(BR63=Цены!$H$43,Цены!$L$43,IF(BR63=Цены!$H$44,Цены!$L$44,IF(BR63=Цены!$H$45,Цены!$L$45,IF(BR63=Цены!$H$46,Цены!$L$46,IF(BR63=Цены!$H$47,Цены!$L$47,IF(BR63=Цены!$H$48,Цены!$L$48,IF(BR63=Цены!$H$49,Цены!$L$49,IF(BR63=Цены!$H$50,Цены!$L$50,IF(BR63=Цены!$H$51,Цены!$L$51,IF(BR63=Цены!$H$52,Цены!$L$52,IF(BR63=Цены!$H$53,Цены!$L$53,IF(BR63=Цены!$H$54,Цены!$L$54,IF(BR63=Цены!$H$55,Цены!$L$55))))))))))))))))))))))))))))))))))))))))))))))))))))))</f>
        <v>0.9</v>
      </c>
      <c r="BU63" s="284">
        <f>BS63*BT63+BS64*BT64+BS65*BT65+BS66*BT66</f>
        <v>3.3600000000000003</v>
      </c>
      <c r="BV63" s="110">
        <f>IF(BR63=Цены!$H$3,Цены!$K$3,IF(BR63=Цены!$H$4,Цены!$K$4,IF(BR63=Цены!$H$5,Цены!$K$5,IF(BR63=Цены!$H$6,Цены!$K$6,IF(BR63=Цены!$H$7,Цены!$K$7,IF(BR63=Цены!$H$8,Цены!$K$8,IF(BR63=Цены!$H$9,Цены!$K$9,IF(BR63=Цены!$H$10,Цены!$K$10,IF(BR63=Цены!$H$11,Цены!$K$11,IF(BR63=Цены!$H$12,Цены!$K$12,IF(BR63=Цены!$H$13,Цены!$K$13,IF(BR63=Цены!$H$14,Цены!$K$14,IF(BR63=Цены!$H$14,Цены!$K$14,IF(BR63=Цены!$H$15,Цены!$K$15,IF(BR63=Цены!$H$16,Цены!$K$16,IF(BR63=Цены!$H$17,Цены!$K$17,IF(BR63=Цены!$H$18,Цены!$K$18,IF(BR63=Цены!$H$19,Цены!$K$19,IF(BR63=Цены!$H$20,Цены!$K$20,IF(BR63=Цены!$H$21,Цены!$K$21,IF(BR63=Цены!$H$22,Цены!$K$22,IF(BR63=Цены!$H$23,Цены!$K$23,IF(BR63=Цены!$H$24,Цены!$K$24,IF(BR63=Цены!$H$25,Цены!$K$25,IF(BR63=Цены!$H$26,Цены!$K$26,IF(BR63=Цены!$H$27,Цены!$K$27,IF(BR63=Цены!$H$28,Цены!$K$28,IF(BR63=Цены!$H$29,Цены!$K$29,IF(BR63=Цены!$H$30,Цены!$K$30,IF(BR63=Цены!$H$31,Цены!$K$31,IF(BR63=Цены!$H$32,Цены!$K$32,IF(BR63=Цены!$H$33,Цены!$K$33,IF(BR63=Цены!$H$34,Цены!$K$34,IF(BR63=Цены!$H$35,Цены!$K$35,IF(BR63=Цены!$H$36,Цены!$K$36,IF(BR63=Цены!$H$37,Цены!$K$37,IF(BR63=Цены!$H$38,Цены!$K$38,IF(BR63=Цены!$H$39,Цены!$K$39,IF(BR63=Цены!$H$40,Цены!$K$40,IF(BR63=Цены!$H$41,Цены!$K$41,IF(BR63=Цены!$H$42,Цены!$K$42,IF(BR63=Цены!$H$43,Цены!$K$43,IF(BR63=Цены!$H$44,Цены!$K$44,IF(BR63=Цены!$H$45,Цены!$K$45,IF(BR63=Цены!$H$46,Цены!$K$46,IF(BR63=Цены!$H$47,Цены!$K$47,IF(BR63=Цены!$H$48,Цены!$K$48,IF(BR63=Цены!$H$49,Цены!$K$49,IF(BR63=Цены!$H$50,Цены!$K$50,IF(BR63=Цены!$H$51,Цены!$K$51,IF(BR63=Цены!$H$52,Цены!$K$52,IF(BR63=Цены!$H$53,Цены!$K$53,IF(BR63=Цены!$H$54,Цены!$K$54,IF(BR63=Цены!$H$55,Цены!$K$55))))))))))))))))))))))))))))))))))))))))))))))))))))))</f>
        <v>338</v>
      </c>
      <c r="BW63" s="265"/>
      <c r="BX63" s="265"/>
      <c r="BY63" s="285">
        <f t="shared" ref="BY63" si="122">BS63*BV63+BS64*BV64+BS65*BV65+BS66*BV66</f>
        <v>1570</v>
      </c>
      <c r="BZ63" s="290">
        <f>BW59*BX59</f>
        <v>800</v>
      </c>
      <c r="CA63" s="285">
        <f t="shared" ref="CA63" si="123">BY63+BZ63</f>
        <v>2370</v>
      </c>
      <c r="CB63" s="268"/>
      <c r="CC63" s="285">
        <f>CB59/CA63*100</f>
        <v>37.130801687763721</v>
      </c>
      <c r="CD63" s="291">
        <f>MROUND(CA63+CB59,500)</f>
        <v>3500</v>
      </c>
      <c r="CE63" s="119" t="s">
        <v>67</v>
      </c>
      <c r="CF63" s="112">
        <v>3</v>
      </c>
      <c r="CG63" s="113">
        <f>IF(CE63=Цены!$H$3,Цены!$L$3,IF(CE63=Цены!$H$4,Цены!$L$4,IF(CE63=Цены!$H$5,Цены!$L$5,IF(CE63=Цены!$H$6,Цены!$L$6,IF(CE63=Цены!$H$7,Цены!$L$7,IF(CE63=Цены!$H$8,Цены!$L$8,IF(CE63=Цены!$H$9,Цены!$L$9,IF(CE63=Цены!$H$10,Цены!$L$10,IF(CE63=Цены!$H$11,Цены!$L$11,IF(CE63=Цены!$H$12,Цены!$L$12,IF(CE63=Цены!$H$13,Цены!$L$13,IF(CE63=Цены!$H$14,Цены!$L$14,IF(CE63=Цены!$H$14,Цены!$L$14,IF(CE63=Цены!$H$15,Цены!$L$15,IF(CE63=Цены!$H$16,Цены!$L$16,IF(CE63=Цены!$H$17,Цены!$L$17,IF(CE63=Цены!$H$18,Цены!$L$18,IF(CE63=Цены!$H$19,Цены!$L$19,IF(CE63=Цены!$H$20,Цены!$L$20,IF(CE63=Цены!$H$21,Цены!$L$21,IF(CE63=Цены!$H$22,Цены!$L$22,IF(CE63=Цены!$H$23,Цены!$L$23,IF(CE63=Цены!$H$24,Цены!$L$24,IF(CE63=Цены!$H$25,Цены!$L$25,IF(CE63=Цены!$H$26,Цены!$L$26,IF(CE63=Цены!$H$27,Цены!$L$27,IF(CE63=Цены!$H$28,Цены!$L$28,IF(CE63=Цены!$H$29,Цены!$L$29,IF(CE63=Цены!$H$30,Цены!$L$30,IF(CE63=Цены!$H$31,Цены!$L$31,IF(CE63=Цены!$H$32,Цены!$L$32,IF(CE63=Цены!$H$33,Цены!$L$33,IF(CE63=Цены!$H$34,Цены!$L$34,IF(CE63=Цены!$H$35,Цены!$L$35,IF(CE63=Цены!$H$36,Цены!$L$36,IF(CE63=Цены!$H$37,Цены!$L$37,IF(CE63=Цены!$H$38,Цены!$L$38,IF(CE63=Цены!$H$39,Цены!$L$39,IF(CE63=Цены!$H$40,Цены!$L$40,IF(CE63=Цены!$H$41,Цены!$L$41,IF(CE63=Цены!$H$42,Цены!$L$42,IF(CE63=Цены!$H$43,Цены!$L$43,IF(CE63=Цены!$H$44,Цены!$L$44,IF(CE63=Цены!$H$45,Цены!$L$45,IF(CE63=Цены!$H$46,Цены!$L$46,IF(CE63=Цены!$H$47,Цены!$L$47,IF(CE63=Цены!$H$48,Цены!$L$48,IF(CE63=Цены!$H$49,Цены!$L$49,IF(CE63=Цены!$H$50,Цены!$L$50,IF(CE63=Цены!$H$51,Цены!$L$51,IF(CE63=Цены!$H$52,Цены!$L$52,IF(CE63=Цены!$H$53,Цены!$L$53,IF(CE63=Цены!$H$54,Цены!$L$54,IF(CE63=Цены!$H$55,Цены!$L$55))))))))))))))))))))))))))))))))))))))))))))))))))))))</f>
        <v>0.9</v>
      </c>
      <c r="CH63" s="282">
        <f>CF63*CG63+CF64*CG64+CF65*CG65+CF66*CG66</f>
        <v>5.0663999999999998</v>
      </c>
      <c r="CI63" s="114">
        <f>IF(CE63=Цены!$H$3,Цены!$K$3,IF(CE63=Цены!$H$4,Цены!$K$4,IF(CE63=Цены!$H$5,Цены!$K$5,IF(CE63=Цены!$H$6,Цены!$K$6,IF(CE63=Цены!$H$7,Цены!$K$7,IF(CE63=Цены!$H$8,Цены!$K$8,IF(CE63=Цены!$H$9,Цены!$K$9,IF(CE63=Цены!$H$10,Цены!$K$10,IF(CE63=Цены!$H$11,Цены!$K$11,IF(CE63=Цены!$H$12,Цены!$K$12,IF(CE63=Цены!$H$13,Цены!$K$13,IF(CE63=Цены!$H$14,Цены!$K$14,IF(CE63=Цены!$H$14,Цены!$K$14,IF(CE63=Цены!$H$15,Цены!$K$15,IF(CE63=Цены!$H$16,Цены!$K$16,IF(CE63=Цены!$H$17,Цены!$K$17,IF(CE63=Цены!$H$18,Цены!$K$18,IF(CE63=Цены!$H$19,Цены!$K$19,IF(CE63=Цены!$H$20,Цены!$K$20,IF(CE63=Цены!$H$21,Цены!$K$21,IF(CE63=Цены!$H$22,Цены!$K$22,IF(CE63=Цены!$H$23,Цены!$K$23,IF(CE63=Цены!$H$24,Цены!$K$24,IF(CE63=Цены!$H$25,Цены!$K$25,IF(CE63=Цены!$H$26,Цены!$K$26,IF(CE63=Цены!$H$27,Цены!$K$27,IF(CE63=Цены!$H$28,Цены!$K$28,IF(CE63=Цены!$H$29,Цены!$K$29,IF(CE63=Цены!$H$30,Цены!$K$30,IF(CE63=Цены!$H$31,Цены!$K$31,IF(CE63=Цены!$H$32,Цены!$K$32,IF(CE63=Цены!$H$33,Цены!$K$33,IF(CE63=Цены!$H$34,Цены!$K$34,IF(CE63=Цены!$H$35,Цены!$K$35,IF(CE63=Цены!$H$36,Цены!$K$36,IF(CE63=Цены!$H$37,Цены!$K$37,IF(CE63=Цены!$H$38,Цены!$K$38,IF(CE63=Цены!$H$39,Цены!$K$39,IF(CE63=Цены!$H$40,Цены!$K$40,IF(CE63=Цены!$H$41,Цены!$K$41,IF(CE63=Цены!$H$42,Цены!$K$42,IF(CE63=Цены!$H$43,Цены!$K$43,IF(CE63=Цены!$H$44,Цены!$K$44,IF(CE63=Цены!$H$45,Цены!$K$45,IF(CE63=Цены!$H$46,Цены!$K$46,IF(CE63=Цены!$H$47,Цены!$K$47,IF(CE63=Цены!$H$48,Цены!$K$48,IF(CE63=Цены!$H$49,Цены!$K$49,IF(CE63=Цены!$H$50,Цены!$K$50,IF(CE63=Цены!$H$51,Цены!$K$51,IF(CE63=Цены!$H$52,Цены!$K$52,IF(CE63=Цены!$H$53,Цены!$K$53,IF(CE63=Цены!$H$54,Цены!$K$54,IF(CE63=Цены!$H$55,Цены!$K$55))))))))))))))))))))))))))))))))))))))))))))))))))))))</f>
        <v>338</v>
      </c>
      <c r="CJ63" s="265"/>
      <c r="CK63" s="265"/>
      <c r="CL63" s="283">
        <f t="shared" ref="CL63" si="124">CF63*CI63+CF64*CI64+CF65*CI65+CF66*CI66</f>
        <v>2463</v>
      </c>
      <c r="CM63" s="288">
        <f>CJ59*CK59</f>
        <v>1600</v>
      </c>
      <c r="CN63" s="283">
        <f t="shared" ref="CN63" si="125">CL63+CM63</f>
        <v>4063</v>
      </c>
      <c r="CO63" s="268"/>
      <c r="CP63" s="283">
        <f>CO59/CN63*100</f>
        <v>43.317745508245139</v>
      </c>
      <c r="CQ63" s="289">
        <f>MROUND(CN63+CO59,500)</f>
        <v>6000</v>
      </c>
    </row>
    <row r="64" spans="1:95" s="40" customFormat="1" ht="15.75" hidden="1" customHeight="1" x14ac:dyDescent="0.25">
      <c r="A64" s="341"/>
      <c r="B64" s="265"/>
      <c r="C64" s="336"/>
      <c r="D64" s="44" t="s">
        <v>87</v>
      </c>
      <c r="E64" s="45">
        <v>8</v>
      </c>
      <c r="F64" s="46">
        <f>IF(D64=Цены!$H$3,Цены!$L$3,IF(D64=Цены!$H$4,Цены!$L$4,IF(D64=Цены!$H$5,Цены!$L$5,IF(D64=Цены!$H$6,Цены!$L$6,IF(D64=Цены!$H$7,Цены!$L$7,IF(D64=Цены!$H$8,Цены!$L$8,IF(D64=Цены!$H$9,Цены!$L$9,IF(D64=Цены!$H$10,Цены!$L$10,IF(D64=Цены!$H$11,Цены!$L$11,IF(D64=Цены!$H$12,Цены!$L$12,IF(D64=Цены!$H$13,Цены!$L$13,IF(D64=Цены!$H$14,Цены!$L$14,IF(D64=Цены!$H$14,Цены!$L$14,IF(D64=Цены!$H$15,Цены!$L$15,IF(D64=Цены!$H$16,Цены!$L$16,IF(D64=Цены!$H$17,Цены!$L$17,IF(D64=Цены!$H$18,Цены!$L$18,IF(D64=Цены!$H$19,Цены!$L$19,IF(D64=Цены!$H$20,Цены!$L$20,IF(D64=Цены!$H$21,Цены!$L$21,IF(D64=Цены!$H$22,Цены!$L$22,IF(D64=Цены!$H$23,Цены!$L$23,IF(D64=Цены!$H$24,Цены!$L$24,IF(D64=Цены!$H$25,Цены!$L$25,IF(D64=Цены!$H$26,Цены!$L$26,IF(D64=Цены!$H$27,Цены!$L$27,IF(D64=Цены!$H$28,Цены!$L$28,IF(D64=Цены!$H$29,Цены!$L$29,IF(D64=Цены!$H$30,Цены!$L$30,IF(D64=Цены!$H$31,Цены!$L$31,IF(D64=Цены!$H$32,Цены!$L$32,IF(D64=Цены!$H$33,Цены!$L$33,IF(D64=Цены!$H$34,Цены!$L$34,IF(D64=Цены!$H$35,Цены!$L$35,IF(D64=Цены!$H$36,Цены!$L$36,IF(D64=Цены!$H$37,Цены!$L$37,IF(D64=Цены!$H$38,Цены!$L$38,IF(D64=Цены!$H$39,Цены!$L$39,IF(D64=Цены!$H$40,Цены!$L$40,IF(D64=Цены!$H$41,Цены!$L$41,IF(D64=Цены!$H$42,Цены!$L$42,IF(D64=Цены!$H$43,Цены!$L$43,IF(D64=Цены!$H$44,Цены!$L$44,IF(D64=Цены!$H$45,Цены!$L$45,IF(D64=Цены!$H$46,Цены!$L$46,IF(D64=Цены!$H$47,Цены!$L$47,IF(D64=Цены!$H$48,Цены!$L$48,IF(D64=Цены!$H$49,Цены!$L$49,IF(D64=Цены!$H$50,Цены!$L$50,IF(D64=Цены!$H$51,Цены!$L$51,IF(D64=Цены!$H$52,Цены!$L$52,IF(D64=Цены!$H$53,Цены!$L$53,IF(D64=Цены!$H$54,Цены!$L$54,IF(D64=Цены!$H$55,Цены!$L$55))))))))))))))))))))))))))))))))))))))))))))))))))))))</f>
        <v>1.2</v>
      </c>
      <c r="G64" s="339"/>
      <c r="H64" s="47">
        <f>IF(D64=Цены!$H$3,Цены!$K$3,IF(D64=Цены!$H$4,Цены!$K$4,IF(D64=Цены!$H$5,Цены!$K$5,IF(D64=Цены!$H$6,Цены!$K$6,IF(D64=Цены!$H$7,Цены!$K$7,IF(D64=Цены!$H$8,Цены!$K$8,IF(D64=Цены!$H$9,Цены!$K$9,IF(D64=Цены!$H$10,Цены!$K$10,IF(D64=Цены!$H$11,Цены!$K$11,IF(D64=Цены!$H$12,Цены!$K$12,IF(D64=Цены!$H$13,Цены!$K$13,IF(D64=Цены!$H$14,Цены!$K$14,IF(D64=Цены!$H$14,Цены!$K$14,IF(D64=Цены!$H$15,Цены!$K$15,IF(D64=Цены!$H$16,Цены!$K$16,IF(D64=Цены!$H$17,Цены!$K$17,IF(D64=Цены!$H$18,Цены!$K$18,IF(D64=Цены!$H$19,Цены!$K$19,IF(D64=Цены!$H$20,Цены!$K$20,IF(D64=Цены!$H$21,Цены!$K$21,IF(D64=Цены!$H$22,Цены!$K$22,IF(D64=Цены!$H$23,Цены!$K$23,IF(D64=Цены!$H$24,Цены!$K$24,IF(D64=Цены!$H$25,Цены!$K$25,IF(D64=Цены!$H$26,Цены!$K$26,IF(D64=Цены!$H$27,Цены!$K$27,IF(D64=Цены!$H$28,Цены!$K$28,IF(D64=Цены!$H$29,Цены!$K$29,IF(D64=Цены!$H$30,Цены!$K$30,IF(D64=Цены!$H$31,Цены!$K$31,IF(D64=Цены!$H$32,Цены!$K$32,IF(D64=Цены!$H$33,Цены!$K$33,IF(D64=Цены!$H$34,Цены!$K$34,IF(D64=Цены!$H$35,Цены!$K$35,IF(D64=Цены!$H$36,Цены!$K$36,IF(D64=Цены!$H$37,Цены!$K$37,IF(D64=Цены!$H$38,Цены!$K$38,IF(D64=Цены!$H$39,Цены!$K$39,IF(D64=Цены!$H$40,Цены!$K$40,IF(D64=Цены!$H$41,Цены!$K$41,IF(D64=Цены!$H$42,Цены!$K$42,IF(D64=Цены!$H$43,Цены!$K$43,IF(D64=Цены!$H$44,Цены!$K$44,IF(D64=Цены!$H$45,Цены!$K$45,IF(D64=Цены!$H$46,Цены!$K$46,IF(D64=Цены!$H$47,Цены!$K$47,IF(D64=Цены!$H$48,Цены!$K$48,IF(D64=Цены!$H$49,Цены!$K$49,IF(D64=Цены!$H$50,Цены!$K$50,IF(D64=Цены!$H$51,Цены!$K$51,IF(D64=Цены!$H$52,Цены!$K$52,IF(D64=Цены!$H$53,Цены!$K$53,IF(D64=Цены!$H$54,Цены!$K$54,IF(D64=Цены!$H$55,Цены!$K$55))))))))))))))))))))))))))))))))))))))))))))))))))))))</f>
        <v>378</v>
      </c>
      <c r="I64" s="265"/>
      <c r="J64" s="265"/>
      <c r="K64" s="332"/>
      <c r="L64" s="334"/>
      <c r="M64" s="334"/>
      <c r="N64" s="265"/>
      <c r="O64" s="332"/>
      <c r="P64" s="331"/>
      <c r="Q64" s="132" t="s">
        <v>148</v>
      </c>
      <c r="R64" s="37">
        <v>5</v>
      </c>
      <c r="S64" s="38">
        <f>IF(Q64=Цены!$H$3,Цены!$L$3,IF(Q64=Цены!$H$4,Цены!$L$4,IF(Q64=Цены!$H$5,Цены!$L$5,IF(Q64=Цены!$H$6,Цены!$L$6,IF(Q64=Цены!$H$7,Цены!$L$7,IF(Q64=Цены!$H$8,Цены!$L$8,IF(Q64=Цены!$H$9,Цены!$L$9,IF(Q64=Цены!$H$10,Цены!$L$10,IF(Q64=Цены!$H$11,Цены!$L$11,IF(Q64=Цены!$H$12,Цены!$L$12,IF(Q64=Цены!$H$13,Цены!$L$13,IF(Q64=Цены!$H$14,Цены!$L$14,IF(Q64=Цены!$H$14,Цены!$L$14,IF(Q64=Цены!$H$15,Цены!$L$15,IF(Q64=Цены!$H$16,Цены!$L$16,IF(Q64=Цены!$H$17,Цены!$L$17,IF(Q64=Цены!$H$18,Цены!$L$18,IF(Q64=Цены!$H$19,Цены!$L$19,IF(Q64=Цены!$H$20,Цены!$L$20,IF(Q64=Цены!$H$21,Цены!$L$21,IF(Q64=Цены!$H$22,Цены!$L$22,IF(Q64=Цены!$H$23,Цены!$L$23,IF(Q64=Цены!$H$24,Цены!$L$24,IF(Q64=Цены!$H$25,Цены!$L$25,IF(Q64=Цены!$H$26,Цены!$L$26,IF(Q64=Цены!$H$27,Цены!$L$27,IF(Q64=Цены!$H$28,Цены!$L$28,IF(Q64=Цены!$H$29,Цены!$L$29,IF(Q64=Цены!$H$30,Цены!$L$30,IF(Q64=Цены!$H$31,Цены!$L$31,IF(Q64=Цены!$H$32,Цены!$L$32,IF(Q64=Цены!$H$33,Цены!$L$33,IF(Q64=Цены!$H$34,Цены!$L$34,IF(Q64=Цены!$H$35,Цены!$L$35,IF(Q64=Цены!$H$36,Цены!$L$36,IF(Q64=Цены!$H$37,Цены!$L$37,IF(Q64=Цены!$H$38,Цены!$L$38,IF(Q64=Цены!$H$39,Цены!$L$39,IF(Q64=Цены!$H$40,Цены!$L$40,IF(Q64=Цены!$H$41,Цены!$L$41,IF(Q64=Цены!$H$42,Цены!$L$42,IF(Q64=Цены!$H$43,Цены!$L$43,IF(Q64=Цены!$H$44,Цены!$L$44,IF(Q64=Цены!$H$45,Цены!$L$45,IF(Q64=Цены!$H$46,Цены!$L$46,IF(Q64=Цены!$H$47,Цены!$L$47,IF(Q64=Цены!$H$48,Цены!$L$48,IF(Q64=Цены!$H$49,Цены!$L$49,IF(Q64=Цены!$H$50,Цены!$L$50,IF(Q64=Цены!$H$51,Цены!$L$51,IF(Q64=Цены!$H$52,Цены!$L$52,IF(Q64=Цены!$H$53,Цены!$L$53,IF(Q64=Цены!$H$54,Цены!$L$54,IF(Q64=Цены!$H$55,Цены!$L$55))))))))))))))))))))))))))))))))))))))))))))))))))))))</f>
        <v>1.1499999999999999</v>
      </c>
      <c r="T64" s="322"/>
      <c r="U64" s="161">
        <f>IF(Q64=Цены!$H$3,Цены!$K$3,IF(Q64=Цены!$H$4,Цены!$K$4,IF(Q64=Цены!$H$5,Цены!$K$5,IF(Q64=Цены!$H$6,Цены!$K$6,IF(Q64=Цены!$H$7,Цены!$K$7,IF(Q64=Цены!$H$8,Цены!$K$8,IF(Q64=Цены!$H$9,Цены!$K$9,IF(Q64=Цены!$H$10,Цены!$K$10,IF(Q64=Цены!$H$11,Цены!$K$11,IF(Q64=Цены!$H$12,Цены!$K$12,IF(Q64=Цены!$H$13,Цены!$K$13,IF(Q64=Цены!$H$14,Цены!$K$14,IF(Q64=Цены!$H$14,Цены!$K$14,IF(Q64=Цены!$H$15,Цены!$K$15,IF(Q64=Цены!$H$16,Цены!$K$16,IF(Q64=Цены!$H$17,Цены!$K$17,IF(Q64=Цены!$H$18,Цены!$K$18,IF(Q64=Цены!$H$19,Цены!$K$19,IF(Q64=Цены!$H$20,Цены!$K$20,IF(Q64=Цены!$H$21,Цены!$K$21,IF(Q64=Цены!$H$22,Цены!$K$22,IF(Q64=Цены!$H$23,Цены!$K$23,IF(Q64=Цены!$H$24,Цены!$K$24,IF(Q64=Цены!$H$25,Цены!$K$25,IF(Q64=Цены!$H$26,Цены!$K$26,IF(Q64=Цены!$H$27,Цены!$K$27,IF(Q64=Цены!$H$28,Цены!$K$28,IF(Q64=Цены!$H$29,Цены!$K$29,IF(Q64=Цены!$H$30,Цены!$K$30,IF(Q64=Цены!$H$31,Цены!$K$31,IF(Q64=Цены!$H$32,Цены!$K$32,IF(Q64=Цены!$H$33,Цены!$K$33,IF(Q64=Цены!$H$34,Цены!$K$34,IF(Q64=Цены!$H$35,Цены!$K$35,IF(Q64=Цены!$H$36,Цены!$K$36,IF(Q64=Цены!$H$37,Цены!$K$37,IF(Q64=Цены!$H$38,Цены!$K$38,IF(Q64=Цены!$H$39,Цены!$K$39,IF(Q64=Цены!$H$40,Цены!$K$40,IF(Q64=Цены!$H$41,Цены!$K$41,IF(Q64=Цены!$H$42,Цены!$K$42,IF(Q64=Цены!$H$43,Цены!$K$43,IF(Q64=Цены!$H$44,Цены!$K$44,IF(Q64=Цены!$H$45,Цены!$K$45,IF(Q64=Цены!$H$46,Цены!$K$46,IF(Q64=Цены!$H$47,Цены!$K$47,IF(Q64=Цены!$H$48,Цены!$K$48,IF(Q64=Цены!$H$49,Цены!$K$49,IF(Q64=Цены!$H$50,Цены!$K$50,IF(Q64=Цены!$H$51,Цены!$K$51,IF(Q64=Цены!$H$52,Цены!$K$52,IF(Q64=Цены!$H$53,Цены!$K$53,IF(Q64=Цены!$H$54,Цены!$K$54,IF(Q64=Цены!$H$55,Цены!$K$55))))))))))))))))))))))))))))))))))))))))))))))))))))))</f>
        <v>400</v>
      </c>
      <c r="V64" s="265"/>
      <c r="W64" s="265"/>
      <c r="X64" s="323"/>
      <c r="Y64" s="324"/>
      <c r="Z64" s="324"/>
      <c r="AA64" s="265"/>
      <c r="AB64" s="323"/>
      <c r="AC64" s="325"/>
      <c r="AD64" s="66" t="s">
        <v>70</v>
      </c>
      <c r="AE64" s="67">
        <v>4</v>
      </c>
      <c r="AF64" s="68">
        <f>IF(AD64=Цены!$H$3,Цены!$L$3,IF(AD64=Цены!$H$4,Цены!$L$4,IF(AD64=Цены!$H$5,Цены!$L$5,IF(AD64=Цены!$H$6,Цены!$L$6,IF(AD64=Цены!$H$7,Цены!$L$7,IF(AD64=Цены!$H$8,Цены!$L$8,IF(AD64=Цены!$H$9,Цены!$L$9,IF(AD64=Цены!$H$10,Цены!$L$10,IF(AD64=Цены!$H$11,Цены!$L$11,IF(AD64=Цены!$H$12,Цены!$L$12,IF(AD64=Цены!$H$13,Цены!$L$13,IF(AD64=Цены!$H$14,Цены!$L$14,IF(AD64=Цены!$H$14,Цены!$L$14,IF(AD64=Цены!$H$15,Цены!$L$15,IF(AD64=Цены!$H$16,Цены!$L$16,IF(AD64=Цены!$H$17,Цены!$L$17,IF(AD64=Цены!$H$18,Цены!$L$18,IF(AD64=Цены!$H$19,Цены!$L$19,IF(AD64=Цены!$H$20,Цены!$L$20,IF(AD64=Цены!$H$21,Цены!$L$21,IF(AD64=Цены!$H$22,Цены!$L$22,IF(AD64=Цены!$H$23,Цены!$L$23,IF(AD64=Цены!$H$24,Цены!$L$24,IF(AD64=Цены!$H$25,Цены!$L$25,IF(AD64=Цены!$H$26,Цены!$L$26,IF(AD64=Цены!$H$27,Цены!$L$27,IF(AD64=Цены!$H$28,Цены!$L$28,IF(AD64=Цены!$H$29,Цены!$L$29,IF(AD64=Цены!$H$30,Цены!$L$30,IF(AD64=Цены!$H$31,Цены!$L$31,IF(AD64=Цены!$H$32,Цены!$L$32,IF(AD64=Цены!$H$33,Цены!$L$33,IF(AD64=Цены!$H$34,Цены!$L$34,IF(AD64=Цены!$H$35,Цены!$L$35,IF(AD64=Цены!$H$36,Цены!$L$36,IF(AD64=Цены!$H$37,Цены!$L$37,IF(AD64=Цены!$H$38,Цены!$L$38,IF(AD64=Цены!$H$39,Цены!$L$39,IF(AD64=Цены!$H$40,Цены!$L$40,IF(AD64=Цены!$H$41,Цены!$L$41,IF(AD64=Цены!$H$42,Цены!$L$42,IF(AD64=Цены!$H$43,Цены!$L$43,IF(AD64=Цены!$H$44,Цены!$L$44,IF(AD64=Цены!$H$45,Цены!$L$45,IF(AD64=Цены!$H$46,Цены!$L$46,IF(AD64=Цены!$H$47,Цены!$L$47,IF(AD64=Цены!$H$48,Цены!$L$48,IF(AD64=Цены!$H$49,Цены!$L$49,IF(AD64=Цены!$H$50,Цены!$L$50,IF(AD64=Цены!$H$51,Цены!$L$51,IF(AD64=Цены!$H$52,Цены!$L$52,IF(AD64=Цены!$H$53,Цены!$L$53,IF(AD64=Цены!$H$54,Цены!$L$54,IF(AD64=Цены!$H$55,Цены!$L$55))))))))))))))))))))))))))))))))))))))))))))))))))))))</f>
        <v>2.4</v>
      </c>
      <c r="AG64" s="311"/>
      <c r="AH64" s="69">
        <f>IF(AD64=Цены!$H$3,Цены!$K$3,IF(AD64=Цены!$H$4,Цены!$K$4,IF(AD64=Цены!$H$5,Цены!$K$5,IF(AD64=Цены!$H$6,Цены!$K$6,IF(AD64=Цены!$H$7,Цены!$K$7,IF(AD64=Цены!$H$8,Цены!$K$8,IF(AD64=Цены!$H$9,Цены!$K$9,IF(AD64=Цены!$H$10,Цены!$K$10,IF(AD64=Цены!$H$11,Цены!$K$11,IF(AD64=Цены!$H$12,Цены!$K$12,IF(AD64=Цены!$H$13,Цены!$K$13,IF(AD64=Цены!$H$14,Цены!$K$14,IF(AD64=Цены!$H$14,Цены!$K$14,IF(AD64=Цены!$H$15,Цены!$K$15,IF(AD64=Цены!$H$16,Цены!$K$16,IF(AD64=Цены!$H$17,Цены!$K$17,IF(AD64=Цены!$H$18,Цены!$K$18,IF(AD64=Цены!$H$19,Цены!$K$19,IF(AD64=Цены!$H$20,Цены!$K$20,IF(AD64=Цены!$H$21,Цены!$K$21,IF(AD64=Цены!$H$22,Цены!$K$22,IF(AD64=Цены!$H$23,Цены!$K$23,IF(AD64=Цены!$H$24,Цены!$K$24,IF(AD64=Цены!$H$25,Цены!$K$25,IF(AD64=Цены!$H$26,Цены!$K$26,IF(AD64=Цены!$H$27,Цены!$K$27,IF(AD64=Цены!$H$28,Цены!$K$28,IF(AD64=Цены!$H$29,Цены!$K$29,IF(AD64=Цены!$H$30,Цены!$K$30,IF(AD64=Цены!$H$31,Цены!$K$31,IF(AD64=Цены!$H$32,Цены!$K$32,IF(AD64=Цены!$H$33,Цены!$K$33,IF(AD64=Цены!$H$34,Цены!$K$34,IF(AD64=Цены!$H$35,Цены!$K$35,IF(AD64=Цены!$H$36,Цены!$K$36,IF(AD64=Цены!$H$37,Цены!$K$37,IF(AD64=Цены!$H$38,Цены!$K$38,IF(AD64=Цены!$H$39,Цены!$K$39,IF(AD64=Цены!$H$40,Цены!$K$40,IF(AD64=Цены!$H$41,Цены!$K$41,IF(AD64=Цены!$H$42,Цены!$K$42,IF(AD64=Цены!$H$43,Цены!$K$43,IF(AD64=Цены!$H$44,Цены!$K$44,IF(AD64=Цены!$H$45,Цены!$K$45,IF(AD64=Цены!$H$46,Цены!$K$46,IF(AD64=Цены!$H$47,Цены!$K$47,IF(AD64=Цены!$H$48,Цены!$K$48,IF(AD64=Цены!$H$49,Цены!$K$49,IF(AD64=Цены!$H$50,Цены!$K$50,IF(AD64=Цены!$H$51,Цены!$K$51,IF(AD64=Цены!$H$52,Цены!$K$52,IF(AD64=Цены!$H$53,Цены!$K$53,IF(AD64=Цены!$H$54,Цены!$K$54,IF(AD64=Цены!$H$55,Цены!$K$55))))))))))))))))))))))))))))))))))))))))))))))))))))))</f>
        <v>469</v>
      </c>
      <c r="AI64" s="265"/>
      <c r="AJ64" s="265"/>
      <c r="AK64" s="312"/>
      <c r="AL64" s="314"/>
      <c r="AM64" s="314"/>
      <c r="AN64" s="265"/>
      <c r="AO64" s="312"/>
      <c r="AP64" s="315"/>
      <c r="AQ64" s="125" t="s">
        <v>140</v>
      </c>
      <c r="AR64" s="131">
        <v>3</v>
      </c>
      <c r="AS64" s="80">
        <f>IF(AQ64=Цены!$H$3,Цены!$L$3,IF(AQ64=Цены!$H$4,Цены!$L$4,IF(AQ64=Цены!$H$5,Цены!$L$5,IF(AQ64=Цены!$H$6,Цены!$L$6,IF(AQ64=Цены!$H$7,Цены!$L$7,IF(AQ64=Цены!$H$8,Цены!$L$8,IF(AQ64=Цены!$H$9,Цены!$L$9,IF(AQ64=Цены!$H$10,Цены!$L$10,IF(AQ64=Цены!$H$11,Цены!$L$11,IF(AQ64=Цены!$H$12,Цены!$L$12,IF(AQ64=Цены!$H$13,Цены!$L$13,IF(AQ64=Цены!$H$14,Цены!$L$14,IF(AQ64=Цены!$H$14,Цены!$L$14,IF(AQ64=Цены!$H$15,Цены!$L$15,IF(AQ64=Цены!$H$16,Цены!$L$16,IF(AQ64=Цены!$H$17,Цены!$L$17,IF(AQ64=Цены!$H$18,Цены!$L$18,IF(AQ64=Цены!$H$19,Цены!$L$19,IF(AQ64=Цены!$H$20,Цены!$L$20,IF(AQ64=Цены!$H$21,Цены!$L$21,IF(AQ64=Цены!$H$22,Цены!$L$22,IF(AQ64=Цены!$H$23,Цены!$L$23,IF(AQ64=Цены!$H$24,Цены!$L$24,IF(AQ64=Цены!$H$25,Цены!$L$25,IF(AQ64=Цены!$H$26,Цены!$L$26,IF(AQ64=Цены!$H$27,Цены!$L$27,IF(AQ64=Цены!$H$28,Цены!$L$28,IF(AQ64=Цены!$H$29,Цены!$L$29,IF(AQ64=Цены!$H$30,Цены!$L$30,IF(AQ64=Цены!$H$31,Цены!$L$31,IF(AQ64=Цены!$H$32,Цены!$L$32,IF(AQ64=Цены!$H$33,Цены!$L$33,IF(AQ64=Цены!$H$34,Цены!$L$34,IF(AQ64=Цены!$H$35,Цены!$L$35,IF(AQ64=Цены!$H$36,Цены!$L$36,IF(AQ64=Цены!$H$37,Цены!$L$37,IF(AQ64=Цены!$H$38,Цены!$L$38,IF(AQ64=Цены!$H$39,Цены!$L$39,IF(AQ64=Цены!$H$40,Цены!$L$40,IF(AQ64=Цены!$H$41,Цены!$L$41,IF(AQ64=Цены!$H$42,Цены!$L$42,IF(AQ64=Цены!$H$43,Цены!$L$43,IF(AQ64=Цены!$H$44,Цены!$L$44,IF(AQ64=Цены!$H$45,Цены!$L$45,IF(AQ64=Цены!$H$46,Цены!$L$46,IF(AQ64=Цены!$H$47,Цены!$L$47,IF(AQ64=Цены!$H$48,Цены!$L$48,IF(AQ64=Цены!$H$49,Цены!$L$49,IF(AQ64=Цены!$H$50,Цены!$L$50,IF(AQ64=Цены!$H$51,Цены!$L$51,IF(AQ64=Цены!$H$52,Цены!$L$52,IF(AQ64=Цены!$H$53,Цены!$L$53,IF(AQ64=Цены!$H$54,Цены!$L$54,IF(AQ64=Цены!$H$55,Цены!$L$55))))))))))))))))))))))))))))))))))))))))))))))))))))))</f>
        <v>0.37</v>
      </c>
      <c r="AT64" s="271"/>
      <c r="AU64" s="81">
        <f>IF(AQ64=Цены!$H$3,Цены!$K$3,IF(AQ64=Цены!$H$4,Цены!$K$4,IF(AQ64=Цены!$H$5,Цены!$K$5,IF(AQ64=Цены!$H$6,Цены!$K$6,IF(AQ64=Цены!$H$7,Цены!$K$7,IF(AQ64=Цены!$H$8,Цены!$K$8,IF(AQ64=Цены!$H$9,Цены!$K$9,IF(AQ64=Цены!$H$10,Цены!$K$10,IF(AQ64=Цены!$H$11,Цены!$K$11,IF(AQ64=Цены!$H$12,Цены!$K$12,IF(AQ64=Цены!$H$13,Цены!$K$13,IF(AQ64=Цены!$H$14,Цены!$K$14,IF(AQ64=Цены!$H$14,Цены!$K$14,IF(AQ64=Цены!$H$15,Цены!$K$15,IF(AQ64=Цены!$H$16,Цены!$K$16,IF(AQ64=Цены!$H$17,Цены!$K$17,IF(AQ64=Цены!$H$18,Цены!$K$18,IF(AQ64=Цены!$H$19,Цены!$K$19,IF(AQ64=Цены!$H$20,Цены!$K$20,IF(AQ64=Цены!$H$21,Цены!$K$21,IF(AQ64=Цены!$H$22,Цены!$K$22,IF(AQ64=Цены!$H$23,Цены!$K$23,IF(AQ64=Цены!$H$24,Цены!$K$24,IF(AQ64=Цены!$H$25,Цены!$K$25,IF(AQ64=Цены!$H$26,Цены!$K$26,IF(AQ64=Цены!$H$27,Цены!$K$27,IF(AQ64=Цены!$H$28,Цены!$K$28,IF(AQ64=Цены!$H$29,Цены!$K$29,IF(AQ64=Цены!$H$30,Цены!$K$30,IF(AQ64=Цены!$H$31,Цены!$K$31,IF(AQ64=Цены!$H$32,Цены!$K$32,IF(AQ64=Цены!$H$33,Цены!$K$33,IF(AQ64=Цены!$H$34,Цены!$K$34,IF(AQ64=Цены!$H$35,Цены!$K$35,IF(AQ64=Цены!$H$36,Цены!$K$36,IF(AQ64=Цены!$H$37,Цены!$K$37,IF(AQ64=Цены!$H$38,Цены!$K$38,IF(AQ64=Цены!$H$39,Цены!$K$39,IF(AQ64=Цены!$H$40,Цены!$K$40,IF(AQ64=Цены!$H$41,Цены!$K$41,IF(AQ64=Цены!$H$42,Цены!$K$42,IF(AQ64=Цены!$H$43,Цены!$K$43,IF(AQ64=Цены!$H$44,Цены!$K$44,IF(AQ64=Цены!$H$45,Цены!$K$45,IF(AQ64=Цены!$H$46,Цены!$K$46,IF(AQ64=Цены!$H$47,Цены!$K$47,IF(AQ64=Цены!$H$48,Цены!$K$48,IF(AQ64=Цены!$H$49,Цены!$K$49,IF(AQ64=Цены!$H$50,Цены!$K$50,IF(AQ64=Цены!$H$51,Цены!$K$51,IF(AQ64=Цены!$H$52,Цены!$K$52,IF(AQ64=Цены!$H$53,Цены!$K$53,IF(AQ64=Цены!$H$54,Цены!$K$54,IF(AQ64=Цены!$H$55,Цены!$K$55))))))))))))))))))))))))))))))))))))))))))))))))))))))</f>
        <v>730</v>
      </c>
      <c r="AV64" s="265"/>
      <c r="AW64" s="265"/>
      <c r="AX64" s="274"/>
      <c r="AY64" s="304"/>
      <c r="AZ64" s="304"/>
      <c r="BA64" s="265"/>
      <c r="BB64" s="274"/>
      <c r="BC64" s="305"/>
      <c r="BD64" s="259"/>
      <c r="BE64" s="116" t="s">
        <v>96</v>
      </c>
      <c r="BF64" s="106">
        <v>4</v>
      </c>
      <c r="BG64" s="103">
        <f>IF(BE64=Цены!$H$3,Цены!$L$3,IF(BE64=Цены!$H$4,Цены!$L$4,IF(BE64=Цены!$H$5,Цены!$L$5,IF(BE64=Цены!$H$6,Цены!$L$6,IF(BE64=Цены!$H$7,Цены!$L$7,IF(BE64=Цены!$H$8,Цены!$L$8,IF(BE64=Цены!$H$9,Цены!$L$9,IF(BE64=Цены!$H$10,Цены!$L$10,IF(BE64=Цены!$H$11,Цены!$L$11,IF(BE64=Цены!$H$12,Цены!$L$12,IF(BE64=Цены!$H$13,Цены!$L$13,IF(BE64=Цены!$H$14,Цены!$L$14,IF(BE64=Цены!$H$14,Цены!$L$14,IF(BE64=Цены!$H$15,Цены!$L$15,IF(BE64=Цены!$H$16,Цены!$L$16,IF(BE64=Цены!$H$17,Цены!$L$17,IF(BE64=Цены!$H$18,Цены!$L$18,IF(BE64=Цены!$H$19,Цены!$L$19,IF(BE64=Цены!$H$20,Цены!$L$20,IF(BE64=Цены!$H$21,Цены!$L$21,IF(BE64=Цены!$H$22,Цены!$L$22,IF(BE64=Цены!$H$23,Цены!$L$23,IF(BE64=Цены!$H$24,Цены!$L$24,IF(BE64=Цены!$H$25,Цены!$L$25,IF(BE64=Цены!$H$26,Цены!$L$26,IF(BE64=Цены!$H$27,Цены!$L$27,IF(BE64=Цены!$H$28,Цены!$L$28,IF(BE64=Цены!$H$29,Цены!$L$29,IF(BE64=Цены!$H$30,Цены!$L$30,IF(BE64=Цены!$H$31,Цены!$L$31,IF(BE64=Цены!$H$32,Цены!$L$32,IF(BE64=Цены!$H$33,Цены!$L$33,IF(BE64=Цены!$H$34,Цены!$L$34,IF(BE64=Цены!$H$35,Цены!$L$35,IF(BE64=Цены!$H$36,Цены!$L$36,IF(BE64=Цены!$H$37,Цены!$L$37,IF(BE64=Цены!$H$38,Цены!$L$38,IF(BE64=Цены!$H$39,Цены!$L$39,IF(BE64=Цены!$H$40,Цены!$L$40,IF(BE64=Цены!$H$41,Цены!$L$41,IF(BE64=Цены!$H$42,Цены!$L$42,IF(BE64=Цены!$H$43,Цены!$L$43,IF(BE64=Цены!$H$44,Цены!$L$44,IF(BE64=Цены!$H$45,Цены!$L$45,IF(BE64=Цены!$H$46,Цены!$L$46,IF(BE64=Цены!$H$47,Цены!$L$47,IF(BE64=Цены!$H$48,Цены!$L$48,IF(BE64=Цены!$H$49,Цены!$L$49,IF(BE64=Цены!$H$50,Цены!$L$50,IF(BE64=Цены!$H$51,Цены!$L$51,IF(BE64=Цены!$H$52,Цены!$L$52,IF(BE64=Цены!$H$53,Цены!$L$53,IF(BE64=Цены!$H$54,Цены!$L$54,IF(BE64=Цены!$H$55,Цены!$L$55))))))))))))))))))))))))))))))))))))))))))))))))))))))</f>
        <v>0.78</v>
      </c>
      <c r="BH64" s="280"/>
      <c r="BI64" s="104">
        <f>IF(BE64=Цены!$H$3,Цены!$K$3,IF(BE64=Цены!$H$4,Цены!$K$4,IF(BE64=Цены!$H$5,Цены!$K$5,IF(BE64=Цены!$H$6,Цены!$K$6,IF(BE64=Цены!$H$7,Цены!$K$7,IF(BE64=Цены!$H$8,Цены!$K$8,IF(BE64=Цены!$H$9,Цены!$K$9,IF(BE64=Цены!$H$10,Цены!$K$10,IF(BE64=Цены!$H$11,Цены!$K$11,IF(BE64=Цены!$H$12,Цены!$K$12,IF(BE64=Цены!$H$13,Цены!$K$13,IF(BE64=Цены!$H$14,Цены!$K$14,IF(BE64=Цены!$H$14,Цены!$K$14,IF(BE64=Цены!$H$15,Цены!$K$15,IF(BE64=Цены!$H$16,Цены!$K$16,IF(BE64=Цены!$H$17,Цены!$K$17,IF(BE64=Цены!$H$18,Цены!$K$18,IF(BE64=Цены!$H$19,Цены!$K$19,IF(BE64=Цены!$H$20,Цены!$K$20,IF(BE64=Цены!$H$21,Цены!$K$21,IF(BE64=Цены!$H$22,Цены!$K$22,IF(BE64=Цены!$H$23,Цены!$K$23,IF(BE64=Цены!$H$24,Цены!$K$24,IF(BE64=Цены!$H$25,Цены!$K$25,IF(BE64=Цены!$H$26,Цены!$K$26,IF(BE64=Цены!$H$27,Цены!$K$27,IF(BE64=Цены!$H$28,Цены!$K$28,IF(BE64=Цены!$H$29,Цены!$K$29,IF(BE64=Цены!$H$30,Цены!$K$30,IF(BE64=Цены!$H$31,Цены!$K$31,IF(BE64=Цены!$H$32,Цены!$K$32,IF(BE64=Цены!$H$33,Цены!$K$33,IF(BE64=Цены!$H$34,Цены!$K$34,IF(BE64=Цены!$H$35,Цены!$K$35,IF(BE64=Цены!$H$36,Цены!$K$36,IF(BE64=Цены!$H$37,Цены!$K$37,IF(BE64=Цены!$H$38,Цены!$K$38,IF(BE64=Цены!$H$39,Цены!$K$39,IF(BE64=Цены!$H$40,Цены!$K$40,IF(BE64=Цены!$H$41,Цены!$K$41,IF(BE64=Цены!$H$42,Цены!$K$42,IF(BE64=Цены!$H$43,Цены!$K$43,IF(BE64=Цены!$H$44,Цены!$K$44,IF(BE64=Цены!$H$45,Цены!$K$45,IF(BE64=Цены!$H$46,Цены!$K$46,IF(BE64=Цены!$H$47,Цены!$K$47,IF(BE64=Цены!$H$48,Цены!$K$48,IF(BE64=Цены!$H$49,Цены!$K$49,IF(BE64=Цены!$H$50,Цены!$K$50,IF(BE64=Цены!$H$51,Цены!$K$51,IF(BE64=Цены!$H$52,Цены!$K$52,IF(BE64=Цены!$H$53,Цены!$K$53,IF(BE64=Цены!$H$54,Цены!$K$54,IF(BE64=Цены!$H$55,Цены!$K$55))))))))))))))))))))))))))))))))))))))))))))))))))))))</f>
        <v>447</v>
      </c>
      <c r="BJ64" s="265"/>
      <c r="BK64" s="265"/>
      <c r="BL64" s="281"/>
      <c r="BM64" s="292"/>
      <c r="BN64" s="292"/>
      <c r="BO64" s="268"/>
      <c r="BP64" s="281"/>
      <c r="BQ64" s="293"/>
      <c r="BR64" s="118" t="s">
        <v>96</v>
      </c>
      <c r="BS64" s="108">
        <v>2</v>
      </c>
      <c r="BT64" s="109">
        <f>IF(BR64=Цены!$H$3,Цены!$L$3,IF(BR64=Цены!$H$4,Цены!$L$4,IF(BR64=Цены!$H$5,Цены!$L$5,IF(BR64=Цены!$H$6,Цены!$L$6,IF(BR64=Цены!$H$7,Цены!$L$7,IF(BR64=Цены!$H$8,Цены!$L$8,IF(BR64=Цены!$H$9,Цены!$L$9,IF(BR64=Цены!$H$10,Цены!$L$10,IF(BR64=Цены!$H$11,Цены!$L$11,IF(BR64=Цены!$H$12,Цены!$L$12,IF(BR64=Цены!$H$13,Цены!$L$13,IF(BR64=Цены!$H$14,Цены!$L$14,IF(BR64=Цены!$H$14,Цены!$L$14,IF(BR64=Цены!$H$15,Цены!$L$15,IF(BR64=Цены!$H$16,Цены!$L$16,IF(BR64=Цены!$H$17,Цены!$L$17,IF(BR64=Цены!$H$18,Цены!$L$18,IF(BR64=Цены!$H$19,Цены!$L$19,IF(BR64=Цены!$H$20,Цены!$L$20,IF(BR64=Цены!$H$21,Цены!$L$21,IF(BR64=Цены!$H$22,Цены!$L$22,IF(BR64=Цены!$H$23,Цены!$L$23,IF(BR64=Цены!$H$24,Цены!$L$24,IF(BR64=Цены!$H$25,Цены!$L$25,IF(BR64=Цены!$H$26,Цены!$L$26,IF(BR64=Цены!$H$27,Цены!$L$27,IF(BR64=Цены!$H$28,Цены!$L$28,IF(BR64=Цены!$H$29,Цены!$L$29,IF(BR64=Цены!$H$30,Цены!$L$30,IF(BR64=Цены!$H$31,Цены!$L$31,IF(BR64=Цены!$H$32,Цены!$L$32,IF(BR64=Цены!$H$33,Цены!$L$33,IF(BR64=Цены!$H$34,Цены!$L$34,IF(BR64=Цены!$H$35,Цены!$L$35,IF(BR64=Цены!$H$36,Цены!$L$36,IF(BR64=Цены!$H$37,Цены!$L$37,IF(BR64=Цены!$H$38,Цены!$L$38,IF(BR64=Цены!$H$39,Цены!$L$39,IF(BR64=Цены!$H$40,Цены!$L$40,IF(BR64=Цены!$H$41,Цены!$L$41,IF(BR64=Цены!$H$42,Цены!$L$42,IF(BR64=Цены!$H$43,Цены!$L$43,IF(BR64=Цены!$H$44,Цены!$L$44,IF(BR64=Цены!$H$45,Цены!$L$45,IF(BR64=Цены!$H$46,Цены!$L$46,IF(BR64=Цены!$H$47,Цены!$L$47,IF(BR64=Цены!$H$48,Цены!$L$48,IF(BR64=Цены!$H$49,Цены!$L$49,IF(BR64=Цены!$H$50,Цены!$L$50,IF(BR64=Цены!$H$51,Цены!$L$51,IF(BR64=Цены!$H$52,Цены!$L$52,IF(BR64=Цены!$H$53,Цены!$L$53,IF(BR64=Цены!$H$54,Цены!$L$54,IF(BR64=Цены!$H$55,Цены!$L$55))))))))))))))))))))))))))))))))))))))))))))))))))))))</f>
        <v>0.78</v>
      </c>
      <c r="BU64" s="284"/>
      <c r="BV64" s="110">
        <f>IF(BR64=Цены!$H$3,Цены!$K$3,IF(BR64=Цены!$H$4,Цены!$K$4,IF(BR64=Цены!$H$5,Цены!$K$5,IF(BR64=Цены!$H$6,Цены!$K$6,IF(BR64=Цены!$H$7,Цены!$K$7,IF(BR64=Цены!$H$8,Цены!$K$8,IF(BR64=Цены!$H$9,Цены!$K$9,IF(BR64=Цены!$H$10,Цены!$K$10,IF(BR64=Цены!$H$11,Цены!$K$11,IF(BR64=Цены!$H$12,Цены!$K$12,IF(BR64=Цены!$H$13,Цены!$K$13,IF(BR64=Цены!$H$14,Цены!$K$14,IF(BR64=Цены!$H$14,Цены!$K$14,IF(BR64=Цены!$H$15,Цены!$K$15,IF(BR64=Цены!$H$16,Цены!$K$16,IF(BR64=Цены!$H$17,Цены!$K$17,IF(BR64=Цены!$H$18,Цены!$K$18,IF(BR64=Цены!$H$19,Цены!$K$19,IF(BR64=Цены!$H$20,Цены!$K$20,IF(BR64=Цены!$H$21,Цены!$K$21,IF(BR64=Цены!$H$22,Цены!$K$22,IF(BR64=Цены!$H$23,Цены!$K$23,IF(BR64=Цены!$H$24,Цены!$K$24,IF(BR64=Цены!$H$25,Цены!$K$25,IF(BR64=Цены!$H$26,Цены!$K$26,IF(BR64=Цены!$H$27,Цены!$K$27,IF(BR64=Цены!$H$28,Цены!$K$28,IF(BR64=Цены!$H$29,Цены!$K$29,IF(BR64=Цены!$H$30,Цены!$K$30,IF(BR64=Цены!$H$31,Цены!$K$31,IF(BR64=Цены!$H$32,Цены!$K$32,IF(BR64=Цены!$H$33,Цены!$K$33,IF(BR64=Цены!$H$34,Цены!$K$34,IF(BR64=Цены!$H$35,Цены!$K$35,IF(BR64=Цены!$H$36,Цены!$K$36,IF(BR64=Цены!$H$37,Цены!$K$37,IF(BR64=Цены!$H$38,Цены!$K$38,IF(BR64=Цены!$H$39,Цены!$K$39,IF(BR64=Цены!$H$40,Цены!$K$40,IF(BR64=Цены!$H$41,Цены!$K$41,IF(BR64=Цены!$H$42,Цены!$K$42,IF(BR64=Цены!$H$43,Цены!$K$43,IF(BR64=Цены!$H$44,Цены!$K$44,IF(BR64=Цены!$H$45,Цены!$K$45,IF(BR64=Цены!$H$46,Цены!$K$46,IF(BR64=Цены!$H$47,Цены!$K$47,IF(BR64=Цены!$H$48,Цены!$K$48,IF(BR64=Цены!$H$49,Цены!$K$49,IF(BR64=Цены!$H$50,Цены!$K$50,IF(BR64=Цены!$H$51,Цены!$K$51,IF(BR64=Цены!$H$52,Цены!$K$52,IF(BR64=Цены!$H$53,Цены!$K$53,IF(BR64=Цены!$H$54,Цены!$K$54,IF(BR64=Цены!$H$55,Цены!$K$55))))))))))))))))))))))))))))))))))))))))))))))))))))))</f>
        <v>447</v>
      </c>
      <c r="BW64" s="265"/>
      <c r="BX64" s="265"/>
      <c r="BY64" s="285"/>
      <c r="BZ64" s="290"/>
      <c r="CA64" s="290"/>
      <c r="CB64" s="268"/>
      <c r="CC64" s="285"/>
      <c r="CD64" s="291"/>
      <c r="CE64" s="119" t="s">
        <v>96</v>
      </c>
      <c r="CF64" s="112">
        <v>3</v>
      </c>
      <c r="CG64" s="113">
        <f>IF(CE64=Цены!$H$3,Цены!$L$3,IF(CE64=Цены!$H$4,Цены!$L$4,IF(CE64=Цены!$H$5,Цены!$L$5,IF(CE64=Цены!$H$6,Цены!$L$6,IF(CE64=Цены!$H$7,Цены!$L$7,IF(CE64=Цены!$H$8,Цены!$L$8,IF(CE64=Цены!$H$9,Цены!$L$9,IF(CE64=Цены!$H$10,Цены!$L$10,IF(CE64=Цены!$H$11,Цены!$L$11,IF(CE64=Цены!$H$12,Цены!$L$12,IF(CE64=Цены!$H$13,Цены!$L$13,IF(CE64=Цены!$H$14,Цены!$L$14,IF(CE64=Цены!$H$14,Цены!$L$14,IF(CE64=Цены!$H$15,Цены!$L$15,IF(CE64=Цены!$H$16,Цены!$L$16,IF(CE64=Цены!$H$17,Цены!$L$17,IF(CE64=Цены!$H$18,Цены!$L$18,IF(CE64=Цены!$H$19,Цены!$L$19,IF(CE64=Цены!$H$20,Цены!$L$20,IF(CE64=Цены!$H$21,Цены!$L$21,IF(CE64=Цены!$H$22,Цены!$L$22,IF(CE64=Цены!$H$23,Цены!$L$23,IF(CE64=Цены!$H$24,Цены!$L$24,IF(CE64=Цены!$H$25,Цены!$L$25,IF(CE64=Цены!$H$26,Цены!$L$26,IF(CE64=Цены!$H$27,Цены!$L$27,IF(CE64=Цены!$H$28,Цены!$L$28,IF(CE64=Цены!$H$29,Цены!$L$29,IF(CE64=Цены!$H$30,Цены!$L$30,IF(CE64=Цены!$H$31,Цены!$L$31,IF(CE64=Цены!$H$32,Цены!$L$32,IF(CE64=Цены!$H$33,Цены!$L$33,IF(CE64=Цены!$H$34,Цены!$L$34,IF(CE64=Цены!$H$35,Цены!$L$35,IF(CE64=Цены!$H$36,Цены!$L$36,IF(CE64=Цены!$H$37,Цены!$L$37,IF(CE64=Цены!$H$38,Цены!$L$38,IF(CE64=Цены!$H$39,Цены!$L$39,IF(CE64=Цены!$H$40,Цены!$L$40,IF(CE64=Цены!$H$41,Цены!$L$41,IF(CE64=Цены!$H$42,Цены!$L$42,IF(CE64=Цены!$H$43,Цены!$L$43,IF(CE64=Цены!$H$44,Цены!$L$44,IF(CE64=Цены!$H$45,Цены!$L$45,IF(CE64=Цены!$H$46,Цены!$L$46,IF(CE64=Цены!$H$47,Цены!$L$47,IF(CE64=Цены!$H$48,Цены!$L$48,IF(CE64=Цены!$H$49,Цены!$L$49,IF(CE64=Цены!$H$50,Цены!$L$50,IF(CE64=Цены!$H$51,Цены!$L$51,IF(CE64=Цены!$H$52,Цены!$L$52,IF(CE64=Цены!$H$53,Цены!$L$53,IF(CE64=Цены!$H$54,Цены!$L$54,IF(CE64=Цены!$H$55,Цены!$L$55))))))))))))))))))))))))))))))))))))))))))))))))))))))</f>
        <v>0.78</v>
      </c>
      <c r="CH64" s="282"/>
      <c r="CI64" s="114">
        <f>IF(CE64=Цены!$H$3,Цены!$K$3,IF(CE64=Цены!$H$4,Цены!$K$4,IF(CE64=Цены!$H$5,Цены!$K$5,IF(CE64=Цены!$H$6,Цены!$K$6,IF(CE64=Цены!$H$7,Цены!$K$7,IF(CE64=Цены!$H$8,Цены!$K$8,IF(CE64=Цены!$H$9,Цены!$K$9,IF(CE64=Цены!$H$10,Цены!$K$10,IF(CE64=Цены!$H$11,Цены!$K$11,IF(CE64=Цены!$H$12,Цены!$K$12,IF(CE64=Цены!$H$13,Цены!$K$13,IF(CE64=Цены!$H$14,Цены!$K$14,IF(CE64=Цены!$H$14,Цены!$K$14,IF(CE64=Цены!$H$15,Цены!$K$15,IF(CE64=Цены!$H$16,Цены!$K$16,IF(CE64=Цены!$H$17,Цены!$K$17,IF(CE64=Цены!$H$18,Цены!$K$18,IF(CE64=Цены!$H$19,Цены!$K$19,IF(CE64=Цены!$H$20,Цены!$K$20,IF(CE64=Цены!$H$21,Цены!$K$21,IF(CE64=Цены!$H$22,Цены!$K$22,IF(CE64=Цены!$H$23,Цены!$K$23,IF(CE64=Цены!$H$24,Цены!$K$24,IF(CE64=Цены!$H$25,Цены!$K$25,IF(CE64=Цены!$H$26,Цены!$K$26,IF(CE64=Цены!$H$27,Цены!$K$27,IF(CE64=Цены!$H$28,Цены!$K$28,IF(CE64=Цены!$H$29,Цены!$K$29,IF(CE64=Цены!$H$30,Цены!$K$30,IF(CE64=Цены!$H$31,Цены!$K$31,IF(CE64=Цены!$H$32,Цены!$K$32,IF(CE64=Цены!$H$33,Цены!$K$33,IF(CE64=Цены!$H$34,Цены!$K$34,IF(CE64=Цены!$H$35,Цены!$K$35,IF(CE64=Цены!$H$36,Цены!$K$36,IF(CE64=Цены!$H$37,Цены!$K$37,IF(CE64=Цены!$H$38,Цены!$K$38,IF(CE64=Цены!$H$39,Цены!$K$39,IF(CE64=Цены!$H$40,Цены!$K$40,IF(CE64=Цены!$H$41,Цены!$K$41,IF(CE64=Цены!$H$42,Цены!$K$42,IF(CE64=Цены!$H$43,Цены!$K$43,IF(CE64=Цены!$H$44,Цены!$K$44,IF(CE64=Цены!$H$45,Цены!$K$45,IF(CE64=Цены!$H$46,Цены!$K$46,IF(CE64=Цены!$H$47,Цены!$K$47,IF(CE64=Цены!$H$48,Цены!$K$48,IF(CE64=Цены!$H$49,Цены!$K$49,IF(CE64=Цены!$H$50,Цены!$K$50,IF(CE64=Цены!$H$51,Цены!$K$51,IF(CE64=Цены!$H$52,Цены!$K$52,IF(CE64=Цены!$H$53,Цены!$K$53,IF(CE64=Цены!$H$54,Цены!$K$54,IF(CE64=Цены!$H$55,Цены!$K$55))))))))))))))))))))))))))))))))))))))))))))))))))))))</f>
        <v>447</v>
      </c>
      <c r="CJ64" s="265"/>
      <c r="CK64" s="265"/>
      <c r="CL64" s="283"/>
      <c r="CM64" s="288"/>
      <c r="CN64" s="288"/>
      <c r="CO64" s="268"/>
      <c r="CP64" s="283"/>
      <c r="CQ64" s="289"/>
    </row>
    <row r="65" spans="1:95" s="40" customFormat="1" ht="15.75" hidden="1" customHeight="1" x14ac:dyDescent="0.25">
      <c r="A65" s="341"/>
      <c r="B65" s="265"/>
      <c r="C65" s="336"/>
      <c r="D65" s="48" t="s">
        <v>125</v>
      </c>
      <c r="E65" s="45">
        <v>4</v>
      </c>
      <c r="F65" s="46">
        <f>IF(D65=Цены!$H$3,Цены!$L$3,IF(D65=Цены!$H$4,Цены!$L$4,IF(D65=Цены!$H$5,Цены!$L$5,IF(D65=Цены!$H$6,Цены!$L$6,IF(D65=Цены!$H$7,Цены!$L$7,IF(D65=Цены!$H$8,Цены!$L$8,IF(D65=Цены!$H$9,Цены!$L$9,IF(D65=Цены!$H$10,Цены!$L$10,IF(D65=Цены!$H$11,Цены!$L$11,IF(D65=Цены!$H$12,Цены!$L$12,IF(D65=Цены!$H$13,Цены!$L$13,IF(D65=Цены!$H$14,Цены!$L$14,IF(D65=Цены!$H$14,Цены!$L$14,IF(D65=Цены!$H$15,Цены!$L$15,IF(D65=Цены!$H$16,Цены!$L$16,IF(D65=Цены!$H$17,Цены!$L$17,IF(D65=Цены!$H$18,Цены!$L$18,IF(D65=Цены!$H$19,Цены!$L$19,IF(D65=Цены!$H$20,Цены!$L$20,IF(D65=Цены!$H$21,Цены!$L$21,IF(D65=Цены!$H$22,Цены!$L$22,IF(D65=Цены!$H$23,Цены!$L$23,IF(D65=Цены!$H$24,Цены!$L$24,IF(D65=Цены!$H$25,Цены!$L$25,IF(D65=Цены!$H$26,Цены!$L$26,IF(D65=Цены!$H$27,Цены!$L$27,IF(D65=Цены!$H$28,Цены!$L$28,IF(D65=Цены!$H$29,Цены!$L$29,IF(D65=Цены!$H$30,Цены!$L$30,IF(D65=Цены!$H$31,Цены!$L$31,IF(D65=Цены!$H$32,Цены!$L$32,IF(D65=Цены!$H$33,Цены!$L$33,IF(D65=Цены!$H$34,Цены!$L$34,IF(D65=Цены!$H$35,Цены!$L$35,IF(D65=Цены!$H$36,Цены!$L$36,IF(D65=Цены!$H$37,Цены!$L$37,IF(D65=Цены!$H$38,Цены!$L$38,IF(D65=Цены!$H$39,Цены!$L$39,IF(D65=Цены!$H$40,Цены!$L$40,IF(D65=Цены!$H$41,Цены!$L$41,IF(D65=Цены!$H$42,Цены!$L$42,IF(D65=Цены!$H$43,Цены!$L$43,IF(D65=Цены!$H$44,Цены!$L$44,IF(D65=Цены!$H$45,Цены!$L$45,IF(D65=Цены!$H$46,Цены!$L$46,IF(D65=Цены!$H$47,Цены!$L$47,IF(D65=Цены!$H$48,Цены!$L$48,IF(D65=Цены!$H$49,Цены!$L$49,IF(D65=Цены!$H$50,Цены!$L$50,IF(D65=Цены!$H$51,Цены!$L$51,IF(D65=Цены!$H$52,Цены!$L$52,IF(D65=Цены!$H$53,Цены!$L$53,IF(D65=Цены!$H$54,Цены!$L$54,IF(D65=Цены!$H$55,Цены!$L$55))))))))))))))))))))))))))))))))))))))))))))))))))))))</f>
        <v>0.39</v>
      </c>
      <c r="G65" s="339"/>
      <c r="H65" s="47">
        <f>IF(D65=Цены!$H$3,Цены!$K$3,IF(D65=Цены!$H$4,Цены!$K$4,IF(D65=Цены!$H$5,Цены!$K$5,IF(D65=Цены!$H$6,Цены!$K$6,IF(D65=Цены!$H$7,Цены!$K$7,IF(D65=Цены!$H$8,Цены!$K$8,IF(D65=Цены!$H$9,Цены!$K$9,IF(D65=Цены!$H$10,Цены!$K$10,IF(D65=Цены!$H$11,Цены!$K$11,IF(D65=Цены!$H$12,Цены!$K$12,IF(D65=Цены!$H$13,Цены!$K$13,IF(D65=Цены!$H$14,Цены!$K$14,IF(D65=Цены!$H$14,Цены!$K$14,IF(D65=Цены!$H$15,Цены!$K$15,IF(D65=Цены!$H$16,Цены!$K$16,IF(D65=Цены!$H$17,Цены!$K$17,IF(D65=Цены!$H$18,Цены!$K$18,IF(D65=Цены!$H$19,Цены!$K$19,IF(D65=Цены!$H$20,Цены!$K$20,IF(D65=Цены!$H$21,Цены!$K$21,IF(D65=Цены!$H$22,Цены!$K$22,IF(D65=Цены!$H$23,Цены!$K$23,IF(D65=Цены!$H$24,Цены!$K$24,IF(D65=Цены!$H$25,Цены!$K$25,IF(D65=Цены!$H$26,Цены!$K$26,IF(D65=Цены!$H$27,Цены!$K$27,IF(D65=Цены!$H$28,Цены!$K$28,IF(D65=Цены!$H$29,Цены!$K$29,IF(D65=Цены!$H$30,Цены!$K$30,IF(D65=Цены!$H$31,Цены!$K$31,IF(D65=Цены!$H$32,Цены!$K$32,IF(D65=Цены!$H$33,Цены!$K$33,IF(D65=Цены!$H$34,Цены!$K$34,IF(D65=Цены!$H$35,Цены!$K$35,IF(D65=Цены!$H$36,Цены!$K$36,IF(D65=Цены!$H$37,Цены!$K$37,IF(D65=Цены!$H$38,Цены!$K$38,IF(D65=Цены!$H$39,Цены!$K$39,IF(D65=Цены!$H$40,Цены!$K$40,IF(D65=Цены!$H$41,Цены!$K$41,IF(D65=Цены!$H$42,Цены!$K$42,IF(D65=Цены!$H$43,Цены!$K$43,IF(D65=Цены!$H$44,Цены!$K$44,IF(D65=Цены!$H$45,Цены!$K$45,IF(D65=Цены!$H$46,Цены!$K$46,IF(D65=Цены!$H$47,Цены!$K$47,IF(D65=Цены!$H$48,Цены!$K$48,IF(D65=Цены!$H$49,Цены!$K$49,IF(D65=Цены!$H$50,Цены!$K$50,IF(D65=Цены!$H$51,Цены!$K$51,IF(D65=Цены!$H$52,Цены!$K$52,IF(D65=Цены!$H$53,Цены!$K$53,IF(D65=Цены!$H$54,Цены!$K$54,IF(D65=Цены!$H$55,Цены!$K$55))))))))))))))))))))))))))))))))))))))))))))))))))))))</f>
        <v>822</v>
      </c>
      <c r="I65" s="265"/>
      <c r="J65" s="265"/>
      <c r="K65" s="332"/>
      <c r="L65" s="334"/>
      <c r="M65" s="334"/>
      <c r="N65" s="265"/>
      <c r="O65" s="332"/>
      <c r="P65" s="331"/>
      <c r="Q65" s="41"/>
      <c r="R65" s="37"/>
      <c r="S65" s="38" t="b">
        <f>IF(Q65=Цены!$H$3,Цены!$L$3,IF(Q65=Цены!$H$4,Цены!$L$4,IF(Q65=Цены!$H$5,Цены!$L$5,IF(Q65=Цены!$H$6,Цены!$L$6,IF(Q65=Цены!$H$7,Цены!$L$7,IF(Q65=Цены!$H$8,Цены!$L$8,IF(Q65=Цены!$H$9,Цены!$L$9,IF(Q65=Цены!$H$10,Цены!$L$10,IF(Q65=Цены!$H$11,Цены!$L$11,IF(Q65=Цены!$H$12,Цены!$L$12,IF(Q65=Цены!$H$13,Цены!$L$13,IF(Q65=Цены!$H$14,Цены!$L$14,IF(Q65=Цены!$H$14,Цены!$L$14,IF(Q65=Цены!$H$15,Цены!$L$15,IF(Q65=Цены!$H$16,Цены!$L$16,IF(Q65=Цены!$H$17,Цены!$L$17,IF(Q65=Цены!$H$18,Цены!$L$18,IF(Q65=Цены!$H$19,Цены!$L$19,IF(Q65=Цены!$H$20,Цены!$L$20,IF(Q65=Цены!$H$21,Цены!$L$21,IF(Q65=Цены!$H$22,Цены!$L$22,IF(Q65=Цены!$H$23,Цены!$L$23,IF(Q65=Цены!$H$24,Цены!$L$24,IF(Q65=Цены!$H$25,Цены!$L$25,IF(Q65=Цены!$H$26,Цены!$L$26,IF(Q65=Цены!$H$27,Цены!$L$27,IF(Q65=Цены!$H$28,Цены!$L$28,IF(Q65=Цены!$H$29,Цены!$L$29,IF(Q65=Цены!$H$30,Цены!$L$30,IF(Q65=Цены!$H$31,Цены!$L$31,IF(Q65=Цены!$H$32,Цены!$L$32,IF(Q65=Цены!$H$33,Цены!$L$33,IF(Q65=Цены!$H$34,Цены!$L$34,IF(Q65=Цены!$H$35,Цены!$L$35,IF(Q65=Цены!$H$36,Цены!$L$36,IF(Q65=Цены!$H$37,Цены!$L$37,IF(Q65=Цены!$H$38,Цены!$L$38,IF(Q65=Цены!$H$39,Цены!$L$39,IF(Q65=Цены!$H$40,Цены!$L$40,IF(Q65=Цены!$H$41,Цены!$L$41,IF(Q65=Цены!$H$42,Цены!$L$42,IF(Q65=Цены!$H$43,Цены!$L$43,IF(Q65=Цены!$H$44,Цены!$L$44,IF(Q65=Цены!$H$45,Цены!$L$45,IF(Q65=Цены!$H$46,Цены!$L$46,IF(Q65=Цены!$H$47,Цены!$L$47,IF(Q65=Цены!$H$48,Цены!$L$48,IF(Q65=Цены!$H$49,Цены!$L$49,IF(Q65=Цены!$H$50,Цены!$L$50,IF(Q65=Цены!$H$51,Цены!$L$51,IF(Q65=Цены!$H$52,Цены!$L$52,IF(Q65=Цены!$H$53,Цены!$L$53,IF(Q65=Цены!$H$54,Цены!$L$54,IF(Q65=Цены!$H$55,Цены!$L$55))))))))))))))))))))))))))))))))))))))))))))))))))))))</f>
        <v>0</v>
      </c>
      <c r="T65" s="322"/>
      <c r="U65" s="161" t="b">
        <f>IF(Q65=Цены!$H$3,Цены!$K$3,IF(Q65=Цены!$H$4,Цены!$K$4,IF(Q65=Цены!$H$5,Цены!$K$5,IF(Q65=Цены!$H$6,Цены!$K$6,IF(Q65=Цены!$H$7,Цены!$K$7,IF(Q65=Цены!$H$8,Цены!$K$8,IF(Q65=Цены!$H$9,Цены!$K$9,IF(Q65=Цены!$H$10,Цены!$K$10,IF(Q65=Цены!$H$11,Цены!$K$11,IF(Q65=Цены!$H$12,Цены!$K$12,IF(Q65=Цены!$H$13,Цены!$K$13,IF(Q65=Цены!$H$14,Цены!$K$14,IF(Q65=Цены!$H$14,Цены!$K$14,IF(Q65=Цены!$H$15,Цены!$K$15,IF(Q65=Цены!$H$16,Цены!$K$16,IF(Q65=Цены!$H$17,Цены!$K$17,IF(Q65=Цены!$H$18,Цены!$K$18,IF(Q65=Цены!$H$19,Цены!$K$19,IF(Q65=Цены!$H$20,Цены!$K$20,IF(Q65=Цены!$H$21,Цены!$K$21,IF(Q65=Цены!$H$22,Цены!$K$22,IF(Q65=Цены!$H$23,Цены!$K$23,IF(Q65=Цены!$H$24,Цены!$K$24,IF(Q65=Цены!$H$25,Цены!$K$25,IF(Q65=Цены!$H$26,Цены!$K$26,IF(Q65=Цены!$H$27,Цены!$K$27,IF(Q65=Цены!$H$28,Цены!$K$28,IF(Q65=Цены!$H$29,Цены!$K$29,IF(Q65=Цены!$H$30,Цены!$K$30,IF(Q65=Цены!$H$31,Цены!$K$31,IF(Q65=Цены!$H$32,Цены!$K$32,IF(Q65=Цены!$H$33,Цены!$K$33,IF(Q65=Цены!$H$34,Цены!$K$34,IF(Q65=Цены!$H$35,Цены!$K$35,IF(Q65=Цены!$H$36,Цены!$K$36,IF(Q65=Цены!$H$37,Цены!$K$37,IF(Q65=Цены!$H$38,Цены!$K$38,IF(Q65=Цены!$H$39,Цены!$K$39,IF(Q65=Цены!$H$40,Цены!$K$40,IF(Q65=Цены!$H$41,Цены!$K$41,IF(Q65=Цены!$H$42,Цены!$K$42,IF(Q65=Цены!$H$43,Цены!$K$43,IF(Q65=Цены!$H$44,Цены!$K$44,IF(Q65=Цены!$H$45,Цены!$K$45,IF(Q65=Цены!$H$46,Цены!$K$46,IF(Q65=Цены!$H$47,Цены!$K$47,IF(Q65=Цены!$H$48,Цены!$K$48,IF(Q65=Цены!$H$49,Цены!$K$49,IF(Q65=Цены!$H$50,Цены!$K$50,IF(Q65=Цены!$H$51,Цены!$K$51,IF(Q65=Цены!$H$52,Цены!$K$52,IF(Q65=Цены!$H$53,Цены!$K$53,IF(Q65=Цены!$H$54,Цены!$K$54,IF(Q65=Цены!$H$55,Цены!$K$55))))))))))))))))))))))))))))))))))))))))))))))))))))))</f>
        <v>0</v>
      </c>
      <c r="V65" s="265"/>
      <c r="W65" s="265"/>
      <c r="X65" s="323"/>
      <c r="Y65" s="324"/>
      <c r="Z65" s="324"/>
      <c r="AA65" s="265"/>
      <c r="AB65" s="323"/>
      <c r="AC65" s="325"/>
      <c r="AD65" s="70" t="s">
        <v>95</v>
      </c>
      <c r="AE65" s="67">
        <v>4</v>
      </c>
      <c r="AF65" s="68">
        <f>IF(AD65=Цены!$H$3,Цены!$L$3,IF(AD65=Цены!$H$4,Цены!$L$4,IF(AD65=Цены!$H$5,Цены!$L$5,IF(AD65=Цены!$H$6,Цены!$L$6,IF(AD65=Цены!$H$7,Цены!$L$7,IF(AD65=Цены!$H$8,Цены!$L$8,IF(AD65=Цены!$H$9,Цены!$L$9,IF(AD65=Цены!$H$10,Цены!$L$10,IF(AD65=Цены!$H$11,Цены!$L$11,IF(AD65=Цены!$H$12,Цены!$L$12,IF(AD65=Цены!$H$13,Цены!$L$13,IF(AD65=Цены!$H$14,Цены!$L$14,IF(AD65=Цены!$H$14,Цены!$L$14,IF(AD65=Цены!$H$15,Цены!$L$15,IF(AD65=Цены!$H$16,Цены!$L$16,IF(AD65=Цены!$H$17,Цены!$L$17,IF(AD65=Цены!$H$18,Цены!$L$18,IF(AD65=Цены!$H$19,Цены!$L$19,IF(AD65=Цены!$H$20,Цены!$L$20,IF(AD65=Цены!$H$21,Цены!$L$21,IF(AD65=Цены!$H$22,Цены!$L$22,IF(AD65=Цены!$H$23,Цены!$L$23,IF(AD65=Цены!$H$24,Цены!$L$24,IF(AD65=Цены!$H$25,Цены!$L$25,IF(AD65=Цены!$H$26,Цены!$L$26,IF(AD65=Цены!$H$27,Цены!$L$27,IF(AD65=Цены!$H$28,Цены!$L$28,IF(AD65=Цены!$H$29,Цены!$L$29,IF(AD65=Цены!$H$30,Цены!$L$30,IF(AD65=Цены!$H$31,Цены!$L$31,IF(AD65=Цены!$H$32,Цены!$L$32,IF(AD65=Цены!$H$33,Цены!$L$33,IF(AD65=Цены!$H$34,Цены!$L$34,IF(AD65=Цены!$H$35,Цены!$L$35,IF(AD65=Цены!$H$36,Цены!$L$36,IF(AD65=Цены!$H$37,Цены!$L$37,IF(AD65=Цены!$H$38,Цены!$L$38,IF(AD65=Цены!$H$39,Цены!$L$39,IF(AD65=Цены!$H$40,Цены!$L$40,IF(AD65=Цены!$H$41,Цены!$L$41,IF(AD65=Цены!$H$42,Цены!$L$42,IF(AD65=Цены!$H$43,Цены!$L$43,IF(AD65=Цены!$H$44,Цены!$L$44,IF(AD65=Цены!$H$45,Цены!$L$45,IF(AD65=Цены!$H$46,Цены!$L$46,IF(AD65=Цены!$H$47,Цены!$L$47,IF(AD65=Цены!$H$48,Цены!$L$48,IF(AD65=Цены!$H$49,Цены!$L$49,IF(AD65=Цены!$H$50,Цены!$L$50,IF(AD65=Цены!$H$51,Цены!$L$51,IF(AD65=Цены!$H$52,Цены!$L$52,IF(AD65=Цены!$H$53,Цены!$L$53,IF(AD65=Цены!$H$54,Цены!$L$54,IF(AD65=Цены!$H$55,Цены!$L$55))))))))))))))))))))))))))))))))))))))))))))))))))))))</f>
        <v>2.6</v>
      </c>
      <c r="AG65" s="311"/>
      <c r="AH65" s="69">
        <f>IF(AD65=Цены!$H$3,Цены!$K$3,IF(AD65=Цены!$H$4,Цены!$K$4,IF(AD65=Цены!$H$5,Цены!$K$5,IF(AD65=Цены!$H$6,Цены!$K$6,IF(AD65=Цены!$H$7,Цены!$K$7,IF(AD65=Цены!$H$8,Цены!$K$8,IF(AD65=Цены!$H$9,Цены!$K$9,IF(AD65=Цены!$H$10,Цены!$K$10,IF(AD65=Цены!$H$11,Цены!$K$11,IF(AD65=Цены!$H$12,Цены!$K$12,IF(AD65=Цены!$H$13,Цены!$K$13,IF(AD65=Цены!$H$14,Цены!$K$14,IF(AD65=Цены!$H$14,Цены!$K$14,IF(AD65=Цены!$H$15,Цены!$K$15,IF(AD65=Цены!$H$16,Цены!$K$16,IF(AD65=Цены!$H$17,Цены!$K$17,IF(AD65=Цены!$H$18,Цены!$K$18,IF(AD65=Цены!$H$19,Цены!$K$19,IF(AD65=Цены!$H$20,Цены!$K$20,IF(AD65=Цены!$H$21,Цены!$K$21,IF(AD65=Цены!$H$22,Цены!$K$22,IF(AD65=Цены!$H$23,Цены!$K$23,IF(AD65=Цены!$H$24,Цены!$K$24,IF(AD65=Цены!$H$25,Цены!$K$25,IF(AD65=Цены!$H$26,Цены!$K$26,IF(AD65=Цены!$H$27,Цены!$K$27,IF(AD65=Цены!$H$28,Цены!$K$28,IF(AD65=Цены!$H$29,Цены!$K$29,IF(AD65=Цены!$H$30,Цены!$K$30,IF(AD65=Цены!$H$31,Цены!$K$31,IF(AD65=Цены!$H$32,Цены!$K$32,IF(AD65=Цены!$H$33,Цены!$K$33,IF(AD65=Цены!$H$34,Цены!$K$34,IF(AD65=Цены!$H$35,Цены!$K$35,IF(AD65=Цены!$H$36,Цены!$K$36,IF(AD65=Цены!$H$37,Цены!$K$37,IF(AD65=Цены!$H$38,Цены!$K$38,IF(AD65=Цены!$H$39,Цены!$K$39,IF(AD65=Цены!$H$40,Цены!$K$40,IF(AD65=Цены!$H$41,Цены!$K$41,IF(AD65=Цены!$H$42,Цены!$K$42,IF(AD65=Цены!$H$43,Цены!$K$43,IF(AD65=Цены!$H$44,Цены!$K$44,IF(AD65=Цены!$H$45,Цены!$K$45,IF(AD65=Цены!$H$46,Цены!$K$46,IF(AD65=Цены!$H$47,Цены!$K$47,IF(AD65=Цены!$H$48,Цены!$K$48,IF(AD65=Цены!$H$49,Цены!$K$49,IF(AD65=Цены!$H$50,Цены!$K$50,IF(AD65=Цены!$H$51,Цены!$K$51,IF(AD65=Цены!$H$52,Цены!$K$52,IF(AD65=Цены!$H$53,Цены!$K$53,IF(AD65=Цены!$H$54,Цены!$K$54,IF(AD65=Цены!$H$55,Цены!$K$55))))))))))))))))))))))))))))))))))))))))))))))))))))))</f>
        <v>552</v>
      </c>
      <c r="AI65" s="265"/>
      <c r="AJ65" s="265"/>
      <c r="AK65" s="312"/>
      <c r="AL65" s="314"/>
      <c r="AM65" s="314"/>
      <c r="AN65" s="265"/>
      <c r="AO65" s="312"/>
      <c r="AP65" s="315"/>
      <c r="AQ65" s="82" t="s">
        <v>147</v>
      </c>
      <c r="AR65" s="131">
        <v>3</v>
      </c>
      <c r="AS65" s="80">
        <f>IF(AQ65=Цены!$H$3,Цены!$L$3,IF(AQ65=Цены!$H$4,Цены!$L$4,IF(AQ65=Цены!$H$5,Цены!$L$5,IF(AQ65=Цены!$H$6,Цены!$L$6,IF(AQ65=Цены!$H$7,Цены!$L$7,IF(AQ65=Цены!$H$8,Цены!$L$8,IF(AQ65=Цены!$H$9,Цены!$L$9,IF(AQ65=Цены!$H$10,Цены!$L$10,IF(AQ65=Цены!$H$11,Цены!$L$11,IF(AQ65=Цены!$H$12,Цены!$L$12,IF(AQ65=Цены!$H$13,Цены!$L$13,IF(AQ65=Цены!$H$14,Цены!$L$14,IF(AQ65=Цены!$H$14,Цены!$L$14,IF(AQ65=Цены!$H$15,Цены!$L$15,IF(AQ65=Цены!$H$16,Цены!$L$16,IF(AQ65=Цены!$H$17,Цены!$L$17,IF(AQ65=Цены!$H$18,Цены!$L$18,IF(AQ65=Цены!$H$19,Цены!$L$19,IF(AQ65=Цены!$H$20,Цены!$L$20,IF(AQ65=Цены!$H$21,Цены!$L$21,IF(AQ65=Цены!$H$22,Цены!$L$22,IF(AQ65=Цены!$H$23,Цены!$L$23,IF(AQ65=Цены!$H$24,Цены!$L$24,IF(AQ65=Цены!$H$25,Цены!$L$25,IF(AQ65=Цены!$H$26,Цены!$L$26,IF(AQ65=Цены!$H$27,Цены!$L$27,IF(AQ65=Цены!$H$28,Цены!$L$28,IF(AQ65=Цены!$H$29,Цены!$L$29,IF(AQ65=Цены!$H$30,Цены!$L$30,IF(AQ65=Цены!$H$31,Цены!$L$31,IF(AQ65=Цены!$H$32,Цены!$L$32,IF(AQ65=Цены!$H$33,Цены!$L$33,IF(AQ65=Цены!$H$34,Цены!$L$34,IF(AQ65=Цены!$H$35,Цены!$L$35,IF(AQ65=Цены!$H$36,Цены!$L$36,IF(AQ65=Цены!$H$37,Цены!$L$37,IF(AQ65=Цены!$H$38,Цены!$L$38,IF(AQ65=Цены!$H$39,Цены!$L$39,IF(AQ65=Цены!$H$40,Цены!$L$40,IF(AQ65=Цены!$H$41,Цены!$L$41,IF(AQ65=Цены!$H$42,Цены!$L$42,IF(AQ65=Цены!$H$43,Цены!$L$43,IF(AQ65=Цены!$H$44,Цены!$L$44,IF(AQ65=Цены!$H$45,Цены!$L$45,IF(AQ65=Цены!$H$46,Цены!$L$46,IF(AQ65=Цены!$H$47,Цены!$L$47,IF(AQ65=Цены!$H$48,Цены!$L$48,IF(AQ65=Цены!$H$49,Цены!$L$49,IF(AQ65=Цены!$H$50,Цены!$L$50,IF(AQ65=Цены!$H$51,Цены!$L$51,IF(AQ65=Цены!$H$52,Цены!$L$52,IF(AQ65=Цены!$H$53,Цены!$L$53,IF(AQ65=Цены!$H$54,Цены!$L$54,IF(AQ65=Цены!$H$55,Цены!$L$55))))))))))))))))))))))))))))))))))))))))))))))))))))))</f>
        <v>2.6</v>
      </c>
      <c r="AT65" s="271"/>
      <c r="AU65" s="81">
        <f>IF(AQ65=Цены!$H$3,Цены!$K$3,IF(AQ65=Цены!$H$4,Цены!$K$4,IF(AQ65=Цены!$H$5,Цены!$K$5,IF(AQ65=Цены!$H$6,Цены!$K$6,IF(AQ65=Цены!$H$7,Цены!$K$7,IF(AQ65=Цены!$H$8,Цены!$K$8,IF(AQ65=Цены!$H$9,Цены!$K$9,IF(AQ65=Цены!$H$10,Цены!$K$10,IF(AQ65=Цены!$H$11,Цены!$K$11,IF(AQ65=Цены!$H$12,Цены!$K$12,IF(AQ65=Цены!$H$13,Цены!$K$13,IF(AQ65=Цены!$H$14,Цены!$K$14,IF(AQ65=Цены!$H$14,Цены!$K$14,IF(AQ65=Цены!$H$15,Цены!$K$15,IF(AQ65=Цены!$H$16,Цены!$K$16,IF(AQ65=Цены!$H$17,Цены!$K$17,IF(AQ65=Цены!$H$18,Цены!$K$18,IF(AQ65=Цены!$H$19,Цены!$K$19,IF(AQ65=Цены!$H$20,Цены!$K$20,IF(AQ65=Цены!$H$21,Цены!$K$21,IF(AQ65=Цены!$H$22,Цены!$K$22,IF(AQ65=Цены!$H$23,Цены!$K$23,IF(AQ65=Цены!$H$24,Цены!$K$24,IF(AQ65=Цены!$H$25,Цены!$K$25,IF(AQ65=Цены!$H$26,Цены!$K$26,IF(AQ65=Цены!$H$27,Цены!$K$27,IF(AQ65=Цены!$H$28,Цены!$K$28,IF(AQ65=Цены!$H$29,Цены!$K$29,IF(AQ65=Цены!$H$30,Цены!$K$30,IF(AQ65=Цены!$H$31,Цены!$K$31,IF(AQ65=Цены!$H$32,Цены!$K$32,IF(AQ65=Цены!$H$33,Цены!$K$33,IF(AQ65=Цены!$H$34,Цены!$K$34,IF(AQ65=Цены!$H$35,Цены!$K$35,IF(AQ65=Цены!$H$36,Цены!$K$36,IF(AQ65=Цены!$H$37,Цены!$K$37,IF(AQ65=Цены!$H$38,Цены!$K$38,IF(AQ65=Цены!$H$39,Цены!$K$39,IF(AQ65=Цены!$H$40,Цены!$K$40,IF(AQ65=Цены!$H$41,Цены!$K$41,IF(AQ65=Цены!$H$42,Цены!$K$42,IF(AQ65=Цены!$H$43,Цены!$K$43,IF(AQ65=Цены!$H$44,Цены!$K$44,IF(AQ65=Цены!$H$45,Цены!$K$45,IF(AQ65=Цены!$H$46,Цены!$K$46,IF(AQ65=Цены!$H$47,Цены!$K$47,IF(AQ65=Цены!$H$48,Цены!$K$48,IF(AQ65=Цены!$H$49,Цены!$K$49,IF(AQ65=Цены!$H$50,Цены!$K$50,IF(AQ65=Цены!$H$51,Цены!$K$51,IF(AQ65=Цены!$H$52,Цены!$K$52,IF(AQ65=Цены!$H$53,Цены!$K$53,IF(AQ65=Цены!$H$54,Цены!$K$54,IF(AQ65=Цены!$H$55,Цены!$K$55))))))))))))))))))))))))))))))))))))))))))))))))))))))</f>
        <v>552</v>
      </c>
      <c r="AV65" s="265"/>
      <c r="AW65" s="265"/>
      <c r="AX65" s="274"/>
      <c r="AY65" s="304"/>
      <c r="AZ65" s="304"/>
      <c r="BA65" s="265"/>
      <c r="BB65" s="274"/>
      <c r="BC65" s="305"/>
      <c r="BD65" s="259"/>
      <c r="BE65" s="105"/>
      <c r="BF65" s="106"/>
      <c r="BG65" s="103" t="b">
        <f>IF(BE65=Цены!$H$3,Цены!$L$3,IF(BE65=Цены!$H$4,Цены!$L$4,IF(BE65=Цены!$H$5,Цены!$L$5,IF(BE65=Цены!$H$6,Цены!$L$6,IF(BE65=Цены!$H$7,Цены!$L$7,IF(BE65=Цены!$H$8,Цены!$L$8,IF(BE65=Цены!$H$9,Цены!$L$9,IF(BE65=Цены!$H$10,Цены!$L$10,IF(BE65=Цены!$H$11,Цены!$L$11,IF(BE65=Цены!$H$12,Цены!$L$12,IF(BE65=Цены!$H$13,Цены!$L$13,IF(BE65=Цены!$H$14,Цены!$L$14,IF(BE65=Цены!$H$14,Цены!$L$14,IF(BE65=Цены!$H$15,Цены!$L$15,IF(BE65=Цены!$H$16,Цены!$L$16,IF(BE65=Цены!$H$17,Цены!$L$17,IF(BE65=Цены!$H$18,Цены!$L$18,IF(BE65=Цены!$H$19,Цены!$L$19,IF(BE65=Цены!$H$20,Цены!$L$20,IF(BE65=Цены!$H$21,Цены!$L$21,IF(BE65=Цены!$H$22,Цены!$L$22,IF(BE65=Цены!$H$23,Цены!$L$23,IF(BE65=Цены!$H$24,Цены!$L$24,IF(BE65=Цены!$H$25,Цены!$L$25,IF(BE65=Цены!$H$26,Цены!$L$26,IF(BE65=Цены!$H$27,Цены!$L$27,IF(BE65=Цены!$H$28,Цены!$L$28,IF(BE65=Цены!$H$29,Цены!$L$29,IF(BE65=Цены!$H$30,Цены!$L$30,IF(BE65=Цены!$H$31,Цены!$L$31,IF(BE65=Цены!$H$32,Цены!$L$32,IF(BE65=Цены!$H$33,Цены!$L$33,IF(BE65=Цены!$H$34,Цены!$L$34,IF(BE65=Цены!$H$35,Цены!$L$35,IF(BE65=Цены!$H$36,Цены!$L$36,IF(BE65=Цены!$H$37,Цены!$L$37,IF(BE65=Цены!$H$38,Цены!$L$38,IF(BE65=Цены!$H$39,Цены!$L$39,IF(BE65=Цены!$H$40,Цены!$L$40,IF(BE65=Цены!$H$41,Цены!$L$41,IF(BE65=Цены!$H$42,Цены!$L$42,IF(BE65=Цены!$H$43,Цены!$L$43,IF(BE65=Цены!$H$44,Цены!$L$44,IF(BE65=Цены!$H$45,Цены!$L$45,IF(BE65=Цены!$H$46,Цены!$L$46,IF(BE65=Цены!$H$47,Цены!$L$47,IF(BE65=Цены!$H$48,Цены!$L$48,IF(BE65=Цены!$H$49,Цены!$L$49,IF(BE65=Цены!$H$50,Цены!$L$50,IF(BE65=Цены!$H$51,Цены!$L$51,IF(BE65=Цены!$H$52,Цены!$L$52,IF(BE65=Цены!$H$53,Цены!$L$53,IF(BE65=Цены!$H$54,Цены!$L$54,IF(BE65=Цены!$H$55,Цены!$L$55))))))))))))))))))))))))))))))))))))))))))))))))))))))</f>
        <v>0</v>
      </c>
      <c r="BH65" s="280"/>
      <c r="BI65" s="104" t="b">
        <f>IF(BE65=Цены!$H$3,Цены!$K$3,IF(BE65=Цены!$H$4,Цены!$K$4,IF(BE65=Цены!$H$5,Цены!$K$5,IF(BE65=Цены!$H$6,Цены!$K$6,IF(BE65=Цены!$H$7,Цены!$K$7,IF(BE65=Цены!$H$8,Цены!$K$8,IF(BE65=Цены!$H$9,Цены!$K$9,IF(BE65=Цены!$H$10,Цены!$K$10,IF(BE65=Цены!$H$11,Цены!$K$11,IF(BE65=Цены!$H$12,Цены!$K$12,IF(BE65=Цены!$H$13,Цены!$K$13,IF(BE65=Цены!$H$14,Цены!$K$14,IF(BE65=Цены!$H$14,Цены!$K$14,IF(BE65=Цены!$H$15,Цены!$K$15,IF(BE65=Цены!$H$16,Цены!$K$16,IF(BE65=Цены!$H$17,Цены!$K$17,IF(BE65=Цены!$H$18,Цены!$K$18,IF(BE65=Цены!$H$19,Цены!$K$19,IF(BE65=Цены!$H$20,Цены!$K$20,IF(BE65=Цены!$H$21,Цены!$K$21,IF(BE65=Цены!$H$22,Цены!$K$22,IF(BE65=Цены!$H$23,Цены!$K$23,IF(BE65=Цены!$H$24,Цены!$K$24,IF(BE65=Цены!$H$25,Цены!$K$25,IF(BE65=Цены!$H$26,Цены!$K$26,IF(BE65=Цены!$H$27,Цены!$K$27,IF(BE65=Цены!$H$28,Цены!$K$28,IF(BE65=Цены!$H$29,Цены!$K$29,IF(BE65=Цены!$H$30,Цены!$K$30,IF(BE65=Цены!$H$31,Цены!$K$31,IF(BE65=Цены!$H$32,Цены!$K$32,IF(BE65=Цены!$H$33,Цены!$K$33,IF(BE65=Цены!$H$34,Цены!$K$34,IF(BE65=Цены!$H$35,Цены!$K$35,IF(BE65=Цены!$H$36,Цены!$K$36,IF(BE65=Цены!$H$37,Цены!$K$37,IF(BE65=Цены!$H$38,Цены!$K$38,IF(BE65=Цены!$H$39,Цены!$K$39,IF(BE65=Цены!$H$40,Цены!$K$40,IF(BE65=Цены!$H$41,Цены!$K$41,IF(BE65=Цены!$H$42,Цены!$K$42,IF(BE65=Цены!$H$43,Цены!$K$43,IF(BE65=Цены!$H$44,Цены!$K$44,IF(BE65=Цены!$H$45,Цены!$K$45,IF(BE65=Цены!$H$46,Цены!$K$46,IF(BE65=Цены!$H$47,Цены!$K$47,IF(BE65=Цены!$H$48,Цены!$K$48,IF(BE65=Цены!$H$49,Цены!$K$49,IF(BE65=Цены!$H$50,Цены!$K$50,IF(BE65=Цены!$H$51,Цены!$K$51,IF(BE65=Цены!$H$52,Цены!$K$52,IF(BE65=Цены!$H$53,Цены!$K$53,IF(BE65=Цены!$H$54,Цены!$K$54,IF(BE65=Цены!$H$55,Цены!$K$55))))))))))))))))))))))))))))))))))))))))))))))))))))))</f>
        <v>0</v>
      </c>
      <c r="BJ65" s="265"/>
      <c r="BK65" s="265"/>
      <c r="BL65" s="281"/>
      <c r="BM65" s="292"/>
      <c r="BN65" s="292"/>
      <c r="BO65" s="268"/>
      <c r="BP65" s="281"/>
      <c r="BQ65" s="293"/>
      <c r="BR65" s="111"/>
      <c r="BS65" s="108"/>
      <c r="BT65" s="109" t="b">
        <f>IF(BR65=Цены!$H$3,Цены!$L$3,IF(BR65=Цены!$H$4,Цены!$L$4,IF(BR65=Цены!$H$5,Цены!$L$5,IF(BR65=Цены!$H$6,Цены!$L$6,IF(BR65=Цены!$H$7,Цены!$L$7,IF(BR65=Цены!$H$8,Цены!$L$8,IF(BR65=Цены!$H$9,Цены!$L$9,IF(BR65=Цены!$H$10,Цены!$L$10,IF(BR65=Цены!$H$11,Цены!$L$11,IF(BR65=Цены!$H$12,Цены!$L$12,IF(BR65=Цены!$H$13,Цены!$L$13,IF(BR65=Цены!$H$14,Цены!$L$14,IF(BR65=Цены!$H$14,Цены!$L$14,IF(BR65=Цены!$H$15,Цены!$L$15,IF(BR65=Цены!$H$16,Цены!$L$16,IF(BR65=Цены!$H$17,Цены!$L$17,IF(BR65=Цены!$H$18,Цены!$L$18,IF(BR65=Цены!$H$19,Цены!$L$19,IF(BR65=Цены!$H$20,Цены!$L$20,IF(BR65=Цены!$H$21,Цены!$L$21,IF(BR65=Цены!$H$22,Цены!$L$22,IF(BR65=Цены!$H$23,Цены!$L$23,IF(BR65=Цены!$H$24,Цены!$L$24,IF(BR65=Цены!$H$25,Цены!$L$25,IF(BR65=Цены!$H$26,Цены!$L$26,IF(BR65=Цены!$H$27,Цены!$L$27,IF(BR65=Цены!$H$28,Цены!$L$28,IF(BR65=Цены!$H$29,Цены!$L$29,IF(BR65=Цены!$H$30,Цены!$L$30,IF(BR65=Цены!$H$31,Цены!$L$31,IF(BR65=Цены!$H$32,Цены!$L$32,IF(BR65=Цены!$H$33,Цены!$L$33,IF(BR65=Цены!$H$34,Цены!$L$34,IF(BR65=Цены!$H$35,Цены!$L$35,IF(BR65=Цены!$H$36,Цены!$L$36,IF(BR65=Цены!$H$37,Цены!$L$37,IF(BR65=Цены!$H$38,Цены!$L$38,IF(BR65=Цены!$H$39,Цены!$L$39,IF(BR65=Цены!$H$40,Цены!$L$40,IF(BR65=Цены!$H$41,Цены!$L$41,IF(BR65=Цены!$H$42,Цены!$L$42,IF(BR65=Цены!$H$43,Цены!$L$43,IF(BR65=Цены!$H$44,Цены!$L$44,IF(BR65=Цены!$H$45,Цены!$L$45,IF(BR65=Цены!$H$46,Цены!$L$46,IF(BR65=Цены!$H$47,Цены!$L$47,IF(BR65=Цены!$H$48,Цены!$L$48,IF(BR65=Цены!$H$49,Цены!$L$49,IF(BR65=Цены!$H$50,Цены!$L$50,IF(BR65=Цены!$H$51,Цены!$L$51,IF(BR65=Цены!$H$52,Цены!$L$52,IF(BR65=Цены!$H$53,Цены!$L$53,IF(BR65=Цены!$H$54,Цены!$L$54,IF(BR65=Цены!$H$55,Цены!$L$55))))))))))))))))))))))))))))))))))))))))))))))))))))))</f>
        <v>0</v>
      </c>
      <c r="BU65" s="284"/>
      <c r="BV65" s="110" t="b">
        <f>IF(BR65=Цены!$H$3,Цены!$K$3,IF(BR65=Цены!$H$4,Цены!$K$4,IF(BR65=Цены!$H$5,Цены!$K$5,IF(BR65=Цены!$H$6,Цены!$K$6,IF(BR65=Цены!$H$7,Цены!$K$7,IF(BR65=Цены!$H$8,Цены!$K$8,IF(BR65=Цены!$H$9,Цены!$K$9,IF(BR65=Цены!$H$10,Цены!$K$10,IF(BR65=Цены!$H$11,Цены!$K$11,IF(BR65=Цены!$H$12,Цены!$K$12,IF(BR65=Цены!$H$13,Цены!$K$13,IF(BR65=Цены!$H$14,Цены!$K$14,IF(BR65=Цены!$H$14,Цены!$K$14,IF(BR65=Цены!$H$15,Цены!$K$15,IF(BR65=Цены!$H$16,Цены!$K$16,IF(BR65=Цены!$H$17,Цены!$K$17,IF(BR65=Цены!$H$18,Цены!$K$18,IF(BR65=Цены!$H$19,Цены!$K$19,IF(BR65=Цены!$H$20,Цены!$K$20,IF(BR65=Цены!$H$21,Цены!$K$21,IF(BR65=Цены!$H$22,Цены!$K$22,IF(BR65=Цены!$H$23,Цены!$K$23,IF(BR65=Цены!$H$24,Цены!$K$24,IF(BR65=Цены!$H$25,Цены!$K$25,IF(BR65=Цены!$H$26,Цены!$K$26,IF(BR65=Цены!$H$27,Цены!$K$27,IF(BR65=Цены!$H$28,Цены!$K$28,IF(BR65=Цены!$H$29,Цены!$K$29,IF(BR65=Цены!$H$30,Цены!$K$30,IF(BR65=Цены!$H$31,Цены!$K$31,IF(BR65=Цены!$H$32,Цены!$K$32,IF(BR65=Цены!$H$33,Цены!$K$33,IF(BR65=Цены!$H$34,Цены!$K$34,IF(BR65=Цены!$H$35,Цены!$K$35,IF(BR65=Цены!$H$36,Цены!$K$36,IF(BR65=Цены!$H$37,Цены!$K$37,IF(BR65=Цены!$H$38,Цены!$K$38,IF(BR65=Цены!$H$39,Цены!$K$39,IF(BR65=Цены!$H$40,Цены!$K$40,IF(BR65=Цены!$H$41,Цены!$K$41,IF(BR65=Цены!$H$42,Цены!$K$42,IF(BR65=Цены!$H$43,Цены!$K$43,IF(BR65=Цены!$H$44,Цены!$K$44,IF(BR65=Цены!$H$45,Цены!$K$45,IF(BR65=Цены!$H$46,Цены!$K$46,IF(BR65=Цены!$H$47,Цены!$K$47,IF(BR65=Цены!$H$48,Цены!$K$48,IF(BR65=Цены!$H$49,Цены!$K$49,IF(BR65=Цены!$H$50,Цены!$K$50,IF(BR65=Цены!$H$51,Цены!$K$51,IF(BR65=Цены!$H$52,Цены!$K$52,IF(BR65=Цены!$H$53,Цены!$K$53,IF(BR65=Цены!$H$54,Цены!$K$54,IF(BR65=Цены!$H$55,Цены!$K$55))))))))))))))))))))))))))))))))))))))))))))))))))))))</f>
        <v>0</v>
      </c>
      <c r="BW65" s="265"/>
      <c r="BX65" s="265"/>
      <c r="BY65" s="285"/>
      <c r="BZ65" s="290"/>
      <c r="CA65" s="290"/>
      <c r="CB65" s="268"/>
      <c r="CC65" s="285"/>
      <c r="CD65" s="291"/>
      <c r="CE65" s="115" t="s">
        <v>121</v>
      </c>
      <c r="CF65" s="112">
        <v>2</v>
      </c>
      <c r="CG65" s="113">
        <f>IF(CE65=Цены!$H$3,Цены!$L$3,IF(CE65=Цены!$H$4,Цены!$L$4,IF(CE65=Цены!$H$5,Цены!$L$5,IF(CE65=Цены!$H$6,Цены!$L$6,IF(CE65=Цены!$H$7,Цены!$L$7,IF(CE65=Цены!$H$8,Цены!$L$8,IF(CE65=Цены!$H$9,Цены!$L$9,IF(CE65=Цены!$H$10,Цены!$L$10,IF(CE65=Цены!$H$11,Цены!$L$11,IF(CE65=Цены!$H$12,Цены!$L$12,IF(CE65=Цены!$H$13,Цены!$L$13,IF(CE65=Цены!$H$14,Цены!$L$14,IF(CE65=Цены!$H$14,Цены!$L$14,IF(CE65=Цены!$H$15,Цены!$L$15,IF(CE65=Цены!$H$16,Цены!$L$16,IF(CE65=Цены!$H$17,Цены!$L$17,IF(CE65=Цены!$H$18,Цены!$L$18,IF(CE65=Цены!$H$19,Цены!$L$19,IF(CE65=Цены!$H$20,Цены!$L$20,IF(CE65=Цены!$H$21,Цены!$L$21,IF(CE65=Цены!$H$22,Цены!$L$22,IF(CE65=Цены!$H$23,Цены!$L$23,IF(CE65=Цены!$H$24,Цены!$L$24,IF(CE65=Цены!$H$25,Цены!$L$25,IF(CE65=Цены!$H$26,Цены!$L$26,IF(CE65=Цены!$H$27,Цены!$L$27,IF(CE65=Цены!$H$28,Цены!$L$28,IF(CE65=Цены!$H$29,Цены!$L$29,IF(CE65=Цены!$H$30,Цены!$L$30,IF(CE65=Цены!$H$31,Цены!$L$31,IF(CE65=Цены!$H$32,Цены!$L$32,IF(CE65=Цены!$H$33,Цены!$L$33,IF(CE65=Цены!$H$34,Цены!$L$34,IF(CE65=Цены!$H$35,Цены!$L$35,IF(CE65=Цены!$H$36,Цены!$L$36,IF(CE65=Цены!$H$37,Цены!$L$37,IF(CE65=Цены!$H$38,Цены!$L$38,IF(CE65=Цены!$H$39,Цены!$L$39,IF(CE65=Цены!$H$40,Цены!$L$40,IF(CE65=Цены!$H$41,Цены!$L$41,IF(CE65=Цены!$H$42,Цены!$L$42,IF(CE65=Цены!$H$43,Цены!$L$43,IF(CE65=Цены!$H$44,Цены!$L$44,IF(CE65=Цены!$H$45,Цены!$L$45,IF(CE65=Цены!$H$46,Цены!$L$46,IF(CE65=Цены!$H$47,Цены!$L$47,IF(CE65=Цены!$H$48,Цены!$L$48,IF(CE65=Цены!$H$49,Цены!$L$49,IF(CE65=Цены!$H$50,Цены!$L$50,IF(CE65=Цены!$H$51,Цены!$L$51,IF(CE65=Цены!$H$52,Цены!$L$52,IF(CE65=Цены!$H$53,Цены!$L$53,IF(CE65=Цены!$H$54,Цены!$L$54,IF(CE65=Цены!$H$55,Цены!$L$55))))))))))))))))))))))))))))))))))))))))))))))))))))))</f>
        <v>1.32E-2</v>
      </c>
      <c r="CH65" s="282"/>
      <c r="CI65" s="114">
        <f>IF(CE65=Цены!$H$3,Цены!$K$3,IF(CE65=Цены!$H$4,Цены!$K$4,IF(CE65=Цены!$H$5,Цены!$K$5,IF(CE65=Цены!$H$6,Цены!$K$6,IF(CE65=Цены!$H$7,Цены!$K$7,IF(CE65=Цены!$H$8,Цены!$K$8,IF(CE65=Цены!$H$9,Цены!$K$9,IF(CE65=Цены!$H$10,Цены!$K$10,IF(CE65=Цены!$H$11,Цены!$K$11,IF(CE65=Цены!$H$12,Цены!$K$12,IF(CE65=Цены!$H$13,Цены!$K$13,IF(CE65=Цены!$H$14,Цены!$K$14,IF(CE65=Цены!$H$14,Цены!$K$14,IF(CE65=Цены!$H$15,Цены!$K$15,IF(CE65=Цены!$H$16,Цены!$K$16,IF(CE65=Цены!$H$17,Цены!$K$17,IF(CE65=Цены!$H$18,Цены!$K$18,IF(CE65=Цены!$H$19,Цены!$K$19,IF(CE65=Цены!$H$20,Цены!$K$20,IF(CE65=Цены!$H$21,Цены!$K$21,IF(CE65=Цены!$H$22,Цены!$K$22,IF(CE65=Цены!$H$23,Цены!$K$23,IF(CE65=Цены!$H$24,Цены!$K$24,IF(CE65=Цены!$H$25,Цены!$K$25,IF(CE65=Цены!$H$26,Цены!$K$26,IF(CE65=Цены!$H$27,Цены!$K$27,IF(CE65=Цены!$H$28,Цены!$K$28,IF(CE65=Цены!$H$29,Цены!$K$29,IF(CE65=Цены!$H$30,Цены!$K$30,IF(CE65=Цены!$H$31,Цены!$K$31,IF(CE65=Цены!$H$32,Цены!$K$32,IF(CE65=Цены!$H$33,Цены!$K$33,IF(CE65=Цены!$H$34,Цены!$K$34,IF(CE65=Цены!$H$35,Цены!$K$35,IF(CE65=Цены!$H$36,Цены!$K$36,IF(CE65=Цены!$H$37,Цены!$K$37,IF(CE65=Цены!$H$38,Цены!$K$38,IF(CE65=Цены!$H$39,Цены!$K$39,IF(CE65=Цены!$H$40,Цены!$K$40,IF(CE65=Цены!$H$41,Цены!$K$41,IF(CE65=Цены!$H$42,Цены!$K$42,IF(CE65=Цены!$H$43,Цены!$K$43,IF(CE65=Цены!$H$44,Цены!$K$44,IF(CE65=Цены!$H$45,Цены!$K$45,IF(CE65=Цены!$H$46,Цены!$K$46,IF(CE65=Цены!$H$47,Цены!$K$47,IF(CE65=Цены!$H$48,Цены!$K$48,IF(CE65=Цены!$H$49,Цены!$K$49,IF(CE65=Цены!$H$50,Цены!$K$50,IF(CE65=Цены!$H$51,Цены!$K$51,IF(CE65=Цены!$H$52,Цены!$K$52,IF(CE65=Цены!$H$53,Цены!$K$53,IF(CE65=Цены!$H$54,Цены!$K$54,IF(CE65=Цены!$H$55,Цены!$K$55))))))))))))))))))))))))))))))))))))))))))))))))))))))</f>
        <v>54</v>
      </c>
      <c r="CJ65" s="265"/>
      <c r="CK65" s="265"/>
      <c r="CL65" s="283"/>
      <c r="CM65" s="288"/>
      <c r="CN65" s="288"/>
      <c r="CO65" s="268"/>
      <c r="CP65" s="283"/>
      <c r="CQ65" s="289"/>
    </row>
    <row r="66" spans="1:95" s="40" customFormat="1" ht="15.75" hidden="1" customHeight="1" x14ac:dyDescent="0.25">
      <c r="A66" s="341"/>
      <c r="B66" s="265"/>
      <c r="C66" s="336"/>
      <c r="D66" s="44" t="s">
        <v>121</v>
      </c>
      <c r="E66" s="45">
        <v>4</v>
      </c>
      <c r="F66" s="46">
        <f>IF(D66=Цены!$H$3,Цены!$L$3,IF(D66=Цены!$H$4,Цены!$L$4,IF(D66=Цены!$H$5,Цены!$L$5,IF(D66=Цены!$H$6,Цены!$L$6,IF(D66=Цены!$H$7,Цены!$L$7,IF(D66=Цены!$H$8,Цены!$L$8,IF(D66=Цены!$H$9,Цены!$L$9,IF(D66=Цены!$H$10,Цены!$L$10,IF(D66=Цены!$H$11,Цены!$L$11,IF(D66=Цены!$H$12,Цены!$L$12,IF(D66=Цены!$H$13,Цены!$L$13,IF(D66=Цены!$H$14,Цены!$L$14,IF(D66=Цены!$H$14,Цены!$L$14,IF(D66=Цены!$H$15,Цены!$L$15,IF(D66=Цены!$H$16,Цены!$L$16,IF(D66=Цены!$H$17,Цены!$L$17,IF(D66=Цены!$H$18,Цены!$L$18,IF(D66=Цены!$H$19,Цены!$L$19,IF(D66=Цены!$H$20,Цены!$L$20,IF(D66=Цены!$H$21,Цены!$L$21,IF(D66=Цены!$H$22,Цены!$L$22,IF(D66=Цены!$H$23,Цены!$L$23,IF(D66=Цены!$H$24,Цены!$L$24,IF(D66=Цены!$H$25,Цены!$L$25,IF(D66=Цены!$H$26,Цены!$L$26,IF(D66=Цены!$H$27,Цены!$L$27,IF(D66=Цены!$H$28,Цены!$L$28,IF(D66=Цены!$H$29,Цены!$L$29,IF(D66=Цены!$H$30,Цены!$L$30,IF(D66=Цены!$H$31,Цены!$L$31,IF(D66=Цены!$H$32,Цены!$L$32,IF(D66=Цены!$H$33,Цены!$L$33,IF(D66=Цены!$H$34,Цены!$L$34,IF(D66=Цены!$H$35,Цены!$L$35,IF(D66=Цены!$H$36,Цены!$L$36,IF(D66=Цены!$H$37,Цены!$L$37,IF(D66=Цены!$H$38,Цены!$L$38,IF(D66=Цены!$H$39,Цены!$L$39,IF(D66=Цены!$H$40,Цены!$L$40,IF(D66=Цены!$H$41,Цены!$L$41,IF(D66=Цены!$H$42,Цены!$L$42,IF(D66=Цены!$H$43,Цены!$L$43,IF(D66=Цены!$H$44,Цены!$L$44,IF(D66=Цены!$H$45,Цены!$L$45,IF(D66=Цены!$H$46,Цены!$L$46,IF(D66=Цены!$H$47,Цены!$L$47,IF(D66=Цены!$H$48,Цены!$L$48,IF(D66=Цены!$H$49,Цены!$L$49,IF(D66=Цены!$H$50,Цены!$L$50,IF(D66=Цены!$H$51,Цены!$L$51,IF(D66=Цены!$H$52,Цены!$L$52,IF(D66=Цены!$H$53,Цены!$L$53,IF(D66=Цены!$H$54,Цены!$L$54,IF(D66=Цены!$H$55,Цены!$L$55))))))))))))))))))))))))))))))))))))))))))))))))))))))</f>
        <v>1.32E-2</v>
      </c>
      <c r="G66" s="339"/>
      <c r="H66" s="47">
        <f>IF(D66=Цены!$H$3,Цены!$K$3,IF(D66=Цены!$H$4,Цены!$K$4,IF(D66=Цены!$H$5,Цены!$K$5,IF(D66=Цены!$H$6,Цены!$K$6,IF(D66=Цены!$H$7,Цены!$K$7,IF(D66=Цены!$H$8,Цены!$K$8,IF(D66=Цены!$H$9,Цены!$K$9,IF(D66=Цены!$H$10,Цены!$K$10,IF(D66=Цены!$H$11,Цены!$K$11,IF(D66=Цены!$H$12,Цены!$K$12,IF(D66=Цены!$H$13,Цены!$K$13,IF(D66=Цены!$H$14,Цены!$K$14,IF(D66=Цены!$H$14,Цены!$K$14,IF(D66=Цены!$H$15,Цены!$K$15,IF(D66=Цены!$H$16,Цены!$K$16,IF(D66=Цены!$H$17,Цены!$K$17,IF(D66=Цены!$H$18,Цены!$K$18,IF(D66=Цены!$H$19,Цены!$K$19,IF(D66=Цены!$H$20,Цены!$K$20,IF(D66=Цены!$H$21,Цены!$K$21,IF(D66=Цены!$H$22,Цены!$K$22,IF(D66=Цены!$H$23,Цены!$K$23,IF(D66=Цены!$H$24,Цены!$K$24,IF(D66=Цены!$H$25,Цены!$K$25,IF(D66=Цены!$H$26,Цены!$K$26,IF(D66=Цены!$H$27,Цены!$K$27,IF(D66=Цены!$H$28,Цены!$K$28,IF(D66=Цены!$H$29,Цены!$K$29,IF(D66=Цены!$H$30,Цены!$K$30,IF(D66=Цены!$H$31,Цены!$K$31,IF(D66=Цены!$H$32,Цены!$K$32,IF(D66=Цены!$H$33,Цены!$K$33,IF(D66=Цены!$H$34,Цены!$K$34,IF(D66=Цены!$H$35,Цены!$K$35,IF(D66=Цены!$H$36,Цены!$K$36,IF(D66=Цены!$H$37,Цены!$K$37,IF(D66=Цены!$H$38,Цены!$K$38,IF(D66=Цены!$H$39,Цены!$K$39,IF(D66=Цены!$H$40,Цены!$K$40,IF(D66=Цены!$H$41,Цены!$K$41,IF(D66=Цены!$H$42,Цены!$K$42,IF(D66=Цены!$H$43,Цены!$K$43,IF(D66=Цены!$H$44,Цены!$K$44,IF(D66=Цены!$H$45,Цены!$K$45,IF(D66=Цены!$H$46,Цены!$K$46,IF(D66=Цены!$H$47,Цены!$K$47,IF(D66=Цены!$H$48,Цены!$K$48,IF(D66=Цены!$H$49,Цены!$K$49,IF(D66=Цены!$H$50,Цены!$K$50,IF(D66=Цены!$H$51,Цены!$K$51,IF(D66=Цены!$H$52,Цены!$K$52,IF(D66=Цены!$H$53,Цены!$K$53,IF(D66=Цены!$H$54,Цены!$K$54,IF(D66=Цены!$H$55,Цены!$K$55))))))))))))))))))))))))))))))))))))))))))))))))))))))</f>
        <v>54</v>
      </c>
      <c r="I66" s="265"/>
      <c r="J66" s="265"/>
      <c r="K66" s="332"/>
      <c r="L66" s="334"/>
      <c r="M66" s="334"/>
      <c r="N66" s="265"/>
      <c r="O66" s="332"/>
      <c r="P66" s="331"/>
      <c r="Q66" s="39"/>
      <c r="R66" s="37"/>
      <c r="S66" s="38" t="b">
        <f>IF(Q66=Цены!$H$3,Цены!$L$3,IF(Q66=Цены!$H$4,Цены!$L$4,IF(Q66=Цены!$H$5,Цены!$L$5,IF(Q66=Цены!$H$6,Цены!$L$6,IF(Q66=Цены!$H$7,Цены!$L$7,IF(Q66=Цены!$H$8,Цены!$L$8,IF(Q66=Цены!$H$9,Цены!$L$9,IF(Q66=Цены!$H$10,Цены!$L$10,IF(Q66=Цены!$H$11,Цены!$L$11,IF(Q66=Цены!$H$12,Цены!$L$12,IF(Q66=Цены!$H$13,Цены!$L$13,IF(Q66=Цены!$H$14,Цены!$L$14,IF(Q66=Цены!$H$14,Цены!$L$14,IF(Q66=Цены!$H$15,Цены!$L$15,IF(Q66=Цены!$H$16,Цены!$L$16,IF(Q66=Цены!$H$17,Цены!$L$17,IF(Q66=Цены!$H$18,Цены!$L$18,IF(Q66=Цены!$H$19,Цены!$L$19,IF(Q66=Цены!$H$20,Цены!$L$20,IF(Q66=Цены!$H$21,Цены!$L$21,IF(Q66=Цены!$H$22,Цены!$L$22,IF(Q66=Цены!$H$23,Цены!$L$23,IF(Q66=Цены!$H$24,Цены!$L$24,IF(Q66=Цены!$H$25,Цены!$L$25,IF(Q66=Цены!$H$26,Цены!$L$26,IF(Q66=Цены!$H$27,Цены!$L$27,IF(Q66=Цены!$H$28,Цены!$L$28,IF(Q66=Цены!$H$29,Цены!$L$29,IF(Q66=Цены!$H$30,Цены!$L$30,IF(Q66=Цены!$H$31,Цены!$L$31,IF(Q66=Цены!$H$32,Цены!$L$32,IF(Q66=Цены!$H$33,Цены!$L$33,IF(Q66=Цены!$H$34,Цены!$L$34,IF(Q66=Цены!$H$35,Цены!$L$35,IF(Q66=Цены!$H$36,Цены!$L$36,IF(Q66=Цены!$H$37,Цены!$L$37,IF(Q66=Цены!$H$38,Цены!$L$38,IF(Q66=Цены!$H$39,Цены!$L$39,IF(Q66=Цены!$H$40,Цены!$L$40,IF(Q66=Цены!$H$41,Цены!$L$41,IF(Q66=Цены!$H$42,Цены!$L$42,IF(Q66=Цены!$H$43,Цены!$L$43,IF(Q66=Цены!$H$44,Цены!$L$44,IF(Q66=Цены!$H$45,Цены!$L$45,IF(Q66=Цены!$H$46,Цены!$L$46,IF(Q66=Цены!$H$47,Цены!$L$47,IF(Q66=Цены!$H$48,Цены!$L$48,IF(Q66=Цены!$H$49,Цены!$L$49,IF(Q66=Цены!$H$50,Цены!$L$50,IF(Q66=Цены!$H$51,Цены!$L$51,IF(Q66=Цены!$H$52,Цены!$L$52,IF(Q66=Цены!$H$53,Цены!$L$53,IF(Q66=Цены!$H$54,Цены!$L$54,IF(Q66=Цены!$H$55,Цены!$L$55))))))))))))))))))))))))))))))))))))))))))))))))))))))</f>
        <v>0</v>
      </c>
      <c r="T66" s="322"/>
      <c r="U66" s="161" t="b">
        <f>IF(Q66=Цены!$H$3,Цены!$K$3,IF(Q66=Цены!$H$4,Цены!$K$4,IF(Q66=Цены!$H$5,Цены!$K$5,IF(Q66=Цены!$H$6,Цены!$K$6,IF(Q66=Цены!$H$7,Цены!$K$7,IF(Q66=Цены!$H$8,Цены!$K$8,IF(Q66=Цены!$H$9,Цены!$K$9,IF(Q66=Цены!$H$10,Цены!$K$10,IF(Q66=Цены!$H$11,Цены!$K$11,IF(Q66=Цены!$H$12,Цены!$K$12,IF(Q66=Цены!$H$13,Цены!$K$13,IF(Q66=Цены!$H$14,Цены!$K$14,IF(Q66=Цены!$H$14,Цены!$K$14,IF(Q66=Цены!$H$15,Цены!$K$15,IF(Q66=Цены!$H$16,Цены!$K$16,IF(Q66=Цены!$H$17,Цены!$K$17,IF(Q66=Цены!$H$18,Цены!$K$18,IF(Q66=Цены!$H$19,Цены!$K$19,IF(Q66=Цены!$H$20,Цены!$K$20,IF(Q66=Цены!$H$21,Цены!$K$21,IF(Q66=Цены!$H$22,Цены!$K$22,IF(Q66=Цены!$H$23,Цены!$K$23,IF(Q66=Цены!$H$24,Цены!$K$24,IF(Q66=Цены!$H$25,Цены!$K$25,IF(Q66=Цены!$H$26,Цены!$K$26,IF(Q66=Цены!$H$27,Цены!$K$27,IF(Q66=Цены!$H$28,Цены!$K$28,IF(Q66=Цены!$H$29,Цены!$K$29,IF(Q66=Цены!$H$30,Цены!$K$30,IF(Q66=Цены!$H$31,Цены!$K$31,IF(Q66=Цены!$H$32,Цены!$K$32,IF(Q66=Цены!$H$33,Цены!$K$33,IF(Q66=Цены!$H$34,Цены!$K$34,IF(Q66=Цены!$H$35,Цены!$K$35,IF(Q66=Цены!$H$36,Цены!$K$36,IF(Q66=Цены!$H$37,Цены!$K$37,IF(Q66=Цены!$H$38,Цены!$K$38,IF(Q66=Цены!$H$39,Цены!$K$39,IF(Q66=Цены!$H$40,Цены!$K$40,IF(Q66=Цены!$H$41,Цены!$K$41,IF(Q66=Цены!$H$42,Цены!$K$42,IF(Q66=Цены!$H$43,Цены!$K$43,IF(Q66=Цены!$H$44,Цены!$K$44,IF(Q66=Цены!$H$45,Цены!$K$45,IF(Q66=Цены!$H$46,Цены!$K$46,IF(Q66=Цены!$H$47,Цены!$K$47,IF(Q66=Цены!$H$48,Цены!$K$48,IF(Q66=Цены!$H$49,Цены!$K$49,IF(Q66=Цены!$H$50,Цены!$K$50,IF(Q66=Цены!$H$51,Цены!$K$51,IF(Q66=Цены!$H$52,Цены!$K$52,IF(Q66=Цены!$H$53,Цены!$K$53,IF(Q66=Цены!$H$54,Цены!$K$54,IF(Q66=Цены!$H$55,Цены!$K$55))))))))))))))))))))))))))))))))))))))))))))))))))))))</f>
        <v>0</v>
      </c>
      <c r="V66" s="265"/>
      <c r="W66" s="265"/>
      <c r="X66" s="323"/>
      <c r="Y66" s="324"/>
      <c r="Z66" s="324"/>
      <c r="AA66" s="265"/>
      <c r="AB66" s="323"/>
      <c r="AC66" s="325"/>
      <c r="AD66" s="66" t="s">
        <v>88</v>
      </c>
      <c r="AE66" s="67">
        <v>8</v>
      </c>
      <c r="AF66" s="68">
        <f>IF(AD66=Цены!$H$3,Цены!$L$3,IF(AD66=Цены!$H$4,Цены!$L$4,IF(AD66=Цены!$H$5,Цены!$L$5,IF(AD66=Цены!$H$6,Цены!$L$6,IF(AD66=Цены!$H$7,Цены!$L$7,IF(AD66=Цены!$H$8,Цены!$L$8,IF(AD66=Цены!$H$9,Цены!$L$9,IF(AD66=Цены!$H$10,Цены!$L$10,IF(AD66=Цены!$H$11,Цены!$L$11,IF(AD66=Цены!$H$12,Цены!$L$12,IF(AD66=Цены!$H$13,Цены!$L$13,IF(AD66=Цены!$H$14,Цены!$L$14,IF(AD66=Цены!$H$14,Цены!$L$14,IF(AD66=Цены!$H$15,Цены!$L$15,IF(AD66=Цены!$H$16,Цены!$L$16,IF(AD66=Цены!$H$17,Цены!$L$17,IF(AD66=Цены!$H$18,Цены!$L$18,IF(AD66=Цены!$H$19,Цены!$L$19,IF(AD66=Цены!$H$20,Цены!$L$20,IF(AD66=Цены!$H$21,Цены!$L$21,IF(AD66=Цены!$H$22,Цены!$L$22,IF(AD66=Цены!$H$23,Цены!$L$23,IF(AD66=Цены!$H$24,Цены!$L$24,IF(AD66=Цены!$H$25,Цены!$L$25,IF(AD66=Цены!$H$26,Цены!$L$26,IF(AD66=Цены!$H$27,Цены!$L$27,IF(AD66=Цены!$H$28,Цены!$L$28,IF(AD66=Цены!$H$29,Цены!$L$29,IF(AD66=Цены!$H$30,Цены!$L$30,IF(AD66=Цены!$H$31,Цены!$L$31,IF(AD66=Цены!$H$32,Цены!$L$32,IF(AD66=Цены!$H$33,Цены!$L$33,IF(AD66=Цены!$H$34,Цены!$L$34,IF(AD66=Цены!$H$35,Цены!$L$35,IF(AD66=Цены!$H$36,Цены!$L$36,IF(AD66=Цены!$H$37,Цены!$L$37,IF(AD66=Цены!$H$38,Цены!$L$38,IF(AD66=Цены!$H$39,Цены!$L$39,IF(AD66=Цены!$H$40,Цены!$L$40,IF(AD66=Цены!$H$41,Цены!$L$41,IF(AD66=Цены!$H$42,Цены!$L$42,IF(AD66=Цены!$H$43,Цены!$L$43,IF(AD66=Цены!$H$44,Цены!$L$44,IF(AD66=Цены!$H$45,Цены!$L$45,IF(AD66=Цены!$H$46,Цены!$L$46,IF(AD66=Цены!$H$47,Цены!$L$47,IF(AD66=Цены!$H$48,Цены!$L$48,IF(AD66=Цены!$H$49,Цены!$L$49,IF(AD66=Цены!$H$50,Цены!$L$50,IF(AD66=Цены!$H$51,Цены!$L$51,IF(AD66=Цены!$H$52,Цены!$L$52,IF(AD66=Цены!$H$53,Цены!$L$53,IF(AD66=Цены!$H$54,Цены!$L$54,IF(AD66=Цены!$H$55,Цены!$L$55))))))))))))))))))))))))))))))))))))))))))))))))))))))</f>
        <v>1.8</v>
      </c>
      <c r="AG66" s="311"/>
      <c r="AH66" s="69">
        <f>IF(AD66=Цены!$H$3,Цены!$K$3,IF(AD66=Цены!$H$4,Цены!$K$4,IF(AD66=Цены!$H$5,Цены!$K$5,IF(AD66=Цены!$H$6,Цены!$K$6,IF(AD66=Цены!$H$7,Цены!$K$7,IF(AD66=Цены!$H$8,Цены!$K$8,IF(AD66=Цены!$H$9,Цены!$K$9,IF(AD66=Цены!$H$10,Цены!$K$10,IF(AD66=Цены!$H$11,Цены!$K$11,IF(AD66=Цены!$H$12,Цены!$K$12,IF(AD66=Цены!$H$13,Цены!$K$13,IF(AD66=Цены!$H$14,Цены!$K$14,IF(AD66=Цены!$H$14,Цены!$K$14,IF(AD66=Цены!$H$15,Цены!$K$15,IF(AD66=Цены!$H$16,Цены!$K$16,IF(AD66=Цены!$H$17,Цены!$K$17,IF(AD66=Цены!$H$18,Цены!$K$18,IF(AD66=Цены!$H$19,Цены!$K$19,IF(AD66=Цены!$H$20,Цены!$K$20,IF(AD66=Цены!$H$21,Цены!$K$21,IF(AD66=Цены!$H$22,Цены!$K$22,IF(AD66=Цены!$H$23,Цены!$K$23,IF(AD66=Цены!$H$24,Цены!$K$24,IF(AD66=Цены!$H$25,Цены!$K$25,IF(AD66=Цены!$H$26,Цены!$K$26,IF(AD66=Цены!$H$27,Цены!$K$27,IF(AD66=Цены!$H$28,Цены!$K$28,IF(AD66=Цены!$H$29,Цены!$K$29,IF(AD66=Цены!$H$30,Цены!$K$30,IF(AD66=Цены!$H$31,Цены!$K$31,IF(AD66=Цены!$H$32,Цены!$K$32,IF(AD66=Цены!$H$33,Цены!$K$33,IF(AD66=Цены!$H$34,Цены!$K$34,IF(AD66=Цены!$H$35,Цены!$K$35,IF(AD66=Цены!$H$36,Цены!$K$36,IF(AD66=Цены!$H$37,Цены!$K$37,IF(AD66=Цены!$H$38,Цены!$K$38,IF(AD66=Цены!$H$39,Цены!$K$39,IF(AD66=Цены!$H$40,Цены!$K$40,IF(AD66=Цены!$H$41,Цены!$K$41,IF(AD66=Цены!$H$42,Цены!$K$42,IF(AD66=Цены!$H$43,Цены!$K$43,IF(AD66=Цены!$H$44,Цены!$K$44,IF(AD66=Цены!$H$45,Цены!$K$45,IF(AD66=Цены!$H$46,Цены!$K$46,IF(AD66=Цены!$H$47,Цены!$K$47,IF(AD66=Цены!$H$48,Цены!$K$48,IF(AD66=Цены!$H$49,Цены!$K$49,IF(AD66=Цены!$H$50,Цены!$K$50,IF(AD66=Цены!$H$51,Цены!$K$51,IF(AD66=Цены!$H$52,Цены!$K$52,IF(AD66=Цены!$H$53,Цены!$K$53,IF(AD66=Цены!$H$54,Цены!$K$54,IF(AD66=Цены!$H$55,Цены!$K$55))))))))))))))))))))))))))))))))))))))))))))))))))))))</f>
        <v>388</v>
      </c>
      <c r="AI66" s="265"/>
      <c r="AJ66" s="265"/>
      <c r="AK66" s="312"/>
      <c r="AL66" s="314"/>
      <c r="AM66" s="314"/>
      <c r="AN66" s="265"/>
      <c r="AO66" s="312"/>
      <c r="AP66" s="315"/>
      <c r="AQ66" s="78"/>
      <c r="AR66" s="131"/>
      <c r="AS66" s="80" t="b">
        <f>IF(AQ66=Цены!$H$3,Цены!$L$3,IF(AQ66=Цены!$H$4,Цены!$L$4,IF(AQ66=Цены!$H$5,Цены!$L$5,IF(AQ66=Цены!$H$6,Цены!$L$6,IF(AQ66=Цены!$H$7,Цены!$L$7,IF(AQ66=Цены!$H$8,Цены!$L$8,IF(AQ66=Цены!$H$9,Цены!$L$9,IF(AQ66=Цены!$H$10,Цены!$L$10,IF(AQ66=Цены!$H$11,Цены!$L$11,IF(AQ66=Цены!$H$12,Цены!$L$12,IF(AQ66=Цены!$H$13,Цены!$L$13,IF(AQ66=Цены!$H$14,Цены!$L$14,IF(AQ66=Цены!$H$14,Цены!$L$14,IF(AQ66=Цены!$H$15,Цены!$L$15,IF(AQ66=Цены!$H$16,Цены!$L$16,IF(AQ66=Цены!$H$17,Цены!$L$17,IF(AQ66=Цены!$H$18,Цены!$L$18,IF(AQ66=Цены!$H$19,Цены!$L$19,IF(AQ66=Цены!$H$20,Цены!$L$20,IF(AQ66=Цены!$H$21,Цены!$L$21,IF(AQ66=Цены!$H$22,Цены!$L$22,IF(AQ66=Цены!$H$23,Цены!$L$23,IF(AQ66=Цены!$H$24,Цены!$L$24,IF(AQ66=Цены!$H$25,Цены!$L$25,IF(AQ66=Цены!$H$26,Цены!$L$26,IF(AQ66=Цены!$H$27,Цены!$L$27,IF(AQ66=Цены!$H$28,Цены!$L$28,IF(AQ66=Цены!$H$29,Цены!$L$29,IF(AQ66=Цены!$H$30,Цены!$L$30,IF(AQ66=Цены!$H$31,Цены!$L$31,IF(AQ66=Цены!$H$32,Цены!$L$32,IF(AQ66=Цены!$H$33,Цены!$L$33,IF(AQ66=Цены!$H$34,Цены!$L$34,IF(AQ66=Цены!$H$35,Цены!$L$35,IF(AQ66=Цены!$H$36,Цены!$L$36,IF(AQ66=Цены!$H$37,Цены!$L$37,IF(AQ66=Цены!$H$38,Цены!$L$38,IF(AQ66=Цены!$H$39,Цены!$L$39,IF(AQ66=Цены!$H$40,Цены!$L$40,IF(AQ66=Цены!$H$41,Цены!$L$41,IF(AQ66=Цены!$H$42,Цены!$L$42,IF(AQ66=Цены!$H$43,Цены!$L$43,IF(AQ66=Цены!$H$44,Цены!$L$44,IF(AQ66=Цены!$H$45,Цены!$L$45,IF(AQ66=Цены!$H$46,Цены!$L$46,IF(AQ66=Цены!$H$47,Цены!$L$47,IF(AQ66=Цены!$H$48,Цены!$L$48,IF(AQ66=Цены!$H$49,Цены!$L$49,IF(AQ66=Цены!$H$50,Цены!$L$50,IF(AQ66=Цены!$H$51,Цены!$L$51,IF(AQ66=Цены!$H$52,Цены!$L$52,IF(AQ66=Цены!$H$53,Цены!$L$53,IF(AQ66=Цены!$H$54,Цены!$L$54,IF(AQ66=Цены!$H$55,Цены!$L$55))))))))))))))))))))))))))))))))))))))))))))))))))))))</f>
        <v>0</v>
      </c>
      <c r="AT66" s="271"/>
      <c r="AU66" s="81" t="b">
        <f>IF(AQ66=Цены!$H$3,Цены!$K$3,IF(AQ66=Цены!$H$4,Цены!$K$4,IF(AQ66=Цены!$H$5,Цены!$K$5,IF(AQ66=Цены!$H$6,Цены!$K$6,IF(AQ66=Цены!$H$7,Цены!$K$7,IF(AQ66=Цены!$H$8,Цены!$K$8,IF(AQ66=Цены!$H$9,Цены!$K$9,IF(AQ66=Цены!$H$10,Цены!$K$10,IF(AQ66=Цены!$H$11,Цены!$K$11,IF(AQ66=Цены!$H$12,Цены!$K$12,IF(AQ66=Цены!$H$13,Цены!$K$13,IF(AQ66=Цены!$H$14,Цены!$K$14,IF(AQ66=Цены!$H$14,Цены!$K$14,IF(AQ66=Цены!$H$15,Цены!$K$15,IF(AQ66=Цены!$H$16,Цены!$K$16,IF(AQ66=Цены!$H$17,Цены!$K$17,IF(AQ66=Цены!$H$18,Цены!$K$18,IF(AQ66=Цены!$H$19,Цены!$K$19,IF(AQ66=Цены!$H$20,Цены!$K$20,IF(AQ66=Цены!$H$21,Цены!$K$21,IF(AQ66=Цены!$H$22,Цены!$K$22,IF(AQ66=Цены!$H$23,Цены!$K$23,IF(AQ66=Цены!$H$24,Цены!$K$24,IF(AQ66=Цены!$H$25,Цены!$K$25,IF(AQ66=Цены!$H$26,Цены!$K$26,IF(AQ66=Цены!$H$27,Цены!$K$27,IF(AQ66=Цены!$H$28,Цены!$K$28,IF(AQ66=Цены!$H$29,Цены!$K$29,IF(AQ66=Цены!$H$30,Цены!$K$30,IF(AQ66=Цены!$H$31,Цены!$K$31,IF(AQ66=Цены!$H$32,Цены!$K$32,IF(AQ66=Цены!$H$33,Цены!$K$33,IF(AQ66=Цены!$H$34,Цены!$K$34,IF(AQ66=Цены!$H$35,Цены!$K$35,IF(AQ66=Цены!$H$36,Цены!$K$36,IF(AQ66=Цены!$H$37,Цены!$K$37,IF(AQ66=Цены!$H$38,Цены!$K$38,IF(AQ66=Цены!$H$39,Цены!$K$39,IF(AQ66=Цены!$H$40,Цены!$K$40,IF(AQ66=Цены!$H$41,Цены!$K$41,IF(AQ66=Цены!$H$42,Цены!$K$42,IF(AQ66=Цены!$H$43,Цены!$K$43,IF(AQ66=Цены!$H$44,Цены!$K$44,IF(AQ66=Цены!$H$45,Цены!$K$45,IF(AQ66=Цены!$H$46,Цены!$K$46,IF(AQ66=Цены!$H$47,Цены!$K$47,IF(AQ66=Цены!$H$48,Цены!$K$48,IF(AQ66=Цены!$H$49,Цены!$K$49,IF(AQ66=Цены!$H$50,Цены!$K$50,IF(AQ66=Цены!$H$51,Цены!$K$51,IF(AQ66=Цены!$H$52,Цены!$K$52,IF(AQ66=Цены!$H$53,Цены!$K$53,IF(AQ66=Цены!$H$54,Цены!$K$54,IF(AQ66=Цены!$H$55,Цены!$K$55))))))))))))))))))))))))))))))))))))))))))))))))))))))</f>
        <v>0</v>
      </c>
      <c r="AV66" s="265"/>
      <c r="AW66" s="265"/>
      <c r="AX66" s="274"/>
      <c r="AY66" s="304"/>
      <c r="AZ66" s="304"/>
      <c r="BA66" s="265"/>
      <c r="BB66" s="274"/>
      <c r="BC66" s="305"/>
      <c r="BD66" s="260"/>
      <c r="BE66" s="101"/>
      <c r="BF66" s="106"/>
      <c r="BG66" s="103" t="b">
        <f>IF(BE66=Цены!$H$3,Цены!$L$3,IF(BE66=Цены!$H$4,Цены!$L$4,IF(BE66=Цены!$H$5,Цены!$L$5,IF(BE66=Цены!$H$6,Цены!$L$6,IF(BE66=Цены!$H$7,Цены!$L$7,IF(BE66=Цены!$H$8,Цены!$L$8,IF(BE66=Цены!$H$9,Цены!$L$9,IF(BE66=Цены!$H$10,Цены!$L$10,IF(BE66=Цены!$H$11,Цены!$L$11,IF(BE66=Цены!$H$12,Цены!$L$12,IF(BE66=Цены!$H$13,Цены!$L$13,IF(BE66=Цены!$H$14,Цены!$L$14,IF(BE66=Цены!$H$14,Цены!$L$14,IF(BE66=Цены!$H$15,Цены!$L$15,IF(BE66=Цены!$H$16,Цены!$L$16,IF(BE66=Цены!$H$17,Цены!$L$17,IF(BE66=Цены!$H$18,Цены!$L$18,IF(BE66=Цены!$H$19,Цены!$L$19,IF(BE66=Цены!$H$20,Цены!$L$20,IF(BE66=Цены!$H$21,Цены!$L$21,IF(BE66=Цены!$H$22,Цены!$L$22,IF(BE66=Цены!$H$23,Цены!$L$23,IF(BE66=Цены!$H$24,Цены!$L$24,IF(BE66=Цены!$H$25,Цены!$L$25,IF(BE66=Цены!$H$26,Цены!$L$26,IF(BE66=Цены!$H$27,Цены!$L$27,IF(BE66=Цены!$H$28,Цены!$L$28,IF(BE66=Цены!$H$29,Цены!$L$29,IF(BE66=Цены!$H$30,Цены!$L$30,IF(BE66=Цены!$H$31,Цены!$L$31,IF(BE66=Цены!$H$32,Цены!$L$32,IF(BE66=Цены!$H$33,Цены!$L$33,IF(BE66=Цены!$H$34,Цены!$L$34,IF(BE66=Цены!$H$35,Цены!$L$35,IF(BE66=Цены!$H$36,Цены!$L$36,IF(BE66=Цены!$H$37,Цены!$L$37,IF(BE66=Цены!$H$38,Цены!$L$38,IF(BE66=Цены!$H$39,Цены!$L$39,IF(BE66=Цены!$H$40,Цены!$L$40,IF(BE66=Цены!$H$41,Цены!$L$41,IF(BE66=Цены!$H$42,Цены!$L$42,IF(BE66=Цены!$H$43,Цены!$L$43,IF(BE66=Цены!$H$44,Цены!$L$44,IF(BE66=Цены!$H$45,Цены!$L$45,IF(BE66=Цены!$H$46,Цены!$L$46,IF(BE66=Цены!$H$47,Цены!$L$47,IF(BE66=Цены!$H$48,Цены!$L$48,IF(BE66=Цены!$H$49,Цены!$L$49,IF(BE66=Цены!$H$50,Цены!$L$50,IF(BE66=Цены!$H$51,Цены!$L$51,IF(BE66=Цены!$H$52,Цены!$L$52,IF(BE66=Цены!$H$53,Цены!$L$53,IF(BE66=Цены!$H$54,Цены!$L$54,IF(BE66=Цены!$H$55,Цены!$L$55))))))))))))))))))))))))))))))))))))))))))))))))))))))</f>
        <v>0</v>
      </c>
      <c r="BH66" s="280"/>
      <c r="BI66" s="104" t="b">
        <f>IF(BE66=Цены!$H$3,Цены!$K$3,IF(BE66=Цены!$H$4,Цены!$K$4,IF(BE66=Цены!$H$5,Цены!$K$5,IF(BE66=Цены!$H$6,Цены!$K$6,IF(BE66=Цены!$H$7,Цены!$K$7,IF(BE66=Цены!$H$8,Цены!$K$8,IF(BE66=Цены!$H$9,Цены!$K$9,IF(BE66=Цены!$H$10,Цены!$K$10,IF(BE66=Цены!$H$11,Цены!$K$11,IF(BE66=Цены!$H$12,Цены!$K$12,IF(BE66=Цены!$H$13,Цены!$K$13,IF(BE66=Цены!$H$14,Цены!$K$14,IF(BE66=Цены!$H$14,Цены!$K$14,IF(BE66=Цены!$H$15,Цены!$K$15,IF(BE66=Цены!$H$16,Цены!$K$16,IF(BE66=Цены!$H$17,Цены!$K$17,IF(BE66=Цены!$H$18,Цены!$K$18,IF(BE66=Цены!$H$19,Цены!$K$19,IF(BE66=Цены!$H$20,Цены!$K$20,IF(BE66=Цены!$H$21,Цены!$K$21,IF(BE66=Цены!$H$22,Цены!$K$22,IF(BE66=Цены!$H$23,Цены!$K$23,IF(BE66=Цены!$H$24,Цены!$K$24,IF(BE66=Цены!$H$25,Цены!$K$25,IF(BE66=Цены!$H$26,Цены!$K$26,IF(BE66=Цены!$H$27,Цены!$K$27,IF(BE66=Цены!$H$28,Цены!$K$28,IF(BE66=Цены!$H$29,Цены!$K$29,IF(BE66=Цены!$H$30,Цены!$K$30,IF(BE66=Цены!$H$31,Цены!$K$31,IF(BE66=Цены!$H$32,Цены!$K$32,IF(BE66=Цены!$H$33,Цены!$K$33,IF(BE66=Цены!$H$34,Цены!$K$34,IF(BE66=Цены!$H$35,Цены!$K$35,IF(BE66=Цены!$H$36,Цены!$K$36,IF(BE66=Цены!$H$37,Цены!$K$37,IF(BE66=Цены!$H$38,Цены!$K$38,IF(BE66=Цены!$H$39,Цены!$K$39,IF(BE66=Цены!$H$40,Цены!$K$40,IF(BE66=Цены!$H$41,Цены!$K$41,IF(BE66=Цены!$H$42,Цены!$K$42,IF(BE66=Цены!$H$43,Цены!$K$43,IF(BE66=Цены!$H$44,Цены!$K$44,IF(BE66=Цены!$H$45,Цены!$K$45,IF(BE66=Цены!$H$46,Цены!$K$46,IF(BE66=Цены!$H$47,Цены!$K$47,IF(BE66=Цены!$H$48,Цены!$K$48,IF(BE66=Цены!$H$49,Цены!$K$49,IF(BE66=Цены!$H$50,Цены!$K$50,IF(BE66=Цены!$H$51,Цены!$K$51,IF(BE66=Цены!$H$52,Цены!$K$52,IF(BE66=Цены!$H$53,Цены!$K$53,IF(BE66=Цены!$H$54,Цены!$K$54,IF(BE66=Цены!$H$55,Цены!$K$55))))))))))))))))))))))))))))))))))))))))))))))))))))))</f>
        <v>0</v>
      </c>
      <c r="BJ66" s="265"/>
      <c r="BK66" s="265"/>
      <c r="BL66" s="281"/>
      <c r="BM66" s="292"/>
      <c r="BN66" s="292"/>
      <c r="BO66" s="268"/>
      <c r="BP66" s="281"/>
      <c r="BQ66" s="293"/>
      <c r="BR66" s="107"/>
      <c r="BS66" s="108"/>
      <c r="BT66" s="109" t="b">
        <f>IF(BR66=Цены!$H$3,Цены!$L$3,IF(BR66=Цены!$H$4,Цены!$L$4,IF(BR66=Цены!$H$5,Цены!$L$5,IF(BR66=Цены!$H$6,Цены!$L$6,IF(BR66=Цены!$H$7,Цены!$L$7,IF(BR66=Цены!$H$8,Цены!$L$8,IF(BR66=Цены!$H$9,Цены!$L$9,IF(BR66=Цены!$H$10,Цены!$L$10,IF(BR66=Цены!$H$11,Цены!$L$11,IF(BR66=Цены!$H$12,Цены!$L$12,IF(BR66=Цены!$H$13,Цены!$L$13,IF(BR66=Цены!$H$14,Цены!$L$14,IF(BR66=Цены!$H$14,Цены!$L$14,IF(BR66=Цены!$H$15,Цены!$L$15,IF(BR66=Цены!$H$16,Цены!$L$16,IF(BR66=Цены!$H$17,Цены!$L$17,IF(BR66=Цены!$H$18,Цены!$L$18,IF(BR66=Цены!$H$19,Цены!$L$19,IF(BR66=Цены!$H$20,Цены!$L$20,IF(BR66=Цены!$H$21,Цены!$L$21,IF(BR66=Цены!$H$22,Цены!$L$22,IF(BR66=Цены!$H$23,Цены!$L$23,IF(BR66=Цены!$H$24,Цены!$L$24,IF(BR66=Цены!$H$25,Цены!$L$25,IF(BR66=Цены!$H$26,Цены!$L$26,IF(BR66=Цены!$H$27,Цены!$L$27,IF(BR66=Цены!$H$28,Цены!$L$28,IF(BR66=Цены!$H$29,Цены!$L$29,IF(BR66=Цены!$H$30,Цены!$L$30,IF(BR66=Цены!$H$31,Цены!$L$31,IF(BR66=Цены!$H$32,Цены!$L$32,IF(BR66=Цены!$H$33,Цены!$L$33,IF(BR66=Цены!$H$34,Цены!$L$34,IF(BR66=Цены!$H$35,Цены!$L$35,IF(BR66=Цены!$H$36,Цены!$L$36,IF(BR66=Цены!$H$37,Цены!$L$37,IF(BR66=Цены!$H$38,Цены!$L$38,IF(BR66=Цены!$H$39,Цены!$L$39,IF(BR66=Цены!$H$40,Цены!$L$40,IF(BR66=Цены!$H$41,Цены!$L$41,IF(BR66=Цены!$H$42,Цены!$L$42,IF(BR66=Цены!$H$43,Цены!$L$43,IF(BR66=Цены!$H$44,Цены!$L$44,IF(BR66=Цены!$H$45,Цены!$L$45,IF(BR66=Цены!$H$46,Цены!$L$46,IF(BR66=Цены!$H$47,Цены!$L$47,IF(BR66=Цены!$H$48,Цены!$L$48,IF(BR66=Цены!$H$49,Цены!$L$49,IF(BR66=Цены!$H$50,Цены!$L$50,IF(BR66=Цены!$H$51,Цены!$L$51,IF(BR66=Цены!$H$52,Цены!$L$52,IF(BR66=Цены!$H$53,Цены!$L$53,IF(BR66=Цены!$H$54,Цены!$L$54,IF(BR66=Цены!$H$55,Цены!$L$55))))))))))))))))))))))))))))))))))))))))))))))))))))))</f>
        <v>0</v>
      </c>
      <c r="BU66" s="284"/>
      <c r="BV66" s="110" t="b">
        <f>IF(BR66=Цены!$H$3,Цены!$K$3,IF(BR66=Цены!$H$4,Цены!$K$4,IF(BR66=Цены!$H$5,Цены!$K$5,IF(BR66=Цены!$H$6,Цены!$K$6,IF(BR66=Цены!$H$7,Цены!$K$7,IF(BR66=Цены!$H$8,Цены!$K$8,IF(BR66=Цены!$H$9,Цены!$K$9,IF(BR66=Цены!$H$10,Цены!$K$10,IF(BR66=Цены!$H$11,Цены!$K$11,IF(BR66=Цены!$H$12,Цены!$K$12,IF(BR66=Цены!$H$13,Цены!$K$13,IF(BR66=Цены!$H$14,Цены!$K$14,IF(BR66=Цены!$H$14,Цены!$K$14,IF(BR66=Цены!$H$15,Цены!$K$15,IF(BR66=Цены!$H$16,Цены!$K$16,IF(BR66=Цены!$H$17,Цены!$K$17,IF(BR66=Цены!$H$18,Цены!$K$18,IF(BR66=Цены!$H$19,Цены!$K$19,IF(BR66=Цены!$H$20,Цены!$K$20,IF(BR66=Цены!$H$21,Цены!$K$21,IF(BR66=Цены!$H$22,Цены!$K$22,IF(BR66=Цены!$H$23,Цены!$K$23,IF(BR66=Цены!$H$24,Цены!$K$24,IF(BR66=Цены!$H$25,Цены!$K$25,IF(BR66=Цены!$H$26,Цены!$K$26,IF(BR66=Цены!$H$27,Цены!$K$27,IF(BR66=Цены!$H$28,Цены!$K$28,IF(BR66=Цены!$H$29,Цены!$K$29,IF(BR66=Цены!$H$30,Цены!$K$30,IF(BR66=Цены!$H$31,Цены!$K$31,IF(BR66=Цены!$H$32,Цены!$K$32,IF(BR66=Цены!$H$33,Цены!$K$33,IF(BR66=Цены!$H$34,Цены!$K$34,IF(BR66=Цены!$H$35,Цены!$K$35,IF(BR66=Цены!$H$36,Цены!$K$36,IF(BR66=Цены!$H$37,Цены!$K$37,IF(BR66=Цены!$H$38,Цены!$K$38,IF(BR66=Цены!$H$39,Цены!$K$39,IF(BR66=Цены!$H$40,Цены!$K$40,IF(BR66=Цены!$H$41,Цены!$K$41,IF(BR66=Цены!$H$42,Цены!$K$42,IF(BR66=Цены!$H$43,Цены!$K$43,IF(BR66=Цены!$H$44,Цены!$K$44,IF(BR66=Цены!$H$45,Цены!$K$45,IF(BR66=Цены!$H$46,Цены!$K$46,IF(BR66=Цены!$H$47,Цены!$K$47,IF(BR66=Цены!$H$48,Цены!$K$48,IF(BR66=Цены!$H$49,Цены!$K$49,IF(BR66=Цены!$H$50,Цены!$K$50,IF(BR66=Цены!$H$51,Цены!$K$51,IF(BR66=Цены!$H$52,Цены!$K$52,IF(BR66=Цены!$H$53,Цены!$K$53,IF(BR66=Цены!$H$54,Цены!$K$54,IF(BR66=Цены!$H$55,Цены!$K$55))))))))))))))))))))))))))))))))))))))))))))))))))))))</f>
        <v>0</v>
      </c>
      <c r="BW66" s="265"/>
      <c r="BX66" s="265"/>
      <c r="BY66" s="285"/>
      <c r="BZ66" s="290"/>
      <c r="CA66" s="290"/>
      <c r="CB66" s="268"/>
      <c r="CC66" s="285"/>
      <c r="CD66" s="291"/>
      <c r="CE66" s="119"/>
      <c r="CF66" s="112"/>
      <c r="CG66" s="113" t="b">
        <f>IF(CE66=Цены!$H$3,Цены!$L$3,IF(CE66=Цены!$H$4,Цены!$L$4,IF(CE66=Цены!$H$5,Цены!$L$5,IF(CE66=Цены!$H$6,Цены!$L$6,IF(CE66=Цены!$H$7,Цены!$L$7,IF(CE66=Цены!$H$8,Цены!$L$8,IF(CE66=Цены!$H$9,Цены!$L$9,IF(CE66=Цены!$H$10,Цены!$L$10,IF(CE66=Цены!$H$11,Цены!$L$11,IF(CE66=Цены!$H$12,Цены!$L$12,IF(CE66=Цены!$H$13,Цены!$L$13,IF(CE66=Цены!$H$14,Цены!$L$14,IF(CE66=Цены!$H$14,Цены!$L$14,IF(CE66=Цены!$H$15,Цены!$L$15,IF(CE66=Цены!$H$16,Цены!$L$16,IF(CE66=Цены!$H$17,Цены!$L$17,IF(CE66=Цены!$H$18,Цены!$L$18,IF(CE66=Цены!$H$19,Цены!$L$19,IF(CE66=Цены!$H$20,Цены!$L$20,IF(CE66=Цены!$H$21,Цены!$L$21,IF(CE66=Цены!$H$22,Цены!$L$22,IF(CE66=Цены!$H$23,Цены!$L$23,IF(CE66=Цены!$H$24,Цены!$L$24,IF(CE66=Цены!$H$25,Цены!$L$25,IF(CE66=Цены!$H$26,Цены!$L$26,IF(CE66=Цены!$H$27,Цены!$L$27,IF(CE66=Цены!$H$28,Цены!$L$28,IF(CE66=Цены!$H$29,Цены!$L$29,IF(CE66=Цены!$H$30,Цены!$L$30,IF(CE66=Цены!$H$31,Цены!$L$31,IF(CE66=Цены!$H$32,Цены!$L$32,IF(CE66=Цены!$H$33,Цены!$L$33,IF(CE66=Цены!$H$34,Цены!$L$34,IF(CE66=Цены!$H$35,Цены!$L$35,IF(CE66=Цены!$H$36,Цены!$L$36,IF(CE66=Цены!$H$37,Цены!$L$37,IF(CE66=Цены!$H$38,Цены!$L$38,IF(CE66=Цены!$H$39,Цены!$L$39,IF(CE66=Цены!$H$40,Цены!$L$40,IF(CE66=Цены!$H$41,Цены!$L$41,IF(CE66=Цены!$H$42,Цены!$L$42,IF(CE66=Цены!$H$43,Цены!$L$43,IF(CE66=Цены!$H$44,Цены!$L$44,IF(CE66=Цены!$H$45,Цены!$L$45,IF(CE66=Цены!$H$46,Цены!$L$46,IF(CE66=Цены!$H$47,Цены!$L$47,IF(CE66=Цены!$H$48,Цены!$L$48,IF(CE66=Цены!$H$49,Цены!$L$49,IF(CE66=Цены!$H$50,Цены!$L$50,IF(CE66=Цены!$H$51,Цены!$L$51,IF(CE66=Цены!$H$52,Цены!$L$52,IF(CE66=Цены!$H$53,Цены!$L$53,IF(CE66=Цены!$H$54,Цены!$L$54,IF(CE66=Цены!$H$55,Цены!$L$55))))))))))))))))))))))))))))))))))))))))))))))))))))))</f>
        <v>0</v>
      </c>
      <c r="CH66" s="282"/>
      <c r="CI66" s="114" t="b">
        <f>IF(CE66=Цены!$H$3,Цены!$K$3,IF(CE66=Цены!$H$4,Цены!$K$4,IF(CE66=Цены!$H$5,Цены!$K$5,IF(CE66=Цены!$H$6,Цены!$K$6,IF(CE66=Цены!$H$7,Цены!$K$7,IF(CE66=Цены!$H$8,Цены!$K$8,IF(CE66=Цены!$H$9,Цены!$K$9,IF(CE66=Цены!$H$10,Цены!$K$10,IF(CE66=Цены!$H$11,Цены!$K$11,IF(CE66=Цены!$H$12,Цены!$K$12,IF(CE66=Цены!$H$13,Цены!$K$13,IF(CE66=Цены!$H$14,Цены!$K$14,IF(CE66=Цены!$H$14,Цены!$K$14,IF(CE66=Цены!$H$15,Цены!$K$15,IF(CE66=Цены!$H$16,Цены!$K$16,IF(CE66=Цены!$H$17,Цены!$K$17,IF(CE66=Цены!$H$18,Цены!$K$18,IF(CE66=Цены!$H$19,Цены!$K$19,IF(CE66=Цены!$H$20,Цены!$K$20,IF(CE66=Цены!$H$21,Цены!$K$21,IF(CE66=Цены!$H$22,Цены!$K$22,IF(CE66=Цены!$H$23,Цены!$K$23,IF(CE66=Цены!$H$24,Цены!$K$24,IF(CE66=Цены!$H$25,Цены!$K$25,IF(CE66=Цены!$H$26,Цены!$K$26,IF(CE66=Цены!$H$27,Цены!$K$27,IF(CE66=Цены!$H$28,Цены!$K$28,IF(CE66=Цены!$H$29,Цены!$K$29,IF(CE66=Цены!$H$30,Цены!$K$30,IF(CE66=Цены!$H$31,Цены!$K$31,IF(CE66=Цены!$H$32,Цены!$K$32,IF(CE66=Цены!$H$33,Цены!$K$33,IF(CE66=Цены!$H$34,Цены!$K$34,IF(CE66=Цены!$H$35,Цены!$K$35,IF(CE66=Цены!$H$36,Цены!$K$36,IF(CE66=Цены!$H$37,Цены!$K$37,IF(CE66=Цены!$H$38,Цены!$K$38,IF(CE66=Цены!$H$39,Цены!$K$39,IF(CE66=Цены!$H$40,Цены!$K$40,IF(CE66=Цены!$H$41,Цены!$K$41,IF(CE66=Цены!$H$42,Цены!$K$42,IF(CE66=Цены!$H$43,Цены!$K$43,IF(CE66=Цены!$H$44,Цены!$K$44,IF(CE66=Цены!$H$45,Цены!$K$45,IF(CE66=Цены!$H$46,Цены!$K$46,IF(CE66=Цены!$H$47,Цены!$K$47,IF(CE66=Цены!$H$48,Цены!$K$48,IF(CE66=Цены!$H$49,Цены!$K$49,IF(CE66=Цены!$H$50,Цены!$K$50,IF(CE66=Цены!$H$51,Цены!$K$51,IF(CE66=Цены!$H$52,Цены!$K$52,IF(CE66=Цены!$H$53,Цены!$K$53,IF(CE66=Цены!$H$54,Цены!$K$54,IF(CE66=Цены!$H$55,Цены!$K$55))))))))))))))))))))))))))))))))))))))))))))))))))))))</f>
        <v>0</v>
      </c>
      <c r="CJ66" s="265"/>
      <c r="CK66" s="265"/>
      <c r="CL66" s="283"/>
      <c r="CM66" s="288"/>
      <c r="CN66" s="288"/>
      <c r="CO66" s="268"/>
      <c r="CP66" s="283"/>
      <c r="CQ66" s="289"/>
    </row>
    <row r="67" spans="1:95" x14ac:dyDescent="0.25">
      <c r="A67" s="337" t="s">
        <v>172</v>
      </c>
      <c r="B67" s="265" t="s">
        <v>112</v>
      </c>
      <c r="C67" s="265" t="s">
        <v>113</v>
      </c>
      <c r="D67" s="175" t="s">
        <v>166</v>
      </c>
      <c r="E67" s="167">
        <v>9</v>
      </c>
      <c r="F67" s="27">
        <f>IF(D67=Цены!$H$3,Цены!$L$3,IF(D67=Цены!$H$4,Цены!$L$4,IF(D67=Цены!$H$5,Цены!$L$5,IF(D67=Цены!$H$6,Цены!$L$6,IF(D67=Цены!$H$7,Цены!$L$7,IF(D67=Цены!$H$8,Цены!$L$8,IF(D67=Цены!$H$9,Цены!$L$9,IF(D67=Цены!$H$10,Цены!$L$10,IF(D67=Цены!$H$11,Цены!$L$11,IF(D67=Цены!$H$12,Цены!$L$12,IF(D67=Цены!$H$13,Цены!$L$13,IF(D67=Цены!$H$14,Цены!$L$14,IF(D67=Цены!$H$14,Цены!$L$14,IF(D67=Цены!$H$15,Цены!$L$15,IF(D67=Цены!$H$16,Цены!$L$16,IF(D67=Цены!$H$17,Цены!$L$17,IF(D67=Цены!$H$18,Цены!$L$18,IF(D67=Цены!$H$19,Цены!$L$19,IF(D67=Цены!$H$20,Цены!$L$20,IF(D67=Цены!$H$21,Цены!$L$21,IF(D67=Цены!$H$22,Цены!$L$22,IF(D67=Цены!$H$23,Цены!$L$23,IF(D67=Цены!$H$24,Цены!$L$24,IF(D67=Цены!$H$25,Цены!$L$25,IF(D67=Цены!$H$26,Цены!$L$26,IF(D67=Цены!$H$27,Цены!$L$27,IF(D67=Цены!$H$28,Цены!$L$28,IF(D67=Цены!$H$29,Цены!$L$29,IF(D67=Цены!$H$30,Цены!$L$30,IF(D67=Цены!$H$31,Цены!$L$31,IF(D67=Цены!$H$32,Цены!$L$32,IF(D67=Цены!$H$33,Цены!$L$33,IF(D67=Цены!$H$34,Цены!$L$34,IF(D67=Цены!$H$35,Цены!$L$35,IF(D67=Цены!$H$36,Цены!$L$36,IF(D67=Цены!$H$37,Цены!$L$37,IF(D67=Цены!$H$38,Цены!$L$38,IF(D67=Цены!$H$39,Цены!$L$39,IF(D67=Цены!$H$40,Цены!$L$40,IF(D67=Цены!$H$41,Цены!$L$41,IF(D67=Цены!$H$42,Цены!$L$42,IF(D67=Цены!$H$43,Цены!$L$43,IF(D67=Цены!$H$44,Цены!$L$44,IF(D67=Цены!$H$45,Цены!$L$45,IF(D67=Цены!$H$46,Цены!$L$46,IF(D67=Цены!$H$47,Цены!$L$47,IF(D67=Цены!$H$48,Цены!$L$48,IF(D67=Цены!$H$49,Цены!$L$49,IF(D67=Цены!$H$50,Цены!$L$50,IF(D67=Цены!$H$51,Цены!$L$51,IF(D67=Цены!$H$52,Цены!$L$52,IF(D67=Цены!$H$53,Цены!$L$53,IF(D67=Цены!$H$54,Цены!$L$54,IF(D67=Цены!$H$55,Цены!$L$55))))))))))))))))))))))))))))))))))))))))))))))))))))))</f>
        <v>1.23</v>
      </c>
      <c r="G67" s="309">
        <f>E67*F67+E68*F68+E69*F69+E70*F70</f>
        <v>13.036400000000002</v>
      </c>
      <c r="H67" s="28">
        <f>IF(D67=Цены!$H$3,Цены!$K$3,IF(D67=Цены!$H$4,Цены!$K$4,IF(D67=Цены!$H$5,Цены!$K$5,IF(D67=Цены!$H$6,Цены!$K$6,IF(D67=Цены!$H$7,Цены!$K$7,IF(D67=Цены!$H$8,Цены!$K$8,IF(D67=Цены!$H$9,Цены!$K$9,IF(D67=Цены!$H$10,Цены!$K$10,IF(D67=Цены!$H$11,Цены!$K$11,IF(D67=Цены!$H$12,Цены!$K$12,IF(D67=Цены!$H$13,Цены!$K$13,IF(D67=Цены!$H$14,Цены!$K$14,IF(D67=Цены!$H$14,Цены!$K$14,IF(D67=Цены!$H$15,Цены!$K$15,IF(D67=Цены!$H$16,Цены!$K$16,IF(D67=Цены!$H$17,Цены!$K$17,IF(D67=Цены!$H$18,Цены!$K$18,IF(D67=Цены!$H$19,Цены!$K$19,IF(D67=Цены!$H$20,Цены!$K$20,IF(D67=Цены!$H$21,Цены!$K$21,IF(D67=Цены!$H$22,Цены!$K$22,IF(D67=Цены!$H$23,Цены!$K$23,IF(D67=Цены!$H$24,Цены!$K$24,IF(D67=Цены!$H$25,Цены!$K$25,IF(D67=Цены!$H$26,Цены!$K$26,IF(D67=Цены!$H$27,Цены!$K$27,IF(D67=Цены!$H$28,Цены!$K$28,IF(D67=Цены!$H$29,Цены!$K$29,IF(D67=Цены!$H$30,Цены!$K$30,IF(D67=Цены!$H$31,Цены!$K$31,IF(D67=Цены!$H$32,Цены!$K$32,IF(D67=Цены!$H$33,Цены!$K$33,IF(D67=Цены!$H$34,Цены!$K$34,IF(D67=Цены!$H$35,Цены!$K$35,IF(D67=Цены!$H$36,Цены!$K$36,IF(D67=Цены!$H$37,Цены!$K$37,IF(D67=Цены!$H$38,Цены!$K$38,IF(D67=Цены!$H$39,Цены!$K$39,IF(D67=Цены!$H$40,Цены!$K$40,IF(D67=Цены!$H$41,Цены!$K$41,IF(D67=Цены!$H$42,Цены!$K$42,IF(D67=Цены!$H$43,Цены!$K$43,IF(D67=Цены!$H$44,Цены!$K$44,IF(D67=Цены!$H$45,Цены!$K$45,IF(D67=Цены!$H$46,Цены!$K$46,IF(D67=Цены!$H$47,Цены!$K$47,IF(D67=Цены!$H$48,Цены!$K$48,IF(D67=Цены!$H$49,Цены!$K$49,IF(D67=Цены!$H$50,Цены!$K$50,IF(D67=Цены!$H$51,Цены!$K$51,IF(D67=Цены!$H$52,Цены!$K$52,IF(D67=Цены!$H$53,Цены!$K$53,IF(D67=Цены!$H$54,Цены!$K$54,IF(D67=Цены!$H$55,Цены!$K$55))))))))))))))))))))))))))))))))))))))))))))))))))))))</f>
        <v>255</v>
      </c>
      <c r="I67" s="265">
        <v>4</v>
      </c>
      <c r="J67" s="265">
        <v>800</v>
      </c>
      <c r="K67" s="266">
        <f t="shared" ref="K67" si="126">E67*H67+E68*H68+E69*H69+E70*H70</f>
        <v>5795</v>
      </c>
      <c r="L67" s="267">
        <v>7000</v>
      </c>
      <c r="M67" s="266">
        <f t="shared" ref="M67" si="127">K67+L67</f>
        <v>12795</v>
      </c>
      <c r="N67" s="268">
        <v>8000</v>
      </c>
      <c r="O67" s="310">
        <f>N67/M67*100</f>
        <v>62.524423602969911</v>
      </c>
      <c r="P67" s="270">
        <f>MROUND(M67+N67,500)</f>
        <v>21000</v>
      </c>
      <c r="Q67" s="172" t="s">
        <v>165</v>
      </c>
      <c r="R67" s="30">
        <v>10</v>
      </c>
      <c r="S67" s="27">
        <f>IF(Q67=Цены!$H$3,Цены!$L$3,IF(Q67=Цены!$H$4,Цены!$L$4,IF(Q67=Цены!$H$5,Цены!$L$5,IF(Q67=Цены!$H$6,Цены!$L$6,IF(Q67=Цены!$H$7,Цены!$L$7,IF(Q67=Цены!$H$8,Цены!$L$8,IF(Q67=Цены!$H$9,Цены!$L$9,IF(Q67=Цены!$H$10,Цены!$L$10,IF(Q67=Цены!$H$11,Цены!$L$11,IF(Q67=Цены!$H$12,Цены!$L$12,IF(Q67=Цены!$H$13,Цены!$L$13,IF(Q67=Цены!$H$14,Цены!$L$14,IF(Q67=Цены!$H$14,Цены!$L$14,IF(Q67=Цены!$H$15,Цены!$L$15,IF(Q67=Цены!$H$16,Цены!$L$16,IF(Q67=Цены!$H$17,Цены!$L$17,IF(Q67=Цены!$H$18,Цены!$L$18,IF(Q67=Цены!$H$19,Цены!$L$19,IF(Q67=Цены!$H$20,Цены!$L$20,IF(Q67=Цены!$H$21,Цены!$L$21,IF(Q67=Цены!$H$22,Цены!$L$22,IF(Q67=Цены!$H$23,Цены!$L$23,IF(Q67=Цены!$H$24,Цены!$L$24,IF(Q67=Цены!$H$25,Цены!$L$25,IF(Q67=Цены!$H$26,Цены!$L$26,IF(Q67=Цены!$H$27,Цены!$L$27,IF(Q67=Цены!$H$28,Цены!$L$28,IF(Q67=Цены!$H$29,Цены!$L$29,IF(Q67=Цены!$H$30,Цены!$L$30,IF(Q67=Цены!$H$31,Цены!$L$31,IF(Q67=Цены!$H$32,Цены!$L$32,IF(Q67=Цены!$H$33,Цены!$L$33,IF(Q67=Цены!$H$34,Цены!$L$34,IF(Q67=Цены!$H$35,Цены!$L$35,IF(Q67=Цены!$H$36,Цены!$L$36,IF(Q67=Цены!$H$37,Цены!$L$37,IF(Q67=Цены!$H$38,Цены!$L$38,IF(Q67=Цены!$H$39,Цены!$L$39,IF(Q67=Цены!$H$40,Цены!$L$40,IF(Q67=Цены!$H$41,Цены!$L$41,IF(Q67=Цены!$H$42,Цены!$L$42,IF(Q67=Цены!$H$43,Цены!$L$43,IF(Q67=Цены!$H$44,Цены!$L$44,IF(Q67=Цены!$H$45,Цены!$L$45,IF(Q67=Цены!$H$46,Цены!$L$46,IF(Q67=Цены!$H$47,Цены!$L$47,IF(Q67=Цены!$H$48,Цены!$L$48,IF(Q67=Цены!$H$49,Цены!$L$49,IF(Q67=Цены!$H$50,Цены!$L$50,IF(Q67=Цены!$H$51,Цены!$L$51,IF(Q67=Цены!$H$52,Цены!$L$52,IF(Q67=Цены!$H$53,Цены!$L$53,IF(Q67=Цены!$H$54,Цены!$L$54,IF(Q67=Цены!$H$55,Цены!$L$55))))))))))))))))))))))))))))))))))))))))))))))))))))))</f>
        <v>1.85</v>
      </c>
      <c r="T67" s="309">
        <f>R67*S67+R68*S68+R69*S69+R70*S70</f>
        <v>21.7</v>
      </c>
      <c r="U67" s="162">
        <f>IF(Q67=Цены!$H$3,Цены!$K$3,IF(Q67=Цены!$H$4,Цены!$K$4,IF(Q67=Цены!$H$5,Цены!$K$5,IF(Q67=Цены!$H$6,Цены!$K$6,IF(Q67=Цены!$H$7,Цены!$K$7,IF(Q67=Цены!$H$8,Цены!$K$8,IF(Q67=Цены!$H$9,Цены!$K$9,IF(Q67=Цены!$H$10,Цены!$K$10,IF(Q67=Цены!$H$11,Цены!$K$11,IF(Q67=Цены!$H$12,Цены!$K$12,IF(Q67=Цены!$H$13,Цены!$K$13,IF(Q67=Цены!$H$14,Цены!$K$14,IF(Q67=Цены!$H$14,Цены!$K$14,IF(Q67=Цены!$H$15,Цены!$K$15,IF(Q67=Цены!$H$16,Цены!$K$16,IF(Q67=Цены!$H$17,Цены!$K$17,IF(Q67=Цены!$H$18,Цены!$K$18,IF(Q67=Цены!$H$19,Цены!$K$19,IF(Q67=Цены!$H$20,Цены!$K$20,IF(Q67=Цены!$H$21,Цены!$K$21,IF(Q67=Цены!$H$22,Цены!$K$22,IF(Q67=Цены!$H$23,Цены!$K$23,IF(Q67=Цены!$H$24,Цены!$K$24,IF(Q67=Цены!$H$25,Цены!$K$25,IF(Q67=Цены!$H$26,Цены!$K$26,IF(Q67=Цены!$H$27,Цены!$K$27,IF(Q67=Цены!$H$28,Цены!$K$28,IF(Q67=Цены!$H$29,Цены!$K$29,IF(Q67=Цены!$H$30,Цены!$K$30,IF(Q67=Цены!$H$31,Цены!$K$31,IF(Q67=Цены!$H$32,Цены!$K$32,IF(Q67=Цены!$H$33,Цены!$K$33,IF(Q67=Цены!$H$34,Цены!$K$34,IF(Q67=Цены!$H$35,Цены!$K$35,IF(Q67=Цены!$H$36,Цены!$K$36,IF(Q67=Цены!$H$37,Цены!$K$37,IF(Q67=Цены!$H$38,Цены!$K$38,IF(Q67=Цены!$H$39,Цены!$K$39,IF(Q67=Цены!$H$40,Цены!$K$40,IF(Q67=Цены!$H$41,Цены!$K$41,IF(Q67=Цены!$H$42,Цены!$K$42,IF(Q67=Цены!$H$43,Цены!$K$43,IF(Q67=Цены!$H$44,Цены!$K$44,IF(Q67=Цены!$H$45,Цены!$K$45,IF(Q67=Цены!$H$46,Цены!$K$46,IF(Q67=Цены!$H$47,Цены!$K$47,IF(Q67=Цены!$H$48,Цены!$K$48,IF(Q67=Цены!$H$49,Цены!$K$49,IF(Q67=Цены!$H$50,Цены!$K$50,IF(Q67=Цены!$H$51,Цены!$K$51,IF(Q67=Цены!$H$52,Цены!$K$52,IF(Q67=Цены!$H$53,Цены!$K$53,IF(Q67=Цены!$H$54,Цены!$K$54,IF(Q67=Цены!$H$55,Цены!$K$55))))))))))))))))))))))))))))))))))))))))))))))))))))))</f>
        <v>318</v>
      </c>
      <c r="V67" s="265">
        <v>4</v>
      </c>
      <c r="W67" s="265">
        <v>800</v>
      </c>
      <c r="X67" s="266">
        <f>R67*U67+R68*U68+R69*U69+R70*U70</f>
        <v>4740</v>
      </c>
      <c r="Y67" s="267">
        <v>4000</v>
      </c>
      <c r="Z67" s="266">
        <f>X67+Y67</f>
        <v>8740</v>
      </c>
      <c r="AA67" s="319">
        <v>5000</v>
      </c>
      <c r="AB67" s="310">
        <f>AA67/Z67*100</f>
        <v>57.208237986270028</v>
      </c>
      <c r="AC67" s="270">
        <f>MROUND(Z67+AA67,500)</f>
        <v>13500</v>
      </c>
      <c r="AD67" s="172" t="s">
        <v>165</v>
      </c>
      <c r="AE67" s="30">
        <v>9</v>
      </c>
      <c r="AF67" s="27">
        <f>IF(AD67=Цены!$H$3,Цены!$L$3,IF(AD67=Цены!$H$4,Цены!$L$4,IF(AD67=Цены!$H$5,Цены!$L$5,IF(AD67=Цены!$H$6,Цены!$L$6,IF(AD67=Цены!$H$7,Цены!$L$7,IF(AD67=Цены!$H$8,Цены!$L$8,IF(AD67=Цены!$H$9,Цены!$L$9,IF(AD67=Цены!$H$10,Цены!$L$10,IF(AD67=Цены!$H$11,Цены!$L$11,IF(AD67=Цены!$H$12,Цены!$L$12,IF(AD67=Цены!$H$13,Цены!$L$13,IF(AD67=Цены!$H$14,Цены!$L$14,IF(AD67=Цены!$H$14,Цены!$L$14,IF(AD67=Цены!$H$15,Цены!$L$15,IF(AD67=Цены!$H$16,Цены!$L$16,IF(AD67=Цены!$H$17,Цены!$L$17,IF(AD67=Цены!$H$18,Цены!$L$18,IF(AD67=Цены!$H$19,Цены!$L$19,IF(AD67=Цены!$H$20,Цены!$L$20,IF(AD67=Цены!$H$21,Цены!$L$21,IF(AD67=Цены!$H$22,Цены!$L$22,IF(AD67=Цены!$H$23,Цены!$L$23,IF(AD67=Цены!$H$24,Цены!$L$24,IF(AD67=Цены!$H$25,Цены!$L$25,IF(AD67=Цены!$H$26,Цены!$L$26,IF(AD67=Цены!$H$27,Цены!$L$27,IF(AD67=Цены!$H$28,Цены!$L$28,IF(AD67=Цены!$H$29,Цены!$L$29,IF(AD67=Цены!$H$30,Цены!$L$30,IF(AD67=Цены!$H$31,Цены!$L$31,IF(AD67=Цены!$H$32,Цены!$L$32,IF(AD67=Цены!$H$33,Цены!$L$33,IF(AD67=Цены!$H$34,Цены!$L$34,IF(AD67=Цены!$H$35,Цены!$L$35,IF(AD67=Цены!$H$36,Цены!$L$36,IF(AD67=Цены!$H$37,Цены!$L$37,IF(AD67=Цены!$H$38,Цены!$L$38,IF(AD67=Цены!$H$39,Цены!$L$39,IF(AD67=Цены!$H$40,Цены!$L$40,IF(AD67=Цены!$H$41,Цены!$L$41,IF(AD67=Цены!$H$42,Цены!$L$42,IF(AD67=Цены!$H$43,Цены!$L$43,IF(AD67=Цены!$H$44,Цены!$L$44,IF(AD67=Цены!$H$45,Цены!$L$45,IF(AD67=Цены!$H$46,Цены!$L$46,IF(AD67=Цены!$H$47,Цены!$L$47,IF(AD67=Цены!$H$48,Цены!$L$48,IF(AD67=Цены!$H$49,Цены!$L$49,IF(AD67=Цены!$H$50,Цены!$L$50,IF(AD67=Цены!$H$51,Цены!$L$51,IF(AD67=Цены!$H$52,Цены!$L$52,IF(AD67=Цены!$H$53,Цены!$L$53,IF(AD67=Цены!$H$54,Цены!$L$54,IF(AD67=Цены!$H$55,Цены!$L$55))))))))))))))))))))))))))))))))))))))))))))))))))))))</f>
        <v>1.85</v>
      </c>
      <c r="AG67" s="309">
        <f>AE67*AF67+AE68*AF68+AE69*AF69+AE70*AF70</f>
        <v>36.200000000000003</v>
      </c>
      <c r="AH67" s="28">
        <f>IF(AD67=Цены!$H$3,Цены!$K$3,IF(AD67=Цены!$H$4,Цены!$K$4,IF(AD67=Цены!$H$5,Цены!$K$5,IF(AD67=Цены!$H$6,Цены!$K$6,IF(AD67=Цены!$H$7,Цены!$K$7,IF(AD67=Цены!$H$8,Цены!$K$8,IF(AD67=Цены!$H$9,Цены!$K$9,IF(AD67=Цены!$H$10,Цены!$K$10,IF(AD67=Цены!$H$11,Цены!$K$11,IF(AD67=Цены!$H$12,Цены!$K$12,IF(AD67=Цены!$H$13,Цены!$K$13,IF(AD67=Цены!$H$14,Цены!$K$14,IF(AD67=Цены!$H$14,Цены!$K$14,IF(AD67=Цены!$H$15,Цены!$K$15,IF(AD67=Цены!$H$16,Цены!$K$16,IF(AD67=Цены!$H$17,Цены!$K$17,IF(AD67=Цены!$H$18,Цены!$K$18,IF(AD67=Цены!$H$19,Цены!$K$19,IF(AD67=Цены!$H$20,Цены!$K$20,IF(AD67=Цены!$H$21,Цены!$K$21,IF(AD67=Цены!$H$22,Цены!$K$22,IF(AD67=Цены!$H$23,Цены!$K$23,IF(AD67=Цены!$H$24,Цены!$K$24,IF(AD67=Цены!$H$25,Цены!$K$25,IF(AD67=Цены!$H$26,Цены!$K$26,IF(AD67=Цены!$H$27,Цены!$K$27,IF(AD67=Цены!$H$28,Цены!$K$28,IF(AD67=Цены!$H$29,Цены!$K$29,IF(AD67=Цены!$H$30,Цены!$K$30,IF(AD67=Цены!$H$31,Цены!$K$31,IF(AD67=Цены!$H$32,Цены!$K$32,IF(AD67=Цены!$H$33,Цены!$K$33,IF(AD67=Цены!$H$34,Цены!$K$34,IF(AD67=Цены!$H$35,Цены!$K$35,IF(AD67=Цены!$H$36,Цены!$K$36,IF(AD67=Цены!$H$37,Цены!$K$37,IF(AD67=Цены!$H$38,Цены!$K$38,IF(AD67=Цены!$H$39,Цены!$K$39,IF(AD67=Цены!$H$40,Цены!$K$40,IF(AD67=Цены!$H$41,Цены!$K$41,IF(AD67=Цены!$H$42,Цены!$K$42,IF(AD67=Цены!$H$43,Цены!$K$43,IF(AD67=Цены!$H$44,Цены!$K$44,IF(AD67=Цены!$H$45,Цены!$K$45,IF(AD67=Цены!$H$46,Цены!$K$46,IF(AD67=Цены!$H$47,Цены!$K$47,IF(AD67=Цены!$H$48,Цены!$K$48,IF(AD67=Цены!$H$49,Цены!$K$49,IF(AD67=Цены!$H$50,Цены!$K$50,IF(AD67=Цены!$H$51,Цены!$K$51,IF(AD67=Цены!$H$52,Цены!$K$52,IF(AD67=Цены!$H$53,Цены!$K$53,IF(AD67=Цены!$H$54,Цены!$K$54,IF(AD67=Цены!$H$55,Цены!$K$55))))))))))))))))))))))))))))))))))))))))))))))))))))))</f>
        <v>318</v>
      </c>
      <c r="AI67" s="265">
        <v>7</v>
      </c>
      <c r="AJ67" s="265">
        <v>800</v>
      </c>
      <c r="AK67" s="266">
        <f>AE67*AH67+AE68*AH68+AE69*AH69+AE70*AH70</f>
        <v>8918</v>
      </c>
      <c r="AL67" s="267">
        <v>9000</v>
      </c>
      <c r="AM67" s="266">
        <f>AK67+AL67</f>
        <v>17918</v>
      </c>
      <c r="AN67" s="268">
        <v>10000</v>
      </c>
      <c r="AO67" s="310">
        <f>AN67/AM67*100</f>
        <v>55.809800200915284</v>
      </c>
      <c r="AP67" s="270">
        <f>MROUND(AM67+AN67,500)</f>
        <v>28000</v>
      </c>
      <c r="AQ67" s="209" t="s">
        <v>165</v>
      </c>
      <c r="AR67" s="129">
        <v>4</v>
      </c>
      <c r="AS67" s="33">
        <f>IF(AQ67=Цены!$H$3,Цены!$L$3,IF(AQ67=Цены!$H$4,Цены!$L$4,IF(AQ67=Цены!$H$5,Цены!$L$5,IF(AQ67=Цены!$H$6,Цены!$L$6,IF(AQ67=Цены!$H$7,Цены!$L$7,IF(AQ67=Цены!$H$8,Цены!$L$8,IF(AQ67=Цены!$H$9,Цены!$L$9,IF(AQ67=Цены!$H$10,Цены!$L$10,IF(AQ67=Цены!$H$11,Цены!$L$11,IF(AQ67=Цены!$H$12,Цены!$L$12,IF(AQ67=Цены!$H$13,Цены!$L$13,IF(AQ67=Цены!$H$14,Цены!$L$14,IF(AQ67=Цены!$H$14,Цены!$L$14,IF(AQ67=Цены!$H$15,Цены!$L$15,IF(AQ67=Цены!$H$16,Цены!$L$16,IF(AQ67=Цены!$H$17,Цены!$L$17,IF(AQ67=Цены!$H$18,Цены!$L$18,IF(AQ67=Цены!$H$19,Цены!$L$19,IF(AQ67=Цены!$H$20,Цены!$L$20,IF(AQ67=Цены!$H$21,Цены!$L$21,IF(AQ67=Цены!$H$22,Цены!$L$22,IF(AQ67=Цены!$H$23,Цены!$L$23,IF(AQ67=Цены!$H$24,Цены!$L$24,IF(AQ67=Цены!$H$25,Цены!$L$25,IF(AQ67=Цены!$H$26,Цены!$L$26,IF(AQ67=Цены!$H$27,Цены!$L$27,IF(AQ67=Цены!$H$28,Цены!$L$28,IF(AQ67=Цены!$H$29,Цены!$L$29,IF(AQ67=Цены!$H$30,Цены!$L$30,IF(AQ67=Цены!$H$31,Цены!$L$31,IF(AQ67=Цены!$H$32,Цены!$L$32,IF(AQ67=Цены!$H$33,Цены!$L$33,IF(AQ67=Цены!$H$34,Цены!$L$34,IF(AQ67=Цены!$H$35,Цены!$L$35,IF(AQ67=Цены!$H$36,Цены!$L$36,IF(AQ67=Цены!$H$37,Цены!$L$37,IF(AQ67=Цены!$H$38,Цены!$L$38,IF(AQ67=Цены!$H$39,Цены!$L$39,IF(AQ67=Цены!$H$40,Цены!$L$40,IF(AQ67=Цены!$H$41,Цены!$L$41,IF(AQ67=Цены!$H$42,Цены!$L$42,IF(AQ67=Цены!$H$43,Цены!$L$43,IF(AQ67=Цены!$H$44,Цены!$L$44,IF(AQ67=Цены!$H$45,Цены!$L$45,IF(AQ67=Цены!$H$46,Цены!$L$46,IF(AQ67=Цены!$H$47,Цены!$L$47,IF(AQ67=Цены!$H$48,Цены!$L$48,IF(AQ67=Цены!$H$49,Цены!$L$49,IF(AQ67=Цены!$H$50,Цены!$L$50,IF(AQ67=Цены!$H$51,Цены!$L$51,IF(AQ67=Цены!$H$52,Цены!$L$52,IF(AQ67=Цены!$H$53,Цены!$L$53,IF(AQ67=Цены!$H$54,Цены!$L$54,IF(AQ67=Цены!$H$55,Цены!$L$55))))))))))))))))))))))))))))))))))))))))))))))))))))))</f>
        <v>1.85</v>
      </c>
      <c r="AT67" s="276">
        <f>AR67*AS67+AR68*AS68+AR69*AS69+AR70*AS70</f>
        <v>7.9700000000000006</v>
      </c>
      <c r="AU67" s="34">
        <f>IF(AQ67=Цены!$H$3,Цены!$K$3,IF(AQ67=Цены!$H$4,Цены!$K$4,IF(AQ67=Цены!$H$5,Цены!$K$5,IF(AQ67=Цены!$H$6,Цены!$K$6,IF(AQ67=Цены!$H$7,Цены!$K$7,IF(AQ67=Цены!$H$8,Цены!$K$8,IF(AQ67=Цены!$H$9,Цены!$K$9,IF(AQ67=Цены!$H$10,Цены!$K$10,IF(AQ67=Цены!$H$11,Цены!$K$11,IF(AQ67=Цены!$H$12,Цены!$K$12,IF(AQ67=Цены!$H$13,Цены!$K$13,IF(AQ67=Цены!$H$14,Цены!$K$14,IF(AQ67=Цены!$H$14,Цены!$K$14,IF(AQ67=Цены!$H$15,Цены!$K$15,IF(AQ67=Цены!$H$16,Цены!$K$16,IF(AQ67=Цены!$H$17,Цены!$K$17,IF(AQ67=Цены!$H$18,Цены!$K$18,IF(AQ67=Цены!$H$19,Цены!$K$19,IF(AQ67=Цены!$H$20,Цены!$K$20,IF(AQ67=Цены!$H$21,Цены!$K$21,IF(AQ67=Цены!$H$22,Цены!$K$22,IF(AQ67=Цены!$H$23,Цены!$K$23,IF(AQ67=Цены!$H$24,Цены!$K$24,IF(AQ67=Цены!$H$25,Цены!$K$25,IF(AQ67=Цены!$H$26,Цены!$K$26,IF(AQ67=Цены!$H$27,Цены!$K$27,IF(AQ67=Цены!$H$28,Цены!$K$28,IF(AQ67=Цены!$H$29,Цены!$K$29,IF(AQ67=Цены!$H$30,Цены!$K$30,IF(AQ67=Цены!$H$31,Цены!$K$31,IF(AQ67=Цены!$H$32,Цены!$K$32,IF(AQ67=Цены!$H$33,Цены!$K$33,IF(AQ67=Цены!$H$34,Цены!$K$34,IF(AQ67=Цены!$H$35,Цены!$K$35,IF(AQ67=Цены!$H$36,Цены!$K$36,IF(AQ67=Цены!$H$37,Цены!$K$37,IF(AQ67=Цены!$H$38,Цены!$K$38,IF(AQ67=Цены!$H$39,Цены!$K$39,IF(AQ67=Цены!$H$40,Цены!$K$40,IF(AQ67=Цены!$H$41,Цены!$K$41,IF(AQ67=Цены!$H$42,Цены!$K$42,IF(AQ67=Цены!$H$43,Цены!$K$43,IF(AQ67=Цены!$H$44,Цены!$K$44,IF(AQ67=Цены!$H$45,Цены!$K$45,IF(AQ67=Цены!$H$46,Цены!$K$46,IF(AQ67=Цены!$H$47,Цены!$K$47,IF(AQ67=Цены!$H$48,Цены!$K$48,IF(AQ67=Цены!$H$49,Цены!$K$49,IF(AQ67=Цены!$H$50,Цены!$K$50,IF(AQ67=Цены!$H$51,Цены!$K$51,IF(AQ67=Цены!$H$52,Цены!$K$52,IF(AQ67=Цены!$H$53,Цены!$K$53,IF(AQ67=Цены!$H$54,Цены!$K$54,IF(AQ67=Цены!$H$55,Цены!$K$55))))))))))))))))))))))))))))))))))))))))))))))))))))))</f>
        <v>318</v>
      </c>
      <c r="AV67" s="265">
        <v>5.5</v>
      </c>
      <c r="AW67" s="265">
        <v>800</v>
      </c>
      <c r="AX67" s="266">
        <f>AR67*AU67+AR68*AU68+AR69*AU69+AR70*AU70</f>
        <v>2616</v>
      </c>
      <c r="AY67" s="267">
        <v>6000</v>
      </c>
      <c r="AZ67" s="266">
        <f>AX67+AY67</f>
        <v>8616</v>
      </c>
      <c r="BA67" s="268">
        <v>6000</v>
      </c>
      <c r="BB67" s="269">
        <f>BA67/AZ67*100</f>
        <v>69.637883008356553</v>
      </c>
      <c r="BC67" s="270">
        <f>MROUND(AZ67+BA67,500)</f>
        <v>14500</v>
      </c>
      <c r="BD67" s="258">
        <f t="shared" ref="BD67" si="128">BC67+CQ67</f>
        <v>20500</v>
      </c>
      <c r="BE67" s="209" t="s">
        <v>166</v>
      </c>
      <c r="BF67" s="71">
        <v>6</v>
      </c>
      <c r="BG67" s="33">
        <f>IF(BE67=Цены!$H$3,Цены!$L$3,IF(BE67=Цены!$H$4,Цены!$L$4,IF(BE67=Цены!$H$5,Цены!$L$5,IF(BE67=Цены!$H$6,Цены!$L$6,IF(BE67=Цены!$H$7,Цены!$L$7,IF(BE67=Цены!$H$8,Цены!$L$8,IF(BE67=Цены!$H$9,Цены!$L$9,IF(BE67=Цены!$H$10,Цены!$L$10,IF(BE67=Цены!$H$11,Цены!$L$11,IF(BE67=Цены!$H$12,Цены!$L$12,IF(BE67=Цены!$H$13,Цены!$L$13,IF(BE67=Цены!$H$14,Цены!$L$14,IF(BE67=Цены!$H$14,Цены!$L$14,IF(BE67=Цены!$H$15,Цены!$L$15,IF(BE67=Цены!$H$16,Цены!$L$16,IF(BE67=Цены!$H$17,Цены!$L$17,IF(BE67=Цены!$H$18,Цены!$L$18,IF(BE67=Цены!$H$19,Цены!$L$19,IF(BE67=Цены!$H$20,Цены!$L$20,IF(BE67=Цены!$H$21,Цены!$L$21,IF(BE67=Цены!$H$22,Цены!$L$22,IF(BE67=Цены!$H$23,Цены!$L$23,IF(BE67=Цены!$H$24,Цены!$L$24,IF(BE67=Цены!$H$25,Цены!$L$25,IF(BE67=Цены!$H$26,Цены!$L$26,IF(BE67=Цены!$H$27,Цены!$L$27,IF(BE67=Цены!$H$28,Цены!$L$28,IF(BE67=Цены!$H$29,Цены!$L$29,IF(BE67=Цены!$H$30,Цены!$L$30,IF(BE67=Цены!$H$31,Цены!$L$31,IF(BE67=Цены!$H$32,Цены!$L$32,IF(BE67=Цены!$H$33,Цены!$L$33,IF(BE67=Цены!$H$34,Цены!$L$34,IF(BE67=Цены!$H$35,Цены!$L$35,IF(BE67=Цены!$H$36,Цены!$L$36,IF(BE67=Цены!$H$37,Цены!$L$37,IF(BE67=Цены!$H$38,Цены!$L$38,IF(BE67=Цены!$H$39,Цены!$L$39,IF(BE67=Цены!$H$40,Цены!$L$40,IF(BE67=Цены!$H$41,Цены!$L$41,IF(BE67=Цены!$H$42,Цены!$L$42,IF(BE67=Цены!$H$43,Цены!$L$43,IF(BE67=Цены!$H$44,Цены!$L$44,IF(BE67=Цены!$H$45,Цены!$L$45,IF(BE67=Цены!$H$46,Цены!$L$46,IF(BE67=Цены!$H$47,Цены!$L$47,IF(BE67=Цены!$H$48,Цены!$L$48,IF(BE67=Цены!$H$49,Цены!$L$49,IF(BE67=Цены!$H$50,Цены!$L$50,IF(BE67=Цены!$H$51,Цены!$L$51,IF(BE67=Цены!$H$52,Цены!$L$52,IF(BE67=Цены!$H$53,Цены!$L$53,IF(BE67=Цены!$H$54,Цены!$L$54,IF(BE67=Цены!$H$55,Цены!$L$55))))))))))))))))))))))))))))))))))))))))))))))))))))))</f>
        <v>1.23</v>
      </c>
      <c r="BH67" s="276">
        <f>BF67*BG67+BF68*BG68+BF69*BG69+BF70*BG70</f>
        <v>8.14</v>
      </c>
      <c r="BI67" s="34">
        <f>IF(BE67=Цены!$H$3,Цены!$K$3,IF(BE67=Цены!$H$4,Цены!$K$4,IF(BE67=Цены!$H$5,Цены!$K$5,IF(BE67=Цены!$H$6,Цены!$K$6,IF(BE67=Цены!$H$7,Цены!$K$7,IF(BE67=Цены!$H$8,Цены!$K$8,IF(BE67=Цены!$H$9,Цены!$K$9,IF(BE67=Цены!$H$10,Цены!$K$10,IF(BE67=Цены!$H$11,Цены!$K$11,IF(BE67=Цены!$H$12,Цены!$K$12,IF(BE67=Цены!$H$13,Цены!$K$13,IF(BE67=Цены!$H$14,Цены!$K$14,IF(BE67=Цены!$H$14,Цены!$K$14,IF(BE67=Цены!$H$15,Цены!$K$15,IF(BE67=Цены!$H$16,Цены!$K$16,IF(BE67=Цены!$H$17,Цены!$K$17,IF(BE67=Цены!$H$18,Цены!$K$18,IF(BE67=Цены!$H$19,Цены!$K$19,IF(BE67=Цены!$H$20,Цены!$K$20,IF(BE67=Цены!$H$21,Цены!$K$21,IF(BE67=Цены!$H$22,Цены!$K$22,IF(BE67=Цены!$H$23,Цены!$K$23,IF(BE67=Цены!$H$24,Цены!$K$24,IF(BE67=Цены!$H$25,Цены!$K$25,IF(BE67=Цены!$H$26,Цены!$K$26,IF(BE67=Цены!$H$27,Цены!$K$27,IF(BE67=Цены!$H$28,Цены!$K$28,IF(BE67=Цены!$H$29,Цены!$K$29,IF(BE67=Цены!$H$30,Цены!$K$30,IF(BE67=Цены!$H$31,Цены!$K$31,IF(BE67=Цены!$H$32,Цены!$K$32,IF(BE67=Цены!$H$33,Цены!$K$33,IF(BE67=Цены!$H$34,Цены!$K$34,IF(BE67=Цены!$H$35,Цены!$K$35,IF(BE67=Цены!$H$36,Цены!$K$36,IF(BE67=Цены!$H$37,Цены!$K$37,IF(BE67=Цены!$H$38,Цены!$K$38,IF(BE67=Цены!$H$39,Цены!$K$39,IF(BE67=Цены!$H$40,Цены!$K$40,IF(BE67=Цены!$H$41,Цены!$K$41,IF(BE67=Цены!$H$42,Цены!$K$42,IF(BE67=Цены!$H$43,Цены!$K$43,IF(BE67=Цены!$H$44,Цены!$K$44,IF(BE67=Цены!$H$45,Цены!$K$45,IF(BE67=Цены!$H$46,Цены!$K$46,IF(BE67=Цены!$H$47,Цены!$K$47,IF(BE67=Цены!$H$48,Цены!$K$48,IF(BE67=Цены!$H$49,Цены!$K$49,IF(BE67=Цены!$H$50,Цены!$K$50,IF(BE67=Цены!$H$51,Цены!$K$51,IF(BE67=Цены!$H$52,Цены!$K$52,IF(BE67=Цены!$H$53,Цены!$K$53,IF(BE67=Цены!$H$54,Цены!$K$54,IF(BE67=Цены!$H$55,Цены!$K$55))))))))))))))))))))))))))))))))))))))))))))))))))))))</f>
        <v>255</v>
      </c>
      <c r="BJ67" s="265">
        <v>4.5</v>
      </c>
      <c r="BK67" s="265">
        <v>800</v>
      </c>
      <c r="BL67" s="266">
        <f>BF67*BI67+BF68*BI68+BF69*BI69+BF70*BI70</f>
        <v>3322</v>
      </c>
      <c r="BM67" s="267">
        <v>5500</v>
      </c>
      <c r="BN67" s="266">
        <f>BL67+BM67</f>
        <v>8822</v>
      </c>
      <c r="BO67" s="268">
        <v>6000</v>
      </c>
      <c r="BP67" s="269">
        <f>BO67/BN67*100</f>
        <v>68.011788710043078</v>
      </c>
      <c r="BQ67" s="270">
        <f>MROUND(BN67+BO67,500)</f>
        <v>15000</v>
      </c>
      <c r="BR67" s="216" t="s">
        <v>166</v>
      </c>
      <c r="BS67" s="43">
        <v>2</v>
      </c>
      <c r="BT67" s="33">
        <f>IF(BR67=Цены!$H$3,Цены!$L$3,IF(BR67=Цены!$H$4,Цены!$L$4,IF(BR67=Цены!$H$5,Цены!$L$5,IF(BR67=Цены!$H$6,Цены!$L$6,IF(BR67=Цены!$H$7,Цены!$L$7,IF(BR67=Цены!$H$8,Цены!$L$8,IF(BR67=Цены!$H$9,Цены!$L$9,IF(BR67=Цены!$H$10,Цены!$L$10,IF(BR67=Цены!$H$11,Цены!$L$11,IF(BR67=Цены!$H$12,Цены!$L$12,IF(BR67=Цены!$H$13,Цены!$L$13,IF(BR67=Цены!$H$14,Цены!$L$14,IF(BR67=Цены!$H$14,Цены!$L$14,IF(BR67=Цены!$H$15,Цены!$L$15,IF(BR67=Цены!$H$16,Цены!$L$16,IF(BR67=Цены!$H$17,Цены!$L$17,IF(BR67=Цены!$H$18,Цены!$L$18,IF(BR67=Цены!$H$19,Цены!$L$19,IF(BR67=Цены!$H$20,Цены!$L$20,IF(BR67=Цены!$H$21,Цены!$L$21,IF(BR67=Цены!$H$22,Цены!$L$22,IF(BR67=Цены!$H$23,Цены!$L$23,IF(BR67=Цены!$H$24,Цены!$L$24,IF(BR67=Цены!$H$25,Цены!$L$25,IF(BR67=Цены!$H$26,Цены!$L$26,IF(BR67=Цены!$H$27,Цены!$L$27,IF(BR67=Цены!$H$28,Цены!$L$28,IF(BR67=Цены!$H$29,Цены!$L$29,IF(BR67=Цены!$H$30,Цены!$L$30,IF(BR67=Цены!$H$31,Цены!$L$31,IF(BR67=Цены!$H$32,Цены!$L$32,IF(BR67=Цены!$H$33,Цены!$L$33,IF(BR67=Цены!$H$34,Цены!$L$34,IF(BR67=Цены!$H$35,Цены!$L$35,IF(BR67=Цены!$H$36,Цены!$L$36,IF(BR67=Цены!$H$37,Цены!$L$37,IF(BR67=Цены!$H$38,Цены!$L$38,IF(BR67=Цены!$H$39,Цены!$L$39,IF(BR67=Цены!$H$40,Цены!$L$40,IF(BR67=Цены!$H$41,Цены!$L$41,IF(BR67=Цены!$H$42,Цены!$L$42,IF(BR67=Цены!$H$43,Цены!$L$43,IF(BR67=Цены!$H$44,Цены!$L$44,IF(BR67=Цены!$H$45,Цены!$L$45,IF(BR67=Цены!$H$46,Цены!$L$46,IF(BR67=Цены!$H$47,Цены!$L$47,IF(BR67=Цены!$H$48,Цены!$L$48,IF(BR67=Цены!$H$49,Цены!$L$49,IF(BR67=Цены!$H$50,Цены!$L$50,IF(BR67=Цены!$H$51,Цены!$L$51,IF(BR67=Цены!$H$52,Цены!$L$52,IF(BR67=Цены!$H$53,Цены!$L$53,IF(BR67=Цены!$H$54,Цены!$L$54,IF(BR67=Цены!$H$55,Цены!$L$55))))))))))))))))))))))))))))))))))))))))))))))))))))))</f>
        <v>1.23</v>
      </c>
      <c r="BU67" s="276">
        <f>BS67*BT67+BS68*BT68+BS69*BT69+BS70*BT70</f>
        <v>3.66</v>
      </c>
      <c r="BV67" s="34">
        <f>IF(BR67=Цены!$H$3,Цены!$K$3,IF(BR67=Цены!$H$4,Цены!$K$4,IF(BR67=Цены!$H$5,Цены!$K$5,IF(BR67=Цены!$H$6,Цены!$K$6,IF(BR67=Цены!$H$7,Цены!$K$7,IF(BR67=Цены!$H$8,Цены!$K$8,IF(BR67=Цены!$H$9,Цены!$K$9,IF(BR67=Цены!$H$10,Цены!$K$10,IF(BR67=Цены!$H$11,Цены!$K$11,IF(BR67=Цены!$H$12,Цены!$K$12,IF(BR67=Цены!$H$13,Цены!$K$13,IF(BR67=Цены!$H$14,Цены!$K$14,IF(BR67=Цены!$H$14,Цены!$K$14,IF(BR67=Цены!$H$15,Цены!$K$15,IF(BR67=Цены!$H$16,Цены!$K$16,IF(BR67=Цены!$H$17,Цены!$K$17,IF(BR67=Цены!$H$18,Цены!$K$18,IF(BR67=Цены!$H$19,Цены!$K$19,IF(BR67=Цены!$H$20,Цены!$K$20,IF(BR67=Цены!$H$21,Цены!$K$21,IF(BR67=Цены!$H$22,Цены!$K$22,IF(BR67=Цены!$H$23,Цены!$K$23,IF(BR67=Цены!$H$24,Цены!$K$24,IF(BR67=Цены!$H$25,Цены!$K$25,IF(BR67=Цены!$H$26,Цены!$K$26,IF(BR67=Цены!$H$27,Цены!$K$27,IF(BR67=Цены!$H$28,Цены!$K$28,IF(BR67=Цены!$H$29,Цены!$K$29,IF(BR67=Цены!$H$30,Цены!$K$30,IF(BR67=Цены!$H$31,Цены!$K$31,IF(BR67=Цены!$H$32,Цены!$K$32,IF(BR67=Цены!$H$33,Цены!$K$33,IF(BR67=Цены!$H$34,Цены!$K$34,IF(BR67=Цены!$H$35,Цены!$K$35,IF(BR67=Цены!$H$36,Цены!$K$36,IF(BR67=Цены!$H$37,Цены!$K$37,IF(BR67=Цены!$H$38,Цены!$K$38,IF(BR67=Цены!$H$39,Цены!$K$39,IF(BR67=Цены!$H$40,Цены!$K$40,IF(BR67=Цены!$H$41,Цены!$K$41,IF(BR67=Цены!$H$42,Цены!$K$42,IF(BR67=Цены!$H$43,Цены!$K$43,IF(BR67=Цены!$H$44,Цены!$K$44,IF(BR67=Цены!$H$45,Цены!$K$45,IF(BR67=Цены!$H$46,Цены!$K$46,IF(BR67=Цены!$H$47,Цены!$K$47,IF(BR67=Цены!$H$48,Цены!$K$48,IF(BR67=Цены!$H$49,Цены!$K$49,IF(BR67=Цены!$H$50,Цены!$K$50,IF(BR67=Цены!$H$51,Цены!$K$51,IF(BR67=Цены!$H$52,Цены!$K$52,IF(BR67=Цены!$H$53,Цены!$K$53,IF(BR67=Цены!$H$54,Цены!$K$54,IF(BR67=Цены!$H$55,Цены!$K$55))))))))))))))))))))))))))))))))))))))))))))))))))))))</f>
        <v>255</v>
      </c>
      <c r="BW67" s="265">
        <v>1</v>
      </c>
      <c r="BX67" s="265">
        <v>800</v>
      </c>
      <c r="BY67" s="266">
        <f>BS67*BV67+BS68*BV68+BS69*BV69+BS70*BV70</f>
        <v>842</v>
      </c>
      <c r="BZ67" s="267">
        <v>1000</v>
      </c>
      <c r="CA67" s="266">
        <f>BY67+BZ67</f>
        <v>1842</v>
      </c>
      <c r="CB67" s="268">
        <v>2000</v>
      </c>
      <c r="CC67" s="269">
        <f>CB67/CA67*100</f>
        <v>108.57763300760044</v>
      </c>
      <c r="CD67" s="270">
        <f>MROUND(CA67+CB67,500)</f>
        <v>4000</v>
      </c>
      <c r="CE67" s="171" t="s">
        <v>166</v>
      </c>
      <c r="CF67" s="43">
        <v>2</v>
      </c>
      <c r="CG67" s="33">
        <f>IF(CE67=Цены!$H$3,Цены!$L$3,IF(CE67=Цены!$H$4,Цены!$L$4,IF(CE67=Цены!$H$5,Цены!$L$5,IF(CE67=Цены!$H$6,Цены!$L$6,IF(CE67=Цены!$H$7,Цены!$L$7,IF(CE67=Цены!$H$8,Цены!$L$8,IF(CE67=Цены!$H$9,Цены!$L$9,IF(CE67=Цены!$H$10,Цены!$L$10,IF(CE67=Цены!$H$11,Цены!$L$11,IF(CE67=Цены!$H$12,Цены!$L$12,IF(CE67=Цены!$H$13,Цены!$L$13,IF(CE67=Цены!$H$14,Цены!$L$14,IF(CE67=Цены!$H$14,Цены!$L$14,IF(CE67=Цены!$H$15,Цены!$L$15,IF(CE67=Цены!$H$16,Цены!$L$16,IF(CE67=Цены!$H$17,Цены!$L$17,IF(CE67=Цены!$H$18,Цены!$L$18,IF(CE67=Цены!$H$19,Цены!$L$19,IF(CE67=Цены!$H$20,Цены!$L$20,IF(CE67=Цены!$H$21,Цены!$L$21,IF(CE67=Цены!$H$22,Цены!$L$22,IF(CE67=Цены!$H$23,Цены!$L$23,IF(CE67=Цены!$H$24,Цены!$L$24,IF(CE67=Цены!$H$25,Цены!$L$25,IF(CE67=Цены!$H$26,Цены!$L$26,IF(CE67=Цены!$H$27,Цены!$L$27,IF(CE67=Цены!$H$28,Цены!$L$28,IF(CE67=Цены!$H$29,Цены!$L$29,IF(CE67=Цены!$H$30,Цены!$L$30,IF(CE67=Цены!$H$31,Цены!$L$31,IF(CE67=Цены!$H$32,Цены!$L$32,IF(CE67=Цены!$H$33,Цены!$L$33,IF(CE67=Цены!$H$34,Цены!$L$34,IF(CE67=Цены!$H$35,Цены!$L$35,IF(CE67=Цены!$H$36,Цены!$L$36,IF(CE67=Цены!$H$37,Цены!$L$37,IF(CE67=Цены!$H$38,Цены!$L$38,IF(CE67=Цены!$H$39,Цены!$L$39,IF(CE67=Цены!$H$40,Цены!$L$40,IF(CE67=Цены!$H$41,Цены!$L$41,IF(CE67=Цены!$H$42,Цены!$L$42,IF(CE67=Цены!$H$43,Цены!$L$43,IF(CE67=Цены!$H$44,Цены!$L$44,IF(CE67=Цены!$H$45,Цены!$L$45,IF(CE67=Цены!$H$46,Цены!$L$46,IF(CE67=Цены!$H$47,Цены!$L$47,IF(CE67=Цены!$H$48,Цены!$L$48,IF(CE67=Цены!$H$49,Цены!$L$49,IF(CE67=Цены!$H$50,Цены!$L$50,IF(CE67=Цены!$H$51,Цены!$L$51,IF(CE67=Цены!$H$52,Цены!$L$52,IF(CE67=Цены!$H$53,Цены!$L$53,IF(CE67=Цены!$H$54,Цены!$L$54,IF(CE67=Цены!$H$55,Цены!$L$55))))))))))))))))))))))))))))))))))))))))))))))))))))))</f>
        <v>1.23</v>
      </c>
      <c r="CH67" s="276">
        <f>CF67*CG67+CF68*CG68+CF69*CG69+CF70*CG70</f>
        <v>3.0664000000000002</v>
      </c>
      <c r="CI67" s="34">
        <f>IF(CE67=Цены!$H$3,Цены!$K$3,IF(CE67=Цены!$H$4,Цены!$K$4,IF(CE67=Цены!$H$5,Цены!$K$5,IF(CE67=Цены!$H$6,Цены!$K$6,IF(CE67=Цены!$H$7,Цены!$K$7,IF(CE67=Цены!$H$8,Цены!$K$8,IF(CE67=Цены!$H$9,Цены!$K$9,IF(CE67=Цены!$H$10,Цены!$K$10,IF(CE67=Цены!$H$11,Цены!$K$11,IF(CE67=Цены!$H$12,Цены!$K$12,IF(CE67=Цены!$H$13,Цены!$K$13,IF(CE67=Цены!$H$14,Цены!$K$14,IF(CE67=Цены!$H$14,Цены!$K$14,IF(CE67=Цены!$H$15,Цены!$K$15,IF(CE67=Цены!$H$16,Цены!$K$16,IF(CE67=Цены!$H$17,Цены!$K$17,IF(CE67=Цены!$H$18,Цены!$K$18,IF(CE67=Цены!$H$19,Цены!$K$19,IF(CE67=Цены!$H$20,Цены!$K$20,IF(CE67=Цены!$H$21,Цены!$K$21,IF(CE67=Цены!$H$22,Цены!$K$22,IF(CE67=Цены!$H$23,Цены!$K$23,IF(CE67=Цены!$H$24,Цены!$K$24,IF(CE67=Цены!$H$25,Цены!$K$25,IF(CE67=Цены!$H$26,Цены!$K$26,IF(CE67=Цены!$H$27,Цены!$K$27,IF(CE67=Цены!$H$28,Цены!$K$28,IF(CE67=Цены!$H$29,Цены!$K$29,IF(CE67=Цены!$H$30,Цены!$K$30,IF(CE67=Цены!$H$31,Цены!$K$31,IF(CE67=Цены!$H$32,Цены!$K$32,IF(CE67=Цены!$H$33,Цены!$K$33,IF(CE67=Цены!$H$34,Цены!$K$34,IF(CE67=Цены!$H$35,Цены!$K$35,IF(CE67=Цены!$H$36,Цены!$K$36,IF(CE67=Цены!$H$37,Цены!$K$37,IF(CE67=Цены!$H$38,Цены!$K$38,IF(CE67=Цены!$H$39,Цены!$K$39,IF(CE67=Цены!$H$40,Цены!$K$40,IF(CE67=Цены!$H$41,Цены!$K$41,IF(CE67=Цены!$H$42,Цены!$K$42,IF(CE67=Цены!$H$43,Цены!$K$43,IF(CE67=Цены!$H$44,Цены!$K$44,IF(CE67=Цены!$H$45,Цены!$K$45,IF(CE67=Цены!$H$46,Цены!$K$46,IF(CE67=Цены!$H$47,Цены!$K$47,IF(CE67=Цены!$H$48,Цены!$K$48,IF(CE67=Цены!$H$49,Цены!$K$49,IF(CE67=Цены!$H$50,Цены!$K$50,IF(CE67=Цены!$H$51,Цены!$K$51,IF(CE67=Цены!$H$52,Цены!$K$52,IF(CE67=Цены!$H$53,Цены!$K$53,IF(CE67=Цены!$H$54,Цены!$K$54,IF(CE67=Цены!$H$55,Цены!$K$55))))))))))))))))))))))))))))))))))))))))))))))))))))))</f>
        <v>255</v>
      </c>
      <c r="CJ67" s="265">
        <v>2</v>
      </c>
      <c r="CK67" s="265">
        <v>800</v>
      </c>
      <c r="CL67" s="266">
        <f>CF67*CI67+CF68*CI68+CF69*CI69+CF70*CI70</f>
        <v>1690</v>
      </c>
      <c r="CM67" s="267">
        <v>1800</v>
      </c>
      <c r="CN67" s="266">
        <f>CL67+CM67</f>
        <v>3490</v>
      </c>
      <c r="CO67" s="268">
        <v>2500</v>
      </c>
      <c r="CP67" s="269">
        <f>CO67/CN67*100</f>
        <v>71.633237822349571</v>
      </c>
      <c r="CQ67" s="270">
        <f>MROUND(CN67+CO67,500)</f>
        <v>6000</v>
      </c>
    </row>
    <row r="68" spans="1:95" x14ac:dyDescent="0.25">
      <c r="A68" s="267"/>
      <c r="B68" s="265"/>
      <c r="C68" s="265"/>
      <c r="D68" s="172" t="s">
        <v>91</v>
      </c>
      <c r="E68" s="167">
        <v>2</v>
      </c>
      <c r="F68" s="27">
        <f>IF(D68=Цены!$H$3,Цены!$L$3,IF(D68=Цены!$H$4,Цены!$L$4,IF(D68=Цены!$H$5,Цены!$L$5,IF(D68=Цены!$H$6,Цены!$L$6,IF(D68=Цены!$H$7,Цены!$L$7,IF(D68=Цены!$H$8,Цены!$L$8,IF(D68=Цены!$H$9,Цены!$L$9,IF(D68=Цены!$H$10,Цены!$L$10,IF(D68=Цены!$H$11,Цены!$L$11,IF(D68=Цены!$H$12,Цены!$L$12,IF(D68=Цены!$H$13,Цены!$L$13,IF(D68=Цены!$H$14,Цены!$L$14,IF(D68=Цены!$H$14,Цены!$L$14,IF(D68=Цены!$H$15,Цены!$L$15,IF(D68=Цены!$H$16,Цены!$L$16,IF(D68=Цены!$H$17,Цены!$L$17,IF(D68=Цены!$H$18,Цены!$L$18,IF(D68=Цены!$H$19,Цены!$L$19,IF(D68=Цены!$H$20,Цены!$L$20,IF(D68=Цены!$H$21,Цены!$L$21,IF(D68=Цены!$H$22,Цены!$L$22,IF(D68=Цены!$H$23,Цены!$L$23,IF(D68=Цены!$H$24,Цены!$L$24,IF(D68=Цены!$H$25,Цены!$L$25,IF(D68=Цены!$H$26,Цены!$L$26,IF(D68=Цены!$H$27,Цены!$L$27,IF(D68=Цены!$H$28,Цены!$L$28,IF(D68=Цены!$H$29,Цены!$L$29,IF(D68=Цены!$H$30,Цены!$L$30,IF(D68=Цены!$H$31,Цены!$L$31,IF(D68=Цены!$H$32,Цены!$L$32,IF(D68=Цены!$H$33,Цены!$L$33,IF(D68=Цены!$H$34,Цены!$L$34,IF(D68=Цены!$H$35,Цены!$L$35,IF(D68=Цены!$H$36,Цены!$L$36,IF(D68=Цены!$H$37,Цены!$L$37,IF(D68=Цены!$H$38,Цены!$L$38,IF(D68=Цены!$H$39,Цены!$L$39,IF(D68=Цены!$H$40,Цены!$L$40,IF(D68=Цены!$H$41,Цены!$L$41,IF(D68=Цены!$H$42,Цены!$L$42,IF(D68=Цены!$H$43,Цены!$L$43,IF(D68=Цены!$H$44,Цены!$L$44,IF(D68=Цены!$H$45,Цены!$L$45,IF(D68=Цены!$H$46,Цены!$L$46,IF(D68=Цены!$H$47,Цены!$L$47,IF(D68=Цены!$H$48,Цены!$L$48,IF(D68=Цены!$H$49,Цены!$L$49,IF(D68=Цены!$H$50,Цены!$L$50,IF(D68=Цены!$H$51,Цены!$L$51,IF(D68=Цены!$H$52,Цены!$L$52,IF(D68=Цены!$H$53,Цены!$L$53,IF(D68=Цены!$H$54,Цены!$L$54,IF(D68=Цены!$H$55,Цены!$L$55))))))))))))))))))))))))))))))))))))))))))))))))))))))</f>
        <v>0.19</v>
      </c>
      <c r="G68" s="309"/>
      <c r="H68" s="28">
        <f>IF(D68=Цены!$H$3,Цены!$K$3,IF(D68=Цены!$H$4,Цены!$K$4,IF(D68=Цены!$H$5,Цены!$K$5,IF(D68=Цены!$H$6,Цены!$K$6,IF(D68=Цены!$H$7,Цены!$K$7,IF(D68=Цены!$H$8,Цены!$K$8,IF(D68=Цены!$H$9,Цены!$K$9,IF(D68=Цены!$H$10,Цены!$K$10,IF(D68=Цены!$H$11,Цены!$K$11,IF(D68=Цены!$H$12,Цены!$K$12,IF(D68=Цены!$H$13,Цены!$K$13,IF(D68=Цены!$H$14,Цены!$K$14,IF(D68=Цены!$H$14,Цены!$K$14,IF(D68=Цены!$H$15,Цены!$K$15,IF(D68=Цены!$H$16,Цены!$K$16,IF(D68=Цены!$H$17,Цены!$K$17,IF(D68=Цены!$H$18,Цены!$K$18,IF(D68=Цены!$H$19,Цены!$K$19,IF(D68=Цены!$H$20,Цены!$K$20,IF(D68=Цены!$H$21,Цены!$K$21,IF(D68=Цены!$H$22,Цены!$K$22,IF(D68=Цены!$H$23,Цены!$K$23,IF(D68=Цены!$H$24,Цены!$K$24,IF(D68=Цены!$H$25,Цены!$K$25,IF(D68=Цены!$H$26,Цены!$K$26,IF(D68=Цены!$H$27,Цены!$K$27,IF(D68=Цены!$H$28,Цены!$K$28,IF(D68=Цены!$H$29,Цены!$K$29,IF(D68=Цены!$H$30,Цены!$K$30,IF(D68=Цены!$H$31,Цены!$K$31,IF(D68=Цены!$H$32,Цены!$K$32,IF(D68=Цены!$H$33,Цены!$K$33,IF(D68=Цены!$H$34,Цены!$K$34,IF(D68=Цены!$H$35,Цены!$K$35,IF(D68=Цены!$H$36,Цены!$K$36,IF(D68=Цены!$H$37,Цены!$K$37,IF(D68=Цены!$H$38,Цены!$K$38,IF(D68=Цены!$H$39,Цены!$K$39,IF(D68=Цены!$H$40,Цены!$K$40,IF(D68=Цены!$H$41,Цены!$K$41,IF(D68=Цены!$H$42,Цены!$K$42,IF(D68=Цены!$H$43,Цены!$K$43,IF(D68=Цены!$H$44,Цены!$K$44,IF(D68=Цены!$H$45,Цены!$K$45,IF(D68=Цены!$H$46,Цены!$K$46,IF(D68=Цены!$H$47,Цены!$K$47,IF(D68=Цены!$H$48,Цены!$K$48,IF(D68=Цены!$H$49,Цены!$K$49,IF(D68=Цены!$H$50,Цены!$K$50,IF(D68=Цены!$H$51,Цены!$K$51,IF(D68=Цены!$H$52,Цены!$K$52,IF(D68=Цены!$H$53,Цены!$K$53,IF(D68=Цены!$H$54,Цены!$K$54,IF(D68=Цены!$H$55,Цены!$K$55))))))))))))))))))))))))))))))))))))))))))))))))))))))</f>
        <v>448</v>
      </c>
      <c r="I68" s="265"/>
      <c r="J68" s="265"/>
      <c r="K68" s="266"/>
      <c r="L68" s="267"/>
      <c r="M68" s="267"/>
      <c r="N68" s="268"/>
      <c r="O68" s="310"/>
      <c r="P68" s="270"/>
      <c r="Q68" s="209" t="s">
        <v>80</v>
      </c>
      <c r="R68" s="30">
        <v>5</v>
      </c>
      <c r="S68" s="27">
        <f>IF(Q68=Цены!$H$3,Цены!$L$3,IF(Q68=Цены!$H$4,Цены!$L$4,IF(Q68=Цены!$H$5,Цены!$L$5,IF(Q68=Цены!$H$6,Цены!$L$6,IF(Q68=Цены!$H$7,Цены!$L$7,IF(Q68=Цены!$H$8,Цены!$L$8,IF(Q68=Цены!$H$9,Цены!$L$9,IF(Q68=Цены!$H$10,Цены!$L$10,IF(Q68=Цены!$H$11,Цены!$L$11,IF(Q68=Цены!$H$12,Цены!$L$12,IF(Q68=Цены!$H$13,Цены!$L$13,IF(Q68=Цены!$H$14,Цены!$L$14,IF(Q68=Цены!$H$14,Цены!$L$14,IF(Q68=Цены!$H$15,Цены!$L$15,IF(Q68=Цены!$H$16,Цены!$L$16,IF(Q68=Цены!$H$17,Цены!$L$17,IF(Q68=Цены!$H$18,Цены!$L$18,IF(Q68=Цены!$H$19,Цены!$L$19,IF(Q68=Цены!$H$20,Цены!$L$20,IF(Q68=Цены!$H$21,Цены!$L$21,IF(Q68=Цены!$H$22,Цены!$L$22,IF(Q68=Цены!$H$23,Цены!$L$23,IF(Q68=Цены!$H$24,Цены!$L$24,IF(Q68=Цены!$H$25,Цены!$L$25,IF(Q68=Цены!$H$26,Цены!$L$26,IF(Q68=Цены!$H$27,Цены!$L$27,IF(Q68=Цены!$H$28,Цены!$L$28,IF(Q68=Цены!$H$29,Цены!$L$29,IF(Q68=Цены!$H$30,Цены!$L$30,IF(Q68=Цены!$H$31,Цены!$L$31,IF(Q68=Цены!$H$32,Цены!$L$32,IF(Q68=Цены!$H$33,Цены!$L$33,IF(Q68=Цены!$H$34,Цены!$L$34,IF(Q68=Цены!$H$35,Цены!$L$35,IF(Q68=Цены!$H$36,Цены!$L$36,IF(Q68=Цены!$H$37,Цены!$L$37,IF(Q68=Цены!$H$38,Цены!$L$38,IF(Q68=Цены!$H$39,Цены!$L$39,IF(Q68=Цены!$H$40,Цены!$L$40,IF(Q68=Цены!$H$41,Цены!$L$41,IF(Q68=Цены!$H$42,Цены!$L$42,IF(Q68=Цены!$H$43,Цены!$L$43,IF(Q68=Цены!$H$44,Цены!$L$44,IF(Q68=Цены!$H$45,Цены!$L$45,IF(Q68=Цены!$H$46,Цены!$L$46,IF(Q68=Цены!$H$47,Цены!$L$47,IF(Q68=Цены!$H$48,Цены!$L$48,IF(Q68=Цены!$H$49,Цены!$L$49,IF(Q68=Цены!$H$50,Цены!$L$50,IF(Q68=Цены!$H$51,Цены!$L$51,IF(Q68=Цены!$H$52,Цены!$L$52,IF(Q68=Цены!$H$53,Цены!$L$53,IF(Q68=Цены!$H$54,Цены!$L$54,IF(Q68=Цены!$H$55,Цены!$L$55))))))))))))))))))))))))))))))))))))))))))))))))))))))</f>
        <v>0.64</v>
      </c>
      <c r="T68" s="309"/>
      <c r="U68" s="162">
        <f>IF(Q68=Цены!$H$3,Цены!$K$3,IF(Q68=Цены!$H$4,Цены!$K$4,IF(Q68=Цены!$H$5,Цены!$K$5,IF(Q68=Цены!$H$6,Цены!$K$6,IF(Q68=Цены!$H$7,Цены!$K$7,IF(Q68=Цены!$H$8,Цены!$K$8,IF(Q68=Цены!$H$9,Цены!$K$9,IF(Q68=Цены!$H$10,Цены!$K$10,IF(Q68=Цены!$H$11,Цены!$K$11,IF(Q68=Цены!$H$12,Цены!$K$12,IF(Q68=Цены!$H$13,Цены!$K$13,IF(Q68=Цены!$H$14,Цены!$K$14,IF(Q68=Цены!$H$14,Цены!$K$14,IF(Q68=Цены!$H$15,Цены!$K$15,IF(Q68=Цены!$H$16,Цены!$K$16,IF(Q68=Цены!$H$17,Цены!$K$17,IF(Q68=Цены!$H$18,Цены!$K$18,IF(Q68=Цены!$H$19,Цены!$K$19,IF(Q68=Цены!$H$20,Цены!$K$20,IF(Q68=Цены!$H$21,Цены!$K$21,IF(Q68=Цены!$H$22,Цены!$K$22,IF(Q68=Цены!$H$23,Цены!$K$23,IF(Q68=Цены!$H$24,Цены!$K$24,IF(Q68=Цены!$H$25,Цены!$K$25,IF(Q68=Цены!$H$26,Цены!$K$26,IF(Q68=Цены!$H$27,Цены!$K$27,IF(Q68=Цены!$H$28,Цены!$K$28,IF(Q68=Цены!$H$29,Цены!$K$29,IF(Q68=Цены!$H$30,Цены!$K$30,IF(Q68=Цены!$H$31,Цены!$K$31,IF(Q68=Цены!$H$32,Цены!$K$32,IF(Q68=Цены!$H$33,Цены!$K$33,IF(Q68=Цены!$H$34,Цены!$K$34,IF(Q68=Цены!$H$35,Цены!$K$35,IF(Q68=Цены!$H$36,Цены!$K$36,IF(Q68=Цены!$H$37,Цены!$K$37,IF(Q68=Цены!$H$38,Цены!$K$38,IF(Q68=Цены!$H$39,Цены!$K$39,IF(Q68=Цены!$H$40,Цены!$K$40,IF(Q68=Цены!$H$41,Цены!$K$41,IF(Q68=Цены!$H$42,Цены!$K$42,IF(Q68=Цены!$H$43,Цены!$K$43,IF(Q68=Цены!$H$44,Цены!$K$44,IF(Q68=Цены!$H$45,Цены!$K$45,IF(Q68=Цены!$H$46,Цены!$K$46,IF(Q68=Цены!$H$47,Цены!$K$47,IF(Q68=Цены!$H$48,Цены!$K$48,IF(Q68=Цены!$H$49,Цены!$K$49,IF(Q68=Цены!$H$50,Цены!$K$50,IF(Q68=Цены!$H$51,Цены!$K$51,IF(Q68=Цены!$H$52,Цены!$K$52,IF(Q68=Цены!$H$53,Цены!$K$53,IF(Q68=Цены!$H$54,Цены!$K$54,IF(Q68=Цены!$H$55,Цены!$K$55))))))))))))))))))))))))))))))))))))))))))))))))))))))</f>
        <v>312</v>
      </c>
      <c r="V68" s="265"/>
      <c r="W68" s="265"/>
      <c r="X68" s="266"/>
      <c r="Y68" s="267"/>
      <c r="Z68" s="267"/>
      <c r="AA68" s="320"/>
      <c r="AB68" s="310"/>
      <c r="AC68" s="270"/>
      <c r="AD68" s="172" t="s">
        <v>70</v>
      </c>
      <c r="AE68" s="30">
        <v>4</v>
      </c>
      <c r="AF68" s="27">
        <f>IF(AD68=Цены!$H$3,Цены!$L$3,IF(AD68=Цены!$H$4,Цены!$L$4,IF(AD68=Цены!$H$5,Цены!$L$5,IF(AD68=Цены!$H$6,Цены!$L$6,IF(AD68=Цены!$H$7,Цены!$L$7,IF(AD68=Цены!$H$8,Цены!$L$8,IF(AD68=Цены!$H$9,Цены!$L$9,IF(AD68=Цены!$H$10,Цены!$L$10,IF(AD68=Цены!$H$11,Цены!$L$11,IF(AD68=Цены!$H$12,Цены!$L$12,IF(AD68=Цены!$H$13,Цены!$L$13,IF(AD68=Цены!$H$14,Цены!$L$14,IF(AD68=Цены!$H$14,Цены!$L$14,IF(AD68=Цены!$H$15,Цены!$L$15,IF(AD68=Цены!$H$16,Цены!$L$16,IF(AD68=Цены!$H$17,Цены!$L$17,IF(AD68=Цены!$H$18,Цены!$L$18,IF(AD68=Цены!$H$19,Цены!$L$19,IF(AD68=Цены!$H$20,Цены!$L$20,IF(AD68=Цены!$H$21,Цены!$L$21,IF(AD68=Цены!$H$22,Цены!$L$22,IF(AD68=Цены!$H$23,Цены!$L$23,IF(AD68=Цены!$H$24,Цены!$L$24,IF(AD68=Цены!$H$25,Цены!$L$25,IF(AD68=Цены!$H$26,Цены!$L$26,IF(AD68=Цены!$H$27,Цены!$L$27,IF(AD68=Цены!$H$28,Цены!$L$28,IF(AD68=Цены!$H$29,Цены!$L$29,IF(AD68=Цены!$H$30,Цены!$L$30,IF(AD68=Цены!$H$31,Цены!$L$31,IF(AD68=Цены!$H$32,Цены!$L$32,IF(AD68=Цены!$H$33,Цены!$L$33,IF(AD68=Цены!$H$34,Цены!$L$34,IF(AD68=Цены!$H$35,Цены!$L$35,IF(AD68=Цены!$H$36,Цены!$L$36,IF(AD68=Цены!$H$37,Цены!$L$37,IF(AD68=Цены!$H$38,Цены!$L$38,IF(AD68=Цены!$H$39,Цены!$L$39,IF(AD68=Цены!$H$40,Цены!$L$40,IF(AD68=Цены!$H$41,Цены!$L$41,IF(AD68=Цены!$H$42,Цены!$L$42,IF(AD68=Цены!$H$43,Цены!$L$43,IF(AD68=Цены!$H$44,Цены!$L$44,IF(AD68=Цены!$H$45,Цены!$L$45,IF(AD68=Цены!$H$46,Цены!$L$46,IF(AD68=Цены!$H$47,Цены!$L$47,IF(AD68=Цены!$H$48,Цены!$L$48,IF(AD68=Цены!$H$49,Цены!$L$49,IF(AD68=Цены!$H$50,Цены!$L$50,IF(AD68=Цены!$H$51,Цены!$L$51,IF(AD68=Цены!$H$52,Цены!$L$52,IF(AD68=Цены!$H$53,Цены!$L$53,IF(AD68=Цены!$H$54,Цены!$L$54,IF(AD68=Цены!$H$55,Цены!$L$55))))))))))))))))))))))))))))))))))))))))))))))))))))))</f>
        <v>2.4</v>
      </c>
      <c r="AG68" s="309"/>
      <c r="AH68" s="28">
        <f>IF(AD68=Цены!$H$3,Цены!$K$3,IF(AD68=Цены!$H$4,Цены!$K$4,IF(AD68=Цены!$H$5,Цены!$K$5,IF(AD68=Цены!$H$6,Цены!$K$6,IF(AD68=Цены!$H$7,Цены!$K$7,IF(AD68=Цены!$H$8,Цены!$K$8,IF(AD68=Цены!$H$9,Цены!$K$9,IF(AD68=Цены!$H$10,Цены!$K$10,IF(AD68=Цены!$H$11,Цены!$K$11,IF(AD68=Цены!$H$12,Цены!$K$12,IF(AD68=Цены!$H$13,Цены!$K$13,IF(AD68=Цены!$H$14,Цены!$K$14,IF(AD68=Цены!$H$14,Цены!$K$14,IF(AD68=Цены!$H$15,Цены!$K$15,IF(AD68=Цены!$H$16,Цены!$K$16,IF(AD68=Цены!$H$17,Цены!$K$17,IF(AD68=Цены!$H$18,Цены!$K$18,IF(AD68=Цены!$H$19,Цены!$K$19,IF(AD68=Цены!$H$20,Цены!$K$20,IF(AD68=Цены!$H$21,Цены!$K$21,IF(AD68=Цены!$H$22,Цены!$K$22,IF(AD68=Цены!$H$23,Цены!$K$23,IF(AD68=Цены!$H$24,Цены!$K$24,IF(AD68=Цены!$H$25,Цены!$K$25,IF(AD68=Цены!$H$26,Цены!$K$26,IF(AD68=Цены!$H$27,Цены!$K$27,IF(AD68=Цены!$H$28,Цены!$K$28,IF(AD68=Цены!$H$29,Цены!$K$29,IF(AD68=Цены!$H$30,Цены!$K$30,IF(AD68=Цены!$H$31,Цены!$K$31,IF(AD68=Цены!$H$32,Цены!$K$32,IF(AD68=Цены!$H$33,Цены!$K$33,IF(AD68=Цены!$H$34,Цены!$K$34,IF(AD68=Цены!$H$35,Цены!$K$35,IF(AD68=Цены!$H$36,Цены!$K$36,IF(AD68=Цены!$H$37,Цены!$K$37,IF(AD68=Цены!$H$38,Цены!$K$38,IF(AD68=Цены!$H$39,Цены!$K$39,IF(AD68=Цены!$H$40,Цены!$K$40,IF(AD68=Цены!$H$41,Цены!$K$41,IF(AD68=Цены!$H$42,Цены!$K$42,IF(AD68=Цены!$H$43,Цены!$K$43,IF(AD68=Цены!$H$44,Цены!$K$44,IF(AD68=Цены!$H$45,Цены!$K$45,IF(AD68=Цены!$H$46,Цены!$K$46,IF(AD68=Цены!$H$47,Цены!$K$47,IF(AD68=Цены!$H$48,Цены!$K$48,IF(AD68=Цены!$H$49,Цены!$K$49,IF(AD68=Цены!$H$50,Цены!$K$50,IF(AD68=Цены!$H$51,Цены!$K$51,IF(AD68=Цены!$H$52,Цены!$K$52,IF(AD68=Цены!$H$53,Цены!$K$53,IF(AD68=Цены!$H$54,Цены!$K$54,IF(AD68=Цены!$H$55,Цены!$K$55))))))))))))))))))))))))))))))))))))))))))))))))))))))</f>
        <v>469</v>
      </c>
      <c r="AI68" s="265"/>
      <c r="AJ68" s="265"/>
      <c r="AK68" s="266"/>
      <c r="AL68" s="267"/>
      <c r="AM68" s="267"/>
      <c r="AN68" s="268"/>
      <c r="AO68" s="310"/>
      <c r="AP68" s="270"/>
      <c r="AQ68" s="209" t="s">
        <v>144</v>
      </c>
      <c r="AR68" s="129">
        <v>3</v>
      </c>
      <c r="AS68" s="33">
        <f>IF(AQ68=Цены!$H$3,Цены!$L$3,IF(AQ68=Цены!$H$4,Цены!$L$4,IF(AQ68=Цены!$H$5,Цены!$L$5,IF(AQ68=Цены!$H$6,Цены!$L$6,IF(AQ68=Цены!$H$7,Цены!$L$7,IF(AQ68=Цены!$H$8,Цены!$L$8,IF(AQ68=Цены!$H$9,Цены!$L$9,IF(AQ68=Цены!$H$10,Цены!$L$10,IF(AQ68=Цены!$H$11,Цены!$L$11,IF(AQ68=Цены!$H$12,Цены!$L$12,IF(AQ68=Цены!$H$13,Цены!$L$13,IF(AQ68=Цены!$H$14,Цены!$L$14,IF(AQ68=Цены!$H$14,Цены!$L$14,IF(AQ68=Цены!$H$15,Цены!$L$15,IF(AQ68=Цены!$H$16,Цены!$L$16,IF(AQ68=Цены!$H$17,Цены!$L$17,IF(AQ68=Цены!$H$18,Цены!$L$18,IF(AQ68=Цены!$H$19,Цены!$L$19,IF(AQ68=Цены!$H$20,Цены!$L$20,IF(AQ68=Цены!$H$21,Цены!$L$21,IF(AQ68=Цены!$H$22,Цены!$L$22,IF(AQ68=Цены!$H$23,Цены!$L$23,IF(AQ68=Цены!$H$24,Цены!$L$24,IF(AQ68=Цены!$H$25,Цены!$L$25,IF(AQ68=Цены!$H$26,Цены!$L$26,IF(AQ68=Цены!$H$27,Цены!$L$27,IF(AQ68=Цены!$H$28,Цены!$L$28,IF(AQ68=Цены!$H$29,Цены!$L$29,IF(AQ68=Цены!$H$30,Цены!$L$30,IF(AQ68=Цены!$H$31,Цены!$L$31,IF(AQ68=Цены!$H$32,Цены!$L$32,IF(AQ68=Цены!$H$33,Цены!$L$33,IF(AQ68=Цены!$H$34,Цены!$L$34,IF(AQ68=Цены!$H$35,Цены!$L$35,IF(AQ68=Цены!$H$36,Цены!$L$36,IF(AQ68=Цены!$H$37,Цены!$L$37,IF(AQ68=Цены!$H$38,Цены!$L$38,IF(AQ68=Цены!$H$39,Цены!$L$39,IF(AQ68=Цены!$H$40,Цены!$L$40,IF(AQ68=Цены!$H$41,Цены!$L$41,IF(AQ68=Цены!$H$42,Цены!$L$42,IF(AQ68=Цены!$H$43,Цены!$L$43,IF(AQ68=Цены!$H$44,Цены!$L$44,IF(AQ68=Цены!$H$45,Цены!$L$45,IF(AQ68=Цены!$H$46,Цены!$L$46,IF(AQ68=Цены!$H$47,Цены!$L$47,IF(AQ68=Цены!$H$48,Цены!$L$48,IF(AQ68=Цены!$H$49,Цены!$L$49,IF(AQ68=Цены!$H$50,Цены!$L$50,IF(AQ68=Цены!$H$51,Цены!$L$51,IF(AQ68=Цены!$H$52,Цены!$L$52,IF(AQ68=Цены!$H$53,Цены!$L$53,IF(AQ68=Цены!$H$54,Цены!$L$54,IF(AQ68=Цены!$H$55,Цены!$L$55))))))))))))))))))))))))))))))))))))))))))))))))))))))</f>
        <v>0.19</v>
      </c>
      <c r="AT68" s="276"/>
      <c r="AU68" s="34">
        <f>IF(AQ68=Цены!$H$3,Цены!$K$3,IF(AQ68=Цены!$H$4,Цены!$K$4,IF(AQ68=Цены!$H$5,Цены!$K$5,IF(AQ68=Цены!$H$6,Цены!$K$6,IF(AQ68=Цены!$H$7,Цены!$K$7,IF(AQ68=Цены!$H$8,Цены!$K$8,IF(AQ68=Цены!$H$9,Цены!$K$9,IF(AQ68=Цены!$H$10,Цены!$K$10,IF(AQ68=Цены!$H$11,Цены!$K$11,IF(AQ68=Цены!$H$12,Цены!$K$12,IF(AQ68=Цены!$H$13,Цены!$K$13,IF(AQ68=Цены!$H$14,Цены!$K$14,IF(AQ68=Цены!$H$14,Цены!$K$14,IF(AQ68=Цены!$H$15,Цены!$K$15,IF(AQ68=Цены!$H$16,Цены!$K$16,IF(AQ68=Цены!$H$17,Цены!$K$17,IF(AQ68=Цены!$H$18,Цены!$K$18,IF(AQ68=Цены!$H$19,Цены!$K$19,IF(AQ68=Цены!$H$20,Цены!$K$20,IF(AQ68=Цены!$H$21,Цены!$K$21,IF(AQ68=Цены!$H$22,Цены!$K$22,IF(AQ68=Цены!$H$23,Цены!$K$23,IF(AQ68=Цены!$H$24,Цены!$K$24,IF(AQ68=Цены!$H$25,Цены!$K$25,IF(AQ68=Цены!$H$26,Цены!$K$26,IF(AQ68=Цены!$H$27,Цены!$K$27,IF(AQ68=Цены!$H$28,Цены!$K$28,IF(AQ68=Цены!$H$29,Цены!$K$29,IF(AQ68=Цены!$H$30,Цены!$K$30,IF(AQ68=Цены!$H$31,Цены!$K$31,IF(AQ68=Цены!$H$32,Цены!$K$32,IF(AQ68=Цены!$H$33,Цены!$K$33,IF(AQ68=Цены!$H$34,Цены!$K$34,IF(AQ68=Цены!$H$35,Цены!$K$35,IF(AQ68=Цены!$H$36,Цены!$K$36,IF(AQ68=Цены!$H$37,Цены!$K$37,IF(AQ68=Цены!$H$38,Цены!$K$38,IF(AQ68=Цены!$H$39,Цены!$K$39,IF(AQ68=Цены!$H$40,Цены!$K$40,IF(AQ68=Цены!$H$41,Цены!$K$41,IF(AQ68=Цены!$H$42,Цены!$K$42,IF(AQ68=Цены!$H$43,Цены!$K$43,IF(AQ68=Цены!$H$44,Цены!$K$44,IF(AQ68=Цены!$H$45,Цены!$K$45,IF(AQ68=Цены!$H$46,Цены!$K$46,IF(AQ68=Цены!$H$47,Цены!$K$47,IF(AQ68=Цены!$H$48,Цены!$K$48,IF(AQ68=Цены!$H$49,Цены!$K$49,IF(AQ68=Цены!$H$50,Цены!$K$50,IF(AQ68=Цены!$H$51,Цены!$K$51,IF(AQ68=Цены!$H$52,Цены!$K$52,IF(AQ68=Цены!$H$53,Цены!$K$53,IF(AQ68=Цены!$H$54,Цены!$K$54,IF(AQ68=Цены!$H$55,Цены!$K$55))))))))))))))))))))))))))))))))))))))))))))))))))))))</f>
        <v>448</v>
      </c>
      <c r="AV68" s="265"/>
      <c r="AW68" s="265"/>
      <c r="AX68" s="266"/>
      <c r="AY68" s="267"/>
      <c r="AZ68" s="267"/>
      <c r="BA68" s="268"/>
      <c r="BB68" s="269"/>
      <c r="BC68" s="270"/>
      <c r="BD68" s="259"/>
      <c r="BE68" s="209" t="s">
        <v>144</v>
      </c>
      <c r="BF68" s="71">
        <v>4</v>
      </c>
      <c r="BG68" s="33">
        <f>IF(BE68=Цены!$H$3,Цены!$L$3,IF(BE68=Цены!$H$4,Цены!$L$4,IF(BE68=Цены!$H$5,Цены!$L$5,IF(BE68=Цены!$H$6,Цены!$L$6,IF(BE68=Цены!$H$7,Цены!$L$7,IF(BE68=Цены!$H$8,Цены!$L$8,IF(BE68=Цены!$H$9,Цены!$L$9,IF(BE68=Цены!$H$10,Цены!$L$10,IF(BE68=Цены!$H$11,Цены!$L$11,IF(BE68=Цены!$H$12,Цены!$L$12,IF(BE68=Цены!$H$13,Цены!$L$13,IF(BE68=Цены!$H$14,Цены!$L$14,IF(BE68=Цены!$H$14,Цены!$L$14,IF(BE68=Цены!$H$15,Цены!$L$15,IF(BE68=Цены!$H$16,Цены!$L$16,IF(BE68=Цены!$H$17,Цены!$L$17,IF(BE68=Цены!$H$18,Цены!$L$18,IF(BE68=Цены!$H$19,Цены!$L$19,IF(BE68=Цены!$H$20,Цены!$L$20,IF(BE68=Цены!$H$21,Цены!$L$21,IF(BE68=Цены!$H$22,Цены!$L$22,IF(BE68=Цены!$H$23,Цены!$L$23,IF(BE68=Цены!$H$24,Цены!$L$24,IF(BE68=Цены!$H$25,Цены!$L$25,IF(BE68=Цены!$H$26,Цены!$L$26,IF(BE68=Цены!$H$27,Цены!$L$27,IF(BE68=Цены!$H$28,Цены!$L$28,IF(BE68=Цены!$H$29,Цены!$L$29,IF(BE68=Цены!$H$30,Цены!$L$30,IF(BE68=Цены!$H$31,Цены!$L$31,IF(BE68=Цены!$H$32,Цены!$L$32,IF(BE68=Цены!$H$33,Цены!$L$33,IF(BE68=Цены!$H$34,Цены!$L$34,IF(BE68=Цены!$H$35,Цены!$L$35,IF(BE68=Цены!$H$36,Цены!$L$36,IF(BE68=Цены!$H$37,Цены!$L$37,IF(BE68=Цены!$H$38,Цены!$L$38,IF(BE68=Цены!$H$39,Цены!$L$39,IF(BE68=Цены!$H$40,Цены!$L$40,IF(BE68=Цены!$H$41,Цены!$L$41,IF(BE68=Цены!$H$42,Цены!$L$42,IF(BE68=Цены!$H$43,Цены!$L$43,IF(BE68=Цены!$H$44,Цены!$L$44,IF(BE68=Цены!$H$45,Цены!$L$45,IF(BE68=Цены!$H$46,Цены!$L$46,IF(BE68=Цены!$H$47,Цены!$L$47,IF(BE68=Цены!$H$48,Цены!$L$48,IF(BE68=Цены!$H$49,Цены!$L$49,IF(BE68=Цены!$H$50,Цены!$L$50,IF(BE68=Цены!$H$51,Цены!$L$51,IF(BE68=Цены!$H$52,Цены!$L$52,IF(BE68=Цены!$H$53,Цены!$L$53,IF(BE68=Цены!$H$54,Цены!$L$54,IF(BE68=Цены!$H$55,Цены!$L$55))))))))))))))))))))))))))))))))))))))))))))))))))))))</f>
        <v>0.19</v>
      </c>
      <c r="BH68" s="276"/>
      <c r="BI68" s="34">
        <f>IF(BE68=Цены!$H$3,Цены!$K$3,IF(BE68=Цены!$H$4,Цены!$K$4,IF(BE68=Цены!$H$5,Цены!$K$5,IF(BE68=Цены!$H$6,Цены!$K$6,IF(BE68=Цены!$H$7,Цены!$K$7,IF(BE68=Цены!$H$8,Цены!$K$8,IF(BE68=Цены!$H$9,Цены!$K$9,IF(BE68=Цены!$H$10,Цены!$K$10,IF(BE68=Цены!$H$11,Цены!$K$11,IF(BE68=Цены!$H$12,Цены!$K$12,IF(BE68=Цены!$H$13,Цены!$K$13,IF(BE68=Цены!$H$14,Цены!$K$14,IF(BE68=Цены!$H$14,Цены!$K$14,IF(BE68=Цены!$H$15,Цены!$K$15,IF(BE68=Цены!$H$16,Цены!$K$16,IF(BE68=Цены!$H$17,Цены!$K$17,IF(BE68=Цены!$H$18,Цены!$K$18,IF(BE68=Цены!$H$19,Цены!$K$19,IF(BE68=Цены!$H$20,Цены!$K$20,IF(BE68=Цены!$H$21,Цены!$K$21,IF(BE68=Цены!$H$22,Цены!$K$22,IF(BE68=Цены!$H$23,Цены!$K$23,IF(BE68=Цены!$H$24,Цены!$K$24,IF(BE68=Цены!$H$25,Цены!$K$25,IF(BE68=Цены!$H$26,Цены!$K$26,IF(BE68=Цены!$H$27,Цены!$K$27,IF(BE68=Цены!$H$28,Цены!$K$28,IF(BE68=Цены!$H$29,Цены!$K$29,IF(BE68=Цены!$H$30,Цены!$K$30,IF(BE68=Цены!$H$31,Цены!$K$31,IF(BE68=Цены!$H$32,Цены!$K$32,IF(BE68=Цены!$H$33,Цены!$K$33,IF(BE68=Цены!$H$34,Цены!$K$34,IF(BE68=Цены!$H$35,Цены!$K$35,IF(BE68=Цены!$H$36,Цены!$K$36,IF(BE68=Цены!$H$37,Цены!$K$37,IF(BE68=Цены!$H$38,Цены!$K$38,IF(BE68=Цены!$H$39,Цены!$K$39,IF(BE68=Цены!$H$40,Цены!$K$40,IF(BE68=Цены!$H$41,Цены!$K$41,IF(BE68=Цены!$H$42,Цены!$K$42,IF(BE68=Цены!$H$43,Цены!$K$43,IF(BE68=Цены!$H$44,Цены!$K$44,IF(BE68=Цены!$H$45,Цены!$K$45,IF(BE68=Цены!$H$46,Цены!$K$46,IF(BE68=Цены!$H$47,Цены!$K$47,IF(BE68=Цены!$H$48,Цены!$K$48,IF(BE68=Цены!$H$49,Цены!$K$49,IF(BE68=Цены!$H$50,Цены!$K$50,IF(BE68=Цены!$H$51,Цены!$K$51,IF(BE68=Цены!$H$52,Цены!$K$52,IF(BE68=Цены!$H$53,Цены!$K$53,IF(BE68=Цены!$H$54,Цены!$K$54,IF(BE68=Цены!$H$55,Цены!$K$55))))))))))))))))))))))))))))))))))))))))))))))))))))))</f>
        <v>448</v>
      </c>
      <c r="BJ68" s="265"/>
      <c r="BK68" s="265"/>
      <c r="BL68" s="266"/>
      <c r="BM68" s="267"/>
      <c r="BN68" s="267"/>
      <c r="BO68" s="268"/>
      <c r="BP68" s="269"/>
      <c r="BQ68" s="270"/>
      <c r="BR68" s="213" t="s">
        <v>122</v>
      </c>
      <c r="BS68" s="43">
        <v>2</v>
      </c>
      <c r="BT68" s="33">
        <f>IF(BR68=Цены!$H$3,Цены!$L$3,IF(BR68=Цены!$H$4,Цены!$L$4,IF(BR68=Цены!$H$5,Цены!$L$5,IF(BR68=Цены!$H$6,Цены!$L$6,IF(BR68=Цены!$H$7,Цены!$L$7,IF(BR68=Цены!$H$8,Цены!$L$8,IF(BR68=Цены!$H$9,Цены!$L$9,IF(BR68=Цены!$H$10,Цены!$L$10,IF(BR68=Цены!$H$11,Цены!$L$11,IF(BR68=Цены!$H$12,Цены!$L$12,IF(BR68=Цены!$H$13,Цены!$L$13,IF(BR68=Цены!$H$14,Цены!$L$14,IF(BR68=Цены!$H$14,Цены!$L$14,IF(BR68=Цены!$H$15,Цены!$L$15,IF(BR68=Цены!$H$16,Цены!$L$16,IF(BR68=Цены!$H$17,Цены!$L$17,IF(BR68=Цены!$H$18,Цены!$L$18,IF(BR68=Цены!$H$19,Цены!$L$19,IF(BR68=Цены!$H$20,Цены!$L$20,IF(BR68=Цены!$H$21,Цены!$L$21,IF(BR68=Цены!$H$22,Цены!$L$22,IF(BR68=Цены!$H$23,Цены!$L$23,IF(BR68=Цены!$H$24,Цены!$L$24,IF(BR68=Цены!$H$25,Цены!$L$25,IF(BR68=Цены!$H$26,Цены!$L$26,IF(BR68=Цены!$H$27,Цены!$L$27,IF(BR68=Цены!$H$28,Цены!$L$28,IF(BR68=Цены!$H$29,Цены!$L$29,IF(BR68=Цены!$H$30,Цены!$L$30,IF(BR68=Цены!$H$31,Цены!$L$31,IF(BR68=Цены!$H$32,Цены!$L$32,IF(BR68=Цены!$H$33,Цены!$L$33,IF(BR68=Цены!$H$34,Цены!$L$34,IF(BR68=Цены!$H$35,Цены!$L$35,IF(BR68=Цены!$H$36,Цены!$L$36,IF(BR68=Цены!$H$37,Цены!$L$37,IF(BR68=Цены!$H$38,Цены!$L$38,IF(BR68=Цены!$H$39,Цены!$L$39,IF(BR68=Цены!$H$40,Цены!$L$40,IF(BR68=Цены!$H$41,Цены!$L$41,IF(BR68=Цены!$H$42,Цены!$L$42,IF(BR68=Цены!$H$43,Цены!$L$43,IF(BR68=Цены!$H$44,Цены!$L$44,IF(BR68=Цены!$H$45,Цены!$L$45,IF(BR68=Цены!$H$46,Цены!$L$46,IF(BR68=Цены!$H$47,Цены!$L$47,IF(BR68=Цены!$H$48,Цены!$L$48,IF(BR68=Цены!$H$49,Цены!$L$49,IF(BR68=Цены!$H$50,Цены!$L$50,IF(BR68=Цены!$H$51,Цены!$L$51,IF(BR68=Цены!$H$52,Цены!$L$52,IF(BR68=Цены!$H$53,Цены!$L$53,IF(BR68=Цены!$H$54,Цены!$L$54,IF(BR68=Цены!$H$55,Цены!$L$55))))))))))))))))))))))))))))))))))))))))))))))))))))))</f>
        <v>0.6</v>
      </c>
      <c r="BU68" s="276"/>
      <c r="BV68" s="34">
        <f>IF(BR68=Цены!$H$3,Цены!$K$3,IF(BR68=Цены!$H$4,Цены!$K$4,IF(BR68=Цены!$H$5,Цены!$K$5,IF(BR68=Цены!$H$6,Цены!$K$6,IF(BR68=Цены!$H$7,Цены!$K$7,IF(BR68=Цены!$H$8,Цены!$K$8,IF(BR68=Цены!$H$9,Цены!$K$9,IF(BR68=Цены!$H$10,Цены!$K$10,IF(BR68=Цены!$H$11,Цены!$K$11,IF(BR68=Цены!$H$12,Цены!$K$12,IF(BR68=Цены!$H$13,Цены!$K$13,IF(BR68=Цены!$H$14,Цены!$K$14,IF(BR68=Цены!$H$14,Цены!$K$14,IF(BR68=Цены!$H$15,Цены!$K$15,IF(BR68=Цены!$H$16,Цены!$K$16,IF(BR68=Цены!$H$17,Цены!$K$17,IF(BR68=Цены!$H$18,Цены!$K$18,IF(BR68=Цены!$H$19,Цены!$K$19,IF(BR68=Цены!$H$20,Цены!$K$20,IF(BR68=Цены!$H$21,Цены!$K$21,IF(BR68=Цены!$H$22,Цены!$K$22,IF(BR68=Цены!$H$23,Цены!$K$23,IF(BR68=Цены!$H$24,Цены!$K$24,IF(BR68=Цены!$H$25,Цены!$K$25,IF(BR68=Цены!$H$26,Цены!$K$26,IF(BR68=Цены!$H$27,Цены!$K$27,IF(BR68=Цены!$H$28,Цены!$K$28,IF(BR68=Цены!$H$29,Цены!$K$29,IF(BR68=Цены!$H$30,Цены!$K$30,IF(BR68=Цены!$H$31,Цены!$K$31,IF(BR68=Цены!$H$32,Цены!$K$32,IF(BR68=Цены!$H$33,Цены!$K$33,IF(BR68=Цены!$H$34,Цены!$K$34,IF(BR68=Цены!$H$35,Цены!$K$35,IF(BR68=Цены!$H$36,Цены!$K$36,IF(BR68=Цены!$H$37,Цены!$K$37,IF(BR68=Цены!$H$38,Цены!$K$38,IF(BR68=Цены!$H$39,Цены!$K$39,IF(BR68=Цены!$H$40,Цены!$K$40,IF(BR68=Цены!$H$41,Цены!$K$41,IF(BR68=Цены!$H$42,Цены!$K$42,IF(BR68=Цены!$H$43,Цены!$K$43,IF(BR68=Цены!$H$44,Цены!$K$44,IF(BR68=Цены!$H$45,Цены!$K$45,IF(BR68=Цены!$H$46,Цены!$K$46,IF(BR68=Цены!$H$47,Цены!$K$47,IF(BR68=Цены!$H$48,Цены!$K$48,IF(BR68=Цены!$H$49,Цены!$K$49,IF(BR68=Цены!$H$50,Цены!$K$50,IF(BR68=Цены!$H$51,Цены!$K$51,IF(BR68=Цены!$H$52,Цены!$K$52,IF(BR68=Цены!$H$53,Цены!$K$53,IF(BR68=Цены!$H$54,Цены!$K$54,IF(BR68=Цены!$H$55,Цены!$K$55))))))))))))))))))))))))))))))))))))))))))))))))))))))</f>
        <v>166</v>
      </c>
      <c r="BW68" s="265"/>
      <c r="BX68" s="265"/>
      <c r="BY68" s="266"/>
      <c r="BZ68" s="267"/>
      <c r="CA68" s="267"/>
      <c r="CB68" s="268"/>
      <c r="CC68" s="269"/>
      <c r="CD68" s="270"/>
      <c r="CE68" s="171" t="s">
        <v>91</v>
      </c>
      <c r="CF68" s="43">
        <v>1</v>
      </c>
      <c r="CG68" s="33">
        <f>IF(CE68=Цены!$H$3,Цены!$L$3,IF(CE68=Цены!$H$4,Цены!$L$4,IF(CE68=Цены!$H$5,Цены!$L$5,IF(CE68=Цены!$H$6,Цены!$L$6,IF(CE68=Цены!$H$7,Цены!$L$7,IF(CE68=Цены!$H$8,Цены!$L$8,IF(CE68=Цены!$H$9,Цены!$L$9,IF(CE68=Цены!$H$10,Цены!$L$10,IF(CE68=Цены!$H$11,Цены!$L$11,IF(CE68=Цены!$H$12,Цены!$L$12,IF(CE68=Цены!$H$13,Цены!$L$13,IF(CE68=Цены!$H$14,Цены!$L$14,IF(CE68=Цены!$H$14,Цены!$L$14,IF(CE68=Цены!$H$15,Цены!$L$15,IF(CE68=Цены!$H$16,Цены!$L$16,IF(CE68=Цены!$H$17,Цены!$L$17,IF(CE68=Цены!$H$18,Цены!$L$18,IF(CE68=Цены!$H$19,Цены!$L$19,IF(CE68=Цены!$H$20,Цены!$L$20,IF(CE68=Цены!$H$21,Цены!$L$21,IF(CE68=Цены!$H$22,Цены!$L$22,IF(CE68=Цены!$H$23,Цены!$L$23,IF(CE68=Цены!$H$24,Цены!$L$24,IF(CE68=Цены!$H$25,Цены!$L$25,IF(CE68=Цены!$H$26,Цены!$L$26,IF(CE68=Цены!$H$27,Цены!$L$27,IF(CE68=Цены!$H$28,Цены!$L$28,IF(CE68=Цены!$H$29,Цены!$L$29,IF(CE68=Цены!$H$30,Цены!$L$30,IF(CE68=Цены!$H$31,Цены!$L$31,IF(CE68=Цены!$H$32,Цены!$L$32,IF(CE68=Цены!$H$33,Цены!$L$33,IF(CE68=Цены!$H$34,Цены!$L$34,IF(CE68=Цены!$H$35,Цены!$L$35,IF(CE68=Цены!$H$36,Цены!$L$36,IF(CE68=Цены!$H$37,Цены!$L$37,IF(CE68=Цены!$H$38,Цены!$L$38,IF(CE68=Цены!$H$39,Цены!$L$39,IF(CE68=Цены!$H$40,Цены!$L$40,IF(CE68=Цены!$H$41,Цены!$L$41,IF(CE68=Цены!$H$42,Цены!$L$42,IF(CE68=Цены!$H$43,Цены!$L$43,IF(CE68=Цены!$H$44,Цены!$L$44,IF(CE68=Цены!$H$45,Цены!$L$45,IF(CE68=Цены!$H$46,Цены!$L$46,IF(CE68=Цены!$H$47,Цены!$L$47,IF(CE68=Цены!$H$48,Цены!$L$48,IF(CE68=Цены!$H$49,Цены!$L$49,IF(CE68=Цены!$H$50,Цены!$L$50,IF(CE68=Цены!$H$51,Цены!$L$51,IF(CE68=Цены!$H$52,Цены!$L$52,IF(CE68=Цены!$H$53,Цены!$L$53,IF(CE68=Цены!$H$54,Цены!$L$54,IF(CE68=Цены!$H$55,Цены!$L$55))))))))))))))))))))))))))))))))))))))))))))))))))))))</f>
        <v>0.19</v>
      </c>
      <c r="CH68" s="276"/>
      <c r="CI68" s="34">
        <f>IF(CE68=Цены!$H$3,Цены!$K$3,IF(CE68=Цены!$H$4,Цены!$K$4,IF(CE68=Цены!$H$5,Цены!$K$5,IF(CE68=Цены!$H$6,Цены!$K$6,IF(CE68=Цены!$H$7,Цены!$K$7,IF(CE68=Цены!$H$8,Цены!$K$8,IF(CE68=Цены!$H$9,Цены!$K$9,IF(CE68=Цены!$H$10,Цены!$K$10,IF(CE68=Цены!$H$11,Цены!$K$11,IF(CE68=Цены!$H$12,Цены!$K$12,IF(CE68=Цены!$H$13,Цены!$K$13,IF(CE68=Цены!$H$14,Цены!$K$14,IF(CE68=Цены!$H$14,Цены!$K$14,IF(CE68=Цены!$H$15,Цены!$K$15,IF(CE68=Цены!$H$16,Цены!$K$16,IF(CE68=Цены!$H$17,Цены!$K$17,IF(CE68=Цены!$H$18,Цены!$K$18,IF(CE68=Цены!$H$19,Цены!$K$19,IF(CE68=Цены!$H$20,Цены!$K$20,IF(CE68=Цены!$H$21,Цены!$K$21,IF(CE68=Цены!$H$22,Цены!$K$22,IF(CE68=Цены!$H$23,Цены!$K$23,IF(CE68=Цены!$H$24,Цены!$K$24,IF(CE68=Цены!$H$25,Цены!$K$25,IF(CE68=Цены!$H$26,Цены!$K$26,IF(CE68=Цены!$H$27,Цены!$K$27,IF(CE68=Цены!$H$28,Цены!$K$28,IF(CE68=Цены!$H$29,Цены!$K$29,IF(CE68=Цены!$H$30,Цены!$K$30,IF(CE68=Цены!$H$31,Цены!$K$31,IF(CE68=Цены!$H$32,Цены!$K$32,IF(CE68=Цены!$H$33,Цены!$K$33,IF(CE68=Цены!$H$34,Цены!$K$34,IF(CE68=Цены!$H$35,Цены!$K$35,IF(CE68=Цены!$H$36,Цены!$K$36,IF(CE68=Цены!$H$37,Цены!$K$37,IF(CE68=Цены!$H$38,Цены!$K$38,IF(CE68=Цены!$H$39,Цены!$K$39,IF(CE68=Цены!$H$40,Цены!$K$40,IF(CE68=Цены!$H$41,Цены!$K$41,IF(CE68=Цены!$H$42,Цены!$K$42,IF(CE68=Цены!$H$43,Цены!$K$43,IF(CE68=Цены!$H$44,Цены!$K$44,IF(CE68=Цены!$H$45,Цены!$K$45,IF(CE68=Цены!$H$46,Цены!$K$46,IF(CE68=Цены!$H$47,Цены!$K$47,IF(CE68=Цены!$H$48,Цены!$K$48,IF(CE68=Цены!$H$49,Цены!$K$49,IF(CE68=Цены!$H$50,Цены!$K$50,IF(CE68=Цены!$H$51,Цены!$K$51,IF(CE68=Цены!$H$52,Цены!$K$52,IF(CE68=Цены!$H$53,Цены!$K$53,IF(CE68=Цены!$H$54,Цены!$K$54,IF(CE68=Цены!$H$55,Цены!$K$55))))))))))))))))))))))))))))))))))))))))))))))))))))))</f>
        <v>448</v>
      </c>
      <c r="CJ68" s="265"/>
      <c r="CK68" s="265"/>
      <c r="CL68" s="266"/>
      <c r="CM68" s="267"/>
      <c r="CN68" s="267"/>
      <c r="CO68" s="268"/>
      <c r="CP68" s="269"/>
      <c r="CQ68" s="270"/>
    </row>
    <row r="69" spans="1:95" x14ac:dyDescent="0.25">
      <c r="A69" s="267"/>
      <c r="B69" s="265"/>
      <c r="C69" s="265"/>
      <c r="D69" s="171" t="s">
        <v>123</v>
      </c>
      <c r="E69" s="167">
        <v>4</v>
      </c>
      <c r="F69" s="27">
        <f>IF(D69=Цены!$H$3,Цены!$L$3,IF(D69=Цены!$H$4,Цены!$L$4,IF(D69=Цены!$H$5,Цены!$L$5,IF(D69=Цены!$H$6,Цены!$L$6,IF(D69=Цены!$H$7,Цены!$L$7,IF(D69=Цены!$H$8,Цены!$L$8,IF(D69=Цены!$H$9,Цены!$L$9,IF(D69=Цены!$H$10,Цены!$L$10,IF(D69=Цены!$H$11,Цены!$L$11,IF(D69=Цены!$H$12,Цены!$L$12,IF(D69=Цены!$H$13,Цены!$L$13,IF(D69=Цены!$H$14,Цены!$L$14,IF(D69=Цены!$H$14,Цены!$L$14,IF(D69=Цены!$H$15,Цены!$L$15,IF(D69=Цены!$H$16,Цены!$L$16,IF(D69=Цены!$H$17,Цены!$L$17,IF(D69=Цены!$H$18,Цены!$L$18,IF(D69=Цены!$H$19,Цены!$L$19,IF(D69=Цены!$H$20,Цены!$L$20,IF(D69=Цены!$H$21,Цены!$L$21,IF(D69=Цены!$H$22,Цены!$L$22,IF(D69=Цены!$H$23,Цены!$L$23,IF(D69=Цены!$H$24,Цены!$L$24,IF(D69=Цены!$H$25,Цены!$L$25,IF(D69=Цены!$H$26,Цены!$L$26,IF(D69=Цены!$H$27,Цены!$L$27,IF(D69=Цены!$H$28,Цены!$L$28,IF(D69=Цены!$H$29,Цены!$L$29,IF(D69=Цены!$H$30,Цены!$L$30,IF(D69=Цены!$H$31,Цены!$L$31,IF(D69=Цены!$H$32,Цены!$L$32,IF(D69=Цены!$H$33,Цены!$L$33,IF(D69=Цены!$H$34,Цены!$L$34,IF(D69=Цены!$H$35,Цены!$L$35,IF(D69=Цены!$H$36,Цены!$L$36,IF(D69=Цены!$H$37,Цены!$L$37,IF(D69=Цены!$H$38,Цены!$L$38,IF(D69=Цены!$H$39,Цены!$L$39,IF(D69=Цены!$H$40,Цены!$L$40,IF(D69=Цены!$H$41,Цены!$L$41,IF(D69=Цены!$H$42,Цены!$L$42,IF(D69=Цены!$H$43,Цены!$L$43,IF(D69=Цены!$H$44,Цены!$L$44,IF(D69=Цены!$H$45,Цены!$L$45,IF(D69=Цены!$H$46,Цены!$L$46,IF(D69=Цены!$H$47,Цены!$L$47,IF(D69=Цены!$H$48,Цены!$L$48,IF(D69=Цены!$H$49,Цены!$L$49,IF(D69=Цены!$H$50,Цены!$L$50,IF(D69=Цены!$H$51,Цены!$L$51,IF(D69=Цены!$H$52,Цены!$L$52,IF(D69=Цены!$H$53,Цены!$L$53,IF(D69=Цены!$H$54,Цены!$L$54,IF(D69=Цены!$H$55,Цены!$L$55))))))))))))))))))))))))))))))))))))))))))))))))))))))</f>
        <v>0.39</v>
      </c>
      <c r="G69" s="309"/>
      <c r="H69" s="28">
        <f>IF(D69=Цены!$H$3,Цены!$K$3,IF(D69=Цены!$H$4,Цены!$K$4,IF(D69=Цены!$H$5,Цены!$K$5,IF(D69=Цены!$H$6,Цены!$K$6,IF(D69=Цены!$H$7,Цены!$K$7,IF(D69=Цены!$H$8,Цены!$K$8,IF(D69=Цены!$H$9,Цены!$K$9,IF(D69=Цены!$H$10,Цены!$K$10,IF(D69=Цены!$H$11,Цены!$K$11,IF(D69=Цены!$H$12,Цены!$K$12,IF(D69=Цены!$H$13,Цены!$K$13,IF(D69=Цены!$H$14,Цены!$K$14,IF(D69=Цены!$H$14,Цены!$K$14,IF(D69=Цены!$H$15,Цены!$K$15,IF(D69=Цены!$H$16,Цены!$K$16,IF(D69=Цены!$H$17,Цены!$K$17,IF(D69=Цены!$H$18,Цены!$K$18,IF(D69=Цены!$H$19,Цены!$K$19,IF(D69=Цены!$H$20,Цены!$K$20,IF(D69=Цены!$H$21,Цены!$K$21,IF(D69=Цены!$H$22,Цены!$K$22,IF(D69=Цены!$H$23,Цены!$K$23,IF(D69=Цены!$H$24,Цены!$K$24,IF(D69=Цены!$H$25,Цены!$K$25,IF(D69=Цены!$H$26,Цены!$K$26,IF(D69=Цены!$H$27,Цены!$K$27,IF(D69=Цены!$H$28,Цены!$K$28,IF(D69=Цены!$H$29,Цены!$K$29,IF(D69=Цены!$H$30,Цены!$K$30,IF(D69=Цены!$H$31,Цены!$K$31,IF(D69=Цены!$H$32,Цены!$K$32,IF(D69=Цены!$H$33,Цены!$K$33,IF(D69=Цены!$H$34,Цены!$K$34,IF(D69=Цены!$H$35,Цены!$K$35,IF(D69=Цены!$H$36,Цены!$K$36,IF(D69=Цены!$H$37,Цены!$K$37,IF(D69=Цены!$H$38,Цены!$K$38,IF(D69=Цены!$H$39,Цены!$K$39,IF(D69=Цены!$H$40,Цены!$K$40,IF(D69=Цены!$H$41,Цены!$K$41,IF(D69=Цены!$H$42,Цены!$K$42,IF(D69=Цены!$H$43,Цены!$K$43,IF(D69=Цены!$H$44,Цены!$K$44,IF(D69=Цены!$H$45,Цены!$K$45,IF(D69=Цены!$H$46,Цены!$K$46,IF(D69=Цены!$H$47,Цены!$K$47,IF(D69=Цены!$H$48,Цены!$K$48,IF(D69=Цены!$H$49,Цены!$K$49,IF(D69=Цены!$H$50,Цены!$K$50,IF(D69=Цены!$H$51,Цены!$K$51,IF(D69=Цены!$H$52,Цены!$K$52,IF(D69=Цены!$H$53,Цены!$K$53,IF(D69=Цены!$H$54,Цены!$K$54,IF(D69=Цены!$H$55,Цены!$K$55))))))))))))))))))))))))))))))))))))))))))))))))))))))</f>
        <v>624</v>
      </c>
      <c r="I69" s="265"/>
      <c r="J69" s="265"/>
      <c r="K69" s="266"/>
      <c r="L69" s="267"/>
      <c r="M69" s="267"/>
      <c r="N69" s="268"/>
      <c r="O69" s="310"/>
      <c r="P69" s="270"/>
      <c r="Q69" s="210"/>
      <c r="R69" s="30"/>
      <c r="S69" s="27" t="b">
        <f>IF(Q69=Цены!$H$3,Цены!$L$3,IF(Q69=Цены!$H$4,Цены!$L$4,IF(Q69=Цены!$H$5,Цены!$L$5,IF(Q69=Цены!$H$6,Цены!$L$6,IF(Q69=Цены!$H$7,Цены!$L$7,IF(Q69=Цены!$H$8,Цены!$L$8,IF(Q69=Цены!$H$9,Цены!$L$9,IF(Q69=Цены!$H$10,Цены!$L$10,IF(Q69=Цены!$H$11,Цены!$L$11,IF(Q69=Цены!$H$12,Цены!$L$12,IF(Q69=Цены!$H$13,Цены!$L$13,IF(Q69=Цены!$H$14,Цены!$L$14,IF(Q69=Цены!$H$14,Цены!$L$14,IF(Q69=Цены!$H$15,Цены!$L$15,IF(Q69=Цены!$H$16,Цены!$L$16,IF(Q69=Цены!$H$17,Цены!$L$17,IF(Q69=Цены!$H$18,Цены!$L$18,IF(Q69=Цены!$H$19,Цены!$L$19,IF(Q69=Цены!$H$20,Цены!$L$20,IF(Q69=Цены!$H$21,Цены!$L$21,IF(Q69=Цены!$H$22,Цены!$L$22,IF(Q69=Цены!$H$23,Цены!$L$23,IF(Q69=Цены!$H$24,Цены!$L$24,IF(Q69=Цены!$H$25,Цены!$L$25,IF(Q69=Цены!$H$26,Цены!$L$26,IF(Q69=Цены!$H$27,Цены!$L$27,IF(Q69=Цены!$H$28,Цены!$L$28,IF(Q69=Цены!$H$29,Цены!$L$29,IF(Q69=Цены!$H$30,Цены!$L$30,IF(Q69=Цены!$H$31,Цены!$L$31,IF(Q69=Цены!$H$32,Цены!$L$32,IF(Q69=Цены!$H$33,Цены!$L$33,IF(Q69=Цены!$H$34,Цены!$L$34,IF(Q69=Цены!$H$35,Цены!$L$35,IF(Q69=Цены!$H$36,Цены!$L$36,IF(Q69=Цены!$H$37,Цены!$L$37,IF(Q69=Цены!$H$38,Цены!$L$38,IF(Q69=Цены!$H$39,Цены!$L$39,IF(Q69=Цены!$H$40,Цены!$L$40,IF(Q69=Цены!$H$41,Цены!$L$41,IF(Q69=Цены!$H$42,Цены!$L$42,IF(Q69=Цены!$H$43,Цены!$L$43,IF(Q69=Цены!$H$44,Цены!$L$44,IF(Q69=Цены!$H$45,Цены!$L$45,IF(Q69=Цены!$H$46,Цены!$L$46,IF(Q69=Цены!$H$47,Цены!$L$47,IF(Q69=Цены!$H$48,Цены!$L$48,IF(Q69=Цены!$H$49,Цены!$L$49,IF(Q69=Цены!$H$50,Цены!$L$50,IF(Q69=Цены!$H$51,Цены!$L$51,IF(Q69=Цены!$H$52,Цены!$L$52,IF(Q69=Цены!$H$53,Цены!$L$53,IF(Q69=Цены!$H$54,Цены!$L$54,IF(Q69=Цены!$H$55,Цены!$L$55))))))))))))))))))))))))))))))))))))))))))))))))))))))</f>
        <v>0</v>
      </c>
      <c r="T69" s="309"/>
      <c r="U69" s="162" t="b">
        <f>IF(Q69=Цены!$H$3,Цены!$K$3,IF(Q69=Цены!$H$4,Цены!$K$4,IF(Q69=Цены!$H$5,Цены!$K$5,IF(Q69=Цены!$H$6,Цены!$K$6,IF(Q69=Цены!$H$7,Цены!$K$7,IF(Q69=Цены!$H$8,Цены!$K$8,IF(Q69=Цены!$H$9,Цены!$K$9,IF(Q69=Цены!$H$10,Цены!$K$10,IF(Q69=Цены!$H$11,Цены!$K$11,IF(Q69=Цены!$H$12,Цены!$K$12,IF(Q69=Цены!$H$13,Цены!$K$13,IF(Q69=Цены!$H$14,Цены!$K$14,IF(Q69=Цены!$H$14,Цены!$K$14,IF(Q69=Цены!$H$15,Цены!$K$15,IF(Q69=Цены!$H$16,Цены!$K$16,IF(Q69=Цены!$H$17,Цены!$K$17,IF(Q69=Цены!$H$18,Цены!$K$18,IF(Q69=Цены!$H$19,Цены!$K$19,IF(Q69=Цены!$H$20,Цены!$K$20,IF(Q69=Цены!$H$21,Цены!$K$21,IF(Q69=Цены!$H$22,Цены!$K$22,IF(Q69=Цены!$H$23,Цены!$K$23,IF(Q69=Цены!$H$24,Цены!$K$24,IF(Q69=Цены!$H$25,Цены!$K$25,IF(Q69=Цены!$H$26,Цены!$K$26,IF(Q69=Цены!$H$27,Цены!$K$27,IF(Q69=Цены!$H$28,Цены!$K$28,IF(Q69=Цены!$H$29,Цены!$K$29,IF(Q69=Цены!$H$30,Цены!$K$30,IF(Q69=Цены!$H$31,Цены!$K$31,IF(Q69=Цены!$H$32,Цены!$K$32,IF(Q69=Цены!$H$33,Цены!$K$33,IF(Q69=Цены!$H$34,Цены!$K$34,IF(Q69=Цены!$H$35,Цены!$K$35,IF(Q69=Цены!$H$36,Цены!$K$36,IF(Q69=Цены!$H$37,Цены!$K$37,IF(Q69=Цены!$H$38,Цены!$K$38,IF(Q69=Цены!$H$39,Цены!$K$39,IF(Q69=Цены!$H$40,Цены!$K$40,IF(Q69=Цены!$H$41,Цены!$K$41,IF(Q69=Цены!$H$42,Цены!$K$42,IF(Q69=Цены!$H$43,Цены!$K$43,IF(Q69=Цены!$H$44,Цены!$K$44,IF(Q69=Цены!$H$45,Цены!$K$45,IF(Q69=Цены!$H$46,Цены!$K$46,IF(Q69=Цены!$H$47,Цены!$K$47,IF(Q69=Цены!$H$48,Цены!$K$48,IF(Q69=Цены!$H$49,Цены!$K$49,IF(Q69=Цены!$H$50,Цены!$K$50,IF(Q69=Цены!$H$51,Цены!$K$51,IF(Q69=Цены!$H$52,Цены!$K$52,IF(Q69=Цены!$H$53,Цены!$K$53,IF(Q69=Цены!$H$54,Цены!$K$54,IF(Q69=Цены!$H$55,Цены!$K$55))))))))))))))))))))))))))))))))))))))))))))))))))))))</f>
        <v>0</v>
      </c>
      <c r="V69" s="265"/>
      <c r="W69" s="265"/>
      <c r="X69" s="266"/>
      <c r="Y69" s="267"/>
      <c r="Z69" s="267"/>
      <c r="AA69" s="320"/>
      <c r="AB69" s="310"/>
      <c r="AC69" s="270"/>
      <c r="AD69" s="209" t="s">
        <v>88</v>
      </c>
      <c r="AE69" s="30">
        <v>5</v>
      </c>
      <c r="AF69" s="27">
        <f>IF(AD69=Цены!$H$3,Цены!$L$3,IF(AD69=Цены!$H$4,Цены!$L$4,IF(AD69=Цены!$H$5,Цены!$L$5,IF(AD69=Цены!$H$6,Цены!$L$6,IF(AD69=Цены!$H$7,Цены!$L$7,IF(AD69=Цены!$H$8,Цены!$L$8,IF(AD69=Цены!$H$9,Цены!$L$9,IF(AD69=Цены!$H$10,Цены!$L$10,IF(AD69=Цены!$H$11,Цены!$L$11,IF(AD69=Цены!$H$12,Цены!$L$12,IF(AD69=Цены!$H$13,Цены!$L$13,IF(AD69=Цены!$H$14,Цены!$L$14,IF(AD69=Цены!$H$14,Цены!$L$14,IF(AD69=Цены!$H$15,Цены!$L$15,IF(AD69=Цены!$H$16,Цены!$L$16,IF(AD69=Цены!$H$17,Цены!$L$17,IF(AD69=Цены!$H$18,Цены!$L$18,IF(AD69=Цены!$H$19,Цены!$L$19,IF(AD69=Цены!$H$20,Цены!$L$20,IF(AD69=Цены!$H$21,Цены!$L$21,IF(AD69=Цены!$H$22,Цены!$L$22,IF(AD69=Цены!$H$23,Цены!$L$23,IF(AD69=Цены!$H$24,Цены!$L$24,IF(AD69=Цены!$H$25,Цены!$L$25,IF(AD69=Цены!$H$26,Цены!$L$26,IF(AD69=Цены!$H$27,Цены!$L$27,IF(AD69=Цены!$H$28,Цены!$L$28,IF(AD69=Цены!$H$29,Цены!$L$29,IF(AD69=Цены!$H$30,Цены!$L$30,IF(AD69=Цены!$H$31,Цены!$L$31,IF(AD69=Цены!$H$32,Цены!$L$32,IF(AD69=Цены!$H$33,Цены!$L$33,IF(AD69=Цены!$H$34,Цены!$L$34,IF(AD69=Цены!$H$35,Цены!$L$35,IF(AD69=Цены!$H$36,Цены!$L$36,IF(AD69=Цены!$H$37,Цены!$L$37,IF(AD69=Цены!$H$38,Цены!$L$38,IF(AD69=Цены!$H$39,Цены!$L$39,IF(AD69=Цены!$H$40,Цены!$L$40,IF(AD69=Цены!$H$41,Цены!$L$41,IF(AD69=Цены!$H$42,Цены!$L$42,IF(AD69=Цены!$H$43,Цены!$L$43,IF(AD69=Цены!$H$44,Цены!$L$44,IF(AD69=Цены!$H$45,Цены!$L$45,IF(AD69=Цены!$H$46,Цены!$L$46,IF(AD69=Цены!$H$47,Цены!$L$47,IF(AD69=Цены!$H$48,Цены!$L$48,IF(AD69=Цены!$H$49,Цены!$L$49,IF(AD69=Цены!$H$50,Цены!$L$50,IF(AD69=Цены!$H$51,Цены!$L$51,IF(AD69=Цены!$H$52,Цены!$L$52,IF(AD69=Цены!$H$53,Цены!$L$53,IF(AD69=Цены!$H$54,Цены!$L$54,IF(AD69=Цены!$H$55,Цены!$L$55))))))))))))))))))))))))))))))))))))))))))))))))))))))</f>
        <v>1.8</v>
      </c>
      <c r="AG69" s="309"/>
      <c r="AH69" s="28">
        <f>IF(AD69=Цены!$H$3,Цены!$K$3,IF(AD69=Цены!$H$4,Цены!$K$4,IF(AD69=Цены!$H$5,Цены!$K$5,IF(AD69=Цены!$H$6,Цены!$K$6,IF(AD69=Цены!$H$7,Цены!$K$7,IF(AD69=Цены!$H$8,Цены!$K$8,IF(AD69=Цены!$H$9,Цены!$K$9,IF(AD69=Цены!$H$10,Цены!$K$10,IF(AD69=Цены!$H$11,Цены!$K$11,IF(AD69=Цены!$H$12,Цены!$K$12,IF(AD69=Цены!$H$13,Цены!$K$13,IF(AD69=Цены!$H$14,Цены!$K$14,IF(AD69=Цены!$H$14,Цены!$K$14,IF(AD69=Цены!$H$15,Цены!$K$15,IF(AD69=Цены!$H$16,Цены!$K$16,IF(AD69=Цены!$H$17,Цены!$K$17,IF(AD69=Цены!$H$18,Цены!$K$18,IF(AD69=Цены!$H$19,Цены!$K$19,IF(AD69=Цены!$H$20,Цены!$K$20,IF(AD69=Цены!$H$21,Цены!$K$21,IF(AD69=Цены!$H$22,Цены!$K$22,IF(AD69=Цены!$H$23,Цены!$K$23,IF(AD69=Цены!$H$24,Цены!$K$24,IF(AD69=Цены!$H$25,Цены!$K$25,IF(AD69=Цены!$H$26,Цены!$K$26,IF(AD69=Цены!$H$27,Цены!$K$27,IF(AD69=Цены!$H$28,Цены!$K$28,IF(AD69=Цены!$H$29,Цены!$K$29,IF(AD69=Цены!$H$30,Цены!$K$30,IF(AD69=Цены!$H$31,Цены!$K$31,IF(AD69=Цены!$H$32,Цены!$K$32,IF(AD69=Цены!$H$33,Цены!$K$33,IF(AD69=Цены!$H$34,Цены!$K$34,IF(AD69=Цены!$H$35,Цены!$K$35,IF(AD69=Цены!$H$36,Цены!$K$36,IF(AD69=Цены!$H$37,Цены!$K$37,IF(AD69=Цены!$H$38,Цены!$K$38,IF(AD69=Цены!$H$39,Цены!$K$39,IF(AD69=Цены!$H$40,Цены!$K$40,IF(AD69=Цены!$H$41,Цены!$K$41,IF(AD69=Цены!$H$42,Цены!$K$42,IF(AD69=Цены!$H$43,Цены!$K$43,IF(AD69=Цены!$H$44,Цены!$K$44,IF(AD69=Цены!$H$45,Цены!$K$45,IF(AD69=Цены!$H$46,Цены!$K$46,IF(AD69=Цены!$H$47,Цены!$K$47,IF(AD69=Цены!$H$48,Цены!$K$48,IF(AD69=Цены!$H$49,Цены!$K$49,IF(AD69=Цены!$H$50,Цены!$K$50,IF(AD69=Цены!$H$51,Цены!$K$51,IF(AD69=Цены!$H$52,Цены!$K$52,IF(AD69=Цены!$H$53,Цены!$K$53,IF(AD69=Цены!$H$54,Цены!$K$54,IF(AD69=Цены!$H$55,Цены!$K$55))))))))))))))))))))))))))))))))))))))))))))))))))))))</f>
        <v>388</v>
      </c>
      <c r="AI69" s="265"/>
      <c r="AJ69" s="265"/>
      <c r="AK69" s="266"/>
      <c r="AL69" s="267"/>
      <c r="AM69" s="267"/>
      <c r="AN69" s="268"/>
      <c r="AO69" s="310"/>
      <c r="AP69" s="270"/>
      <c r="AQ69" s="209"/>
      <c r="AR69" s="129"/>
      <c r="AS69" s="33" t="b">
        <f>IF(AQ69=Цены!$H$3,Цены!$L$3,IF(AQ69=Цены!$H$4,Цены!$L$4,IF(AQ69=Цены!$H$5,Цены!$L$5,IF(AQ69=Цены!$H$6,Цены!$L$6,IF(AQ69=Цены!$H$7,Цены!$L$7,IF(AQ69=Цены!$H$8,Цены!$L$8,IF(AQ69=Цены!$H$9,Цены!$L$9,IF(AQ69=Цены!$H$10,Цены!$L$10,IF(AQ69=Цены!$H$11,Цены!$L$11,IF(AQ69=Цены!$H$12,Цены!$L$12,IF(AQ69=Цены!$H$13,Цены!$L$13,IF(AQ69=Цены!$H$14,Цены!$L$14,IF(AQ69=Цены!$H$14,Цены!$L$14,IF(AQ69=Цены!$H$15,Цены!$L$15,IF(AQ69=Цены!$H$16,Цены!$L$16,IF(AQ69=Цены!$H$17,Цены!$L$17,IF(AQ69=Цены!$H$18,Цены!$L$18,IF(AQ69=Цены!$H$19,Цены!$L$19,IF(AQ69=Цены!$H$20,Цены!$L$20,IF(AQ69=Цены!$H$21,Цены!$L$21,IF(AQ69=Цены!$H$22,Цены!$L$22,IF(AQ69=Цены!$H$23,Цены!$L$23,IF(AQ69=Цены!$H$24,Цены!$L$24,IF(AQ69=Цены!$H$25,Цены!$L$25,IF(AQ69=Цены!$H$26,Цены!$L$26,IF(AQ69=Цены!$H$27,Цены!$L$27,IF(AQ69=Цены!$H$28,Цены!$L$28,IF(AQ69=Цены!$H$29,Цены!$L$29,IF(AQ69=Цены!$H$30,Цены!$L$30,IF(AQ69=Цены!$H$31,Цены!$L$31,IF(AQ69=Цены!$H$32,Цены!$L$32,IF(AQ69=Цены!$H$33,Цены!$L$33,IF(AQ69=Цены!$H$34,Цены!$L$34,IF(AQ69=Цены!$H$35,Цены!$L$35,IF(AQ69=Цены!$H$36,Цены!$L$36,IF(AQ69=Цены!$H$37,Цены!$L$37,IF(AQ69=Цены!$H$38,Цены!$L$38,IF(AQ69=Цены!$H$39,Цены!$L$39,IF(AQ69=Цены!$H$40,Цены!$L$40,IF(AQ69=Цены!$H$41,Цены!$L$41,IF(AQ69=Цены!$H$42,Цены!$L$42,IF(AQ69=Цены!$H$43,Цены!$L$43,IF(AQ69=Цены!$H$44,Цены!$L$44,IF(AQ69=Цены!$H$45,Цены!$L$45,IF(AQ69=Цены!$H$46,Цены!$L$46,IF(AQ69=Цены!$H$47,Цены!$L$47,IF(AQ69=Цены!$H$48,Цены!$L$48,IF(AQ69=Цены!$H$49,Цены!$L$49,IF(AQ69=Цены!$H$50,Цены!$L$50,IF(AQ69=Цены!$H$51,Цены!$L$51,IF(AQ69=Цены!$H$52,Цены!$L$52,IF(AQ69=Цены!$H$53,Цены!$L$53,IF(AQ69=Цены!$H$54,Цены!$L$54,IF(AQ69=Цены!$H$55,Цены!$L$55))))))))))))))))))))))))))))))))))))))))))))))))))))))</f>
        <v>0</v>
      </c>
      <c r="AT69" s="276"/>
      <c r="AU69" s="34" t="b">
        <f>IF(AQ69=Цены!$H$3,Цены!$K$3,IF(AQ69=Цены!$H$4,Цены!$K$4,IF(AQ69=Цены!$H$5,Цены!$K$5,IF(AQ69=Цены!$H$6,Цены!$K$6,IF(AQ69=Цены!$H$7,Цены!$K$7,IF(AQ69=Цены!$H$8,Цены!$K$8,IF(AQ69=Цены!$H$9,Цены!$K$9,IF(AQ69=Цены!$H$10,Цены!$K$10,IF(AQ69=Цены!$H$11,Цены!$K$11,IF(AQ69=Цены!$H$12,Цены!$K$12,IF(AQ69=Цены!$H$13,Цены!$K$13,IF(AQ69=Цены!$H$14,Цены!$K$14,IF(AQ69=Цены!$H$14,Цены!$K$14,IF(AQ69=Цены!$H$15,Цены!$K$15,IF(AQ69=Цены!$H$16,Цены!$K$16,IF(AQ69=Цены!$H$17,Цены!$K$17,IF(AQ69=Цены!$H$18,Цены!$K$18,IF(AQ69=Цены!$H$19,Цены!$K$19,IF(AQ69=Цены!$H$20,Цены!$K$20,IF(AQ69=Цены!$H$21,Цены!$K$21,IF(AQ69=Цены!$H$22,Цены!$K$22,IF(AQ69=Цены!$H$23,Цены!$K$23,IF(AQ69=Цены!$H$24,Цены!$K$24,IF(AQ69=Цены!$H$25,Цены!$K$25,IF(AQ69=Цены!$H$26,Цены!$K$26,IF(AQ69=Цены!$H$27,Цены!$K$27,IF(AQ69=Цены!$H$28,Цены!$K$28,IF(AQ69=Цены!$H$29,Цены!$K$29,IF(AQ69=Цены!$H$30,Цены!$K$30,IF(AQ69=Цены!$H$31,Цены!$K$31,IF(AQ69=Цены!$H$32,Цены!$K$32,IF(AQ69=Цены!$H$33,Цены!$K$33,IF(AQ69=Цены!$H$34,Цены!$K$34,IF(AQ69=Цены!$H$35,Цены!$K$35,IF(AQ69=Цены!$H$36,Цены!$K$36,IF(AQ69=Цены!$H$37,Цены!$K$37,IF(AQ69=Цены!$H$38,Цены!$K$38,IF(AQ69=Цены!$H$39,Цены!$K$39,IF(AQ69=Цены!$H$40,Цены!$K$40,IF(AQ69=Цены!$H$41,Цены!$K$41,IF(AQ69=Цены!$H$42,Цены!$K$42,IF(AQ69=Цены!$H$43,Цены!$K$43,IF(AQ69=Цены!$H$44,Цены!$K$44,IF(AQ69=Цены!$H$45,Цены!$K$45,IF(AQ69=Цены!$H$46,Цены!$K$46,IF(AQ69=Цены!$H$47,Цены!$K$47,IF(AQ69=Цены!$H$48,Цены!$K$48,IF(AQ69=Цены!$H$49,Цены!$K$49,IF(AQ69=Цены!$H$50,Цены!$K$50,IF(AQ69=Цены!$H$51,Цены!$K$51,IF(AQ69=Цены!$H$52,Цены!$K$52,IF(AQ69=Цены!$H$53,Цены!$K$53,IF(AQ69=Цены!$H$54,Цены!$K$54,IF(AQ69=Цены!$H$55,Цены!$K$55))))))))))))))))))))))))))))))))))))))))))))))))))))))</f>
        <v>0</v>
      </c>
      <c r="AV69" s="265"/>
      <c r="AW69" s="265"/>
      <c r="AX69" s="266"/>
      <c r="AY69" s="267"/>
      <c r="AZ69" s="267"/>
      <c r="BA69" s="268"/>
      <c r="BB69" s="269"/>
      <c r="BC69" s="270"/>
      <c r="BD69" s="259"/>
      <c r="BE69" s="210"/>
      <c r="BF69" s="71"/>
      <c r="BG69" s="33" t="b">
        <f>IF(BE69=Цены!$H$3,Цены!$L$3,IF(BE69=Цены!$H$4,Цены!$L$4,IF(BE69=Цены!$H$5,Цены!$L$5,IF(BE69=Цены!$H$6,Цены!$L$6,IF(BE69=Цены!$H$7,Цены!$L$7,IF(BE69=Цены!$H$8,Цены!$L$8,IF(BE69=Цены!$H$9,Цены!$L$9,IF(BE69=Цены!$H$10,Цены!$L$10,IF(BE69=Цены!$H$11,Цены!$L$11,IF(BE69=Цены!$H$12,Цены!$L$12,IF(BE69=Цены!$H$13,Цены!$L$13,IF(BE69=Цены!$H$14,Цены!$L$14,IF(BE69=Цены!$H$14,Цены!$L$14,IF(BE69=Цены!$H$15,Цены!$L$15,IF(BE69=Цены!$H$16,Цены!$L$16,IF(BE69=Цены!$H$17,Цены!$L$17,IF(BE69=Цены!$H$18,Цены!$L$18,IF(BE69=Цены!$H$19,Цены!$L$19,IF(BE69=Цены!$H$20,Цены!$L$20,IF(BE69=Цены!$H$21,Цены!$L$21,IF(BE69=Цены!$H$22,Цены!$L$22,IF(BE69=Цены!$H$23,Цены!$L$23,IF(BE69=Цены!$H$24,Цены!$L$24,IF(BE69=Цены!$H$25,Цены!$L$25,IF(BE69=Цены!$H$26,Цены!$L$26,IF(BE69=Цены!$H$27,Цены!$L$27,IF(BE69=Цены!$H$28,Цены!$L$28,IF(BE69=Цены!$H$29,Цены!$L$29,IF(BE69=Цены!$H$30,Цены!$L$30,IF(BE69=Цены!$H$31,Цены!$L$31,IF(BE69=Цены!$H$32,Цены!$L$32,IF(BE69=Цены!$H$33,Цены!$L$33,IF(BE69=Цены!$H$34,Цены!$L$34,IF(BE69=Цены!$H$35,Цены!$L$35,IF(BE69=Цены!$H$36,Цены!$L$36,IF(BE69=Цены!$H$37,Цены!$L$37,IF(BE69=Цены!$H$38,Цены!$L$38,IF(BE69=Цены!$H$39,Цены!$L$39,IF(BE69=Цены!$H$40,Цены!$L$40,IF(BE69=Цены!$H$41,Цены!$L$41,IF(BE69=Цены!$H$42,Цены!$L$42,IF(BE69=Цены!$H$43,Цены!$L$43,IF(BE69=Цены!$H$44,Цены!$L$44,IF(BE69=Цены!$H$45,Цены!$L$45,IF(BE69=Цены!$H$46,Цены!$L$46,IF(BE69=Цены!$H$47,Цены!$L$47,IF(BE69=Цены!$H$48,Цены!$L$48,IF(BE69=Цены!$H$49,Цены!$L$49,IF(BE69=Цены!$H$50,Цены!$L$50,IF(BE69=Цены!$H$51,Цены!$L$51,IF(BE69=Цены!$H$52,Цены!$L$52,IF(BE69=Цены!$H$53,Цены!$L$53,IF(BE69=Цены!$H$54,Цены!$L$54,IF(BE69=Цены!$H$55,Цены!$L$55))))))))))))))))))))))))))))))))))))))))))))))))))))))</f>
        <v>0</v>
      </c>
      <c r="BH69" s="276"/>
      <c r="BI69" s="34" t="b">
        <f>IF(BE69=Цены!$H$3,Цены!$K$3,IF(BE69=Цены!$H$4,Цены!$K$4,IF(BE69=Цены!$H$5,Цены!$K$5,IF(BE69=Цены!$H$6,Цены!$K$6,IF(BE69=Цены!$H$7,Цены!$K$7,IF(BE69=Цены!$H$8,Цены!$K$8,IF(BE69=Цены!$H$9,Цены!$K$9,IF(BE69=Цены!$H$10,Цены!$K$10,IF(BE69=Цены!$H$11,Цены!$K$11,IF(BE69=Цены!$H$12,Цены!$K$12,IF(BE69=Цены!$H$13,Цены!$K$13,IF(BE69=Цены!$H$14,Цены!$K$14,IF(BE69=Цены!$H$14,Цены!$K$14,IF(BE69=Цены!$H$15,Цены!$K$15,IF(BE69=Цены!$H$16,Цены!$K$16,IF(BE69=Цены!$H$17,Цены!$K$17,IF(BE69=Цены!$H$18,Цены!$K$18,IF(BE69=Цены!$H$19,Цены!$K$19,IF(BE69=Цены!$H$20,Цены!$K$20,IF(BE69=Цены!$H$21,Цены!$K$21,IF(BE69=Цены!$H$22,Цены!$K$22,IF(BE69=Цены!$H$23,Цены!$K$23,IF(BE69=Цены!$H$24,Цены!$K$24,IF(BE69=Цены!$H$25,Цены!$K$25,IF(BE69=Цены!$H$26,Цены!$K$26,IF(BE69=Цены!$H$27,Цены!$K$27,IF(BE69=Цены!$H$28,Цены!$K$28,IF(BE69=Цены!$H$29,Цены!$K$29,IF(BE69=Цены!$H$30,Цены!$K$30,IF(BE69=Цены!$H$31,Цены!$K$31,IF(BE69=Цены!$H$32,Цены!$K$32,IF(BE69=Цены!$H$33,Цены!$K$33,IF(BE69=Цены!$H$34,Цены!$K$34,IF(BE69=Цены!$H$35,Цены!$K$35,IF(BE69=Цены!$H$36,Цены!$K$36,IF(BE69=Цены!$H$37,Цены!$K$37,IF(BE69=Цены!$H$38,Цены!$K$38,IF(BE69=Цены!$H$39,Цены!$K$39,IF(BE69=Цены!$H$40,Цены!$K$40,IF(BE69=Цены!$H$41,Цены!$K$41,IF(BE69=Цены!$H$42,Цены!$K$42,IF(BE69=Цены!$H$43,Цены!$K$43,IF(BE69=Цены!$H$44,Цены!$K$44,IF(BE69=Цены!$H$45,Цены!$K$45,IF(BE69=Цены!$H$46,Цены!$K$46,IF(BE69=Цены!$H$47,Цены!$K$47,IF(BE69=Цены!$H$48,Цены!$K$48,IF(BE69=Цены!$H$49,Цены!$K$49,IF(BE69=Цены!$H$50,Цены!$K$50,IF(BE69=Цены!$H$51,Цены!$K$51,IF(BE69=Цены!$H$52,Цены!$K$52,IF(BE69=Цены!$H$53,Цены!$K$53,IF(BE69=Цены!$H$54,Цены!$K$54,IF(BE69=Цены!$H$55,Цены!$K$55))))))))))))))))))))))))))))))))))))))))))))))))))))))</f>
        <v>0</v>
      </c>
      <c r="BJ69" s="265"/>
      <c r="BK69" s="265"/>
      <c r="BL69" s="266"/>
      <c r="BM69" s="267"/>
      <c r="BN69" s="267"/>
      <c r="BO69" s="268"/>
      <c r="BP69" s="269"/>
      <c r="BQ69" s="270"/>
      <c r="BR69" s="210"/>
      <c r="BS69" s="43"/>
      <c r="BT69" s="33" t="b">
        <f>IF(BR69=Цены!$H$3,Цены!$L$3,IF(BR69=Цены!$H$4,Цены!$L$4,IF(BR69=Цены!$H$5,Цены!$L$5,IF(BR69=Цены!$H$6,Цены!$L$6,IF(BR69=Цены!$H$7,Цены!$L$7,IF(BR69=Цены!$H$8,Цены!$L$8,IF(BR69=Цены!$H$9,Цены!$L$9,IF(BR69=Цены!$H$10,Цены!$L$10,IF(BR69=Цены!$H$11,Цены!$L$11,IF(BR69=Цены!$H$12,Цены!$L$12,IF(BR69=Цены!$H$13,Цены!$L$13,IF(BR69=Цены!$H$14,Цены!$L$14,IF(BR69=Цены!$H$14,Цены!$L$14,IF(BR69=Цены!$H$15,Цены!$L$15,IF(BR69=Цены!$H$16,Цены!$L$16,IF(BR69=Цены!$H$17,Цены!$L$17,IF(BR69=Цены!$H$18,Цены!$L$18,IF(BR69=Цены!$H$19,Цены!$L$19,IF(BR69=Цены!$H$20,Цены!$L$20,IF(BR69=Цены!$H$21,Цены!$L$21,IF(BR69=Цены!$H$22,Цены!$L$22,IF(BR69=Цены!$H$23,Цены!$L$23,IF(BR69=Цены!$H$24,Цены!$L$24,IF(BR69=Цены!$H$25,Цены!$L$25,IF(BR69=Цены!$H$26,Цены!$L$26,IF(BR69=Цены!$H$27,Цены!$L$27,IF(BR69=Цены!$H$28,Цены!$L$28,IF(BR69=Цены!$H$29,Цены!$L$29,IF(BR69=Цены!$H$30,Цены!$L$30,IF(BR69=Цены!$H$31,Цены!$L$31,IF(BR69=Цены!$H$32,Цены!$L$32,IF(BR69=Цены!$H$33,Цены!$L$33,IF(BR69=Цены!$H$34,Цены!$L$34,IF(BR69=Цены!$H$35,Цены!$L$35,IF(BR69=Цены!$H$36,Цены!$L$36,IF(BR69=Цены!$H$37,Цены!$L$37,IF(BR69=Цены!$H$38,Цены!$L$38,IF(BR69=Цены!$H$39,Цены!$L$39,IF(BR69=Цены!$H$40,Цены!$L$40,IF(BR69=Цены!$H$41,Цены!$L$41,IF(BR69=Цены!$H$42,Цены!$L$42,IF(BR69=Цены!$H$43,Цены!$L$43,IF(BR69=Цены!$H$44,Цены!$L$44,IF(BR69=Цены!$H$45,Цены!$L$45,IF(BR69=Цены!$H$46,Цены!$L$46,IF(BR69=Цены!$H$47,Цены!$L$47,IF(BR69=Цены!$H$48,Цены!$L$48,IF(BR69=Цены!$H$49,Цены!$L$49,IF(BR69=Цены!$H$50,Цены!$L$50,IF(BR69=Цены!$H$51,Цены!$L$51,IF(BR69=Цены!$H$52,Цены!$L$52,IF(BR69=Цены!$H$53,Цены!$L$53,IF(BR69=Цены!$H$54,Цены!$L$54,IF(BR69=Цены!$H$55,Цены!$L$55))))))))))))))))))))))))))))))))))))))))))))))))))))))</f>
        <v>0</v>
      </c>
      <c r="BU69" s="276"/>
      <c r="BV69" s="34" t="b">
        <f>IF(BR69=Цены!$H$3,Цены!$K$3,IF(BR69=Цены!$H$4,Цены!$K$4,IF(BR69=Цены!$H$5,Цены!$K$5,IF(BR69=Цены!$H$6,Цены!$K$6,IF(BR69=Цены!$H$7,Цены!$K$7,IF(BR69=Цены!$H$8,Цены!$K$8,IF(BR69=Цены!$H$9,Цены!$K$9,IF(BR69=Цены!$H$10,Цены!$K$10,IF(BR69=Цены!$H$11,Цены!$K$11,IF(BR69=Цены!$H$12,Цены!$K$12,IF(BR69=Цены!$H$13,Цены!$K$13,IF(BR69=Цены!$H$14,Цены!$K$14,IF(BR69=Цены!$H$14,Цены!$K$14,IF(BR69=Цены!$H$15,Цены!$K$15,IF(BR69=Цены!$H$16,Цены!$K$16,IF(BR69=Цены!$H$17,Цены!$K$17,IF(BR69=Цены!$H$18,Цены!$K$18,IF(BR69=Цены!$H$19,Цены!$K$19,IF(BR69=Цены!$H$20,Цены!$K$20,IF(BR69=Цены!$H$21,Цены!$K$21,IF(BR69=Цены!$H$22,Цены!$K$22,IF(BR69=Цены!$H$23,Цены!$K$23,IF(BR69=Цены!$H$24,Цены!$K$24,IF(BR69=Цены!$H$25,Цены!$K$25,IF(BR69=Цены!$H$26,Цены!$K$26,IF(BR69=Цены!$H$27,Цены!$K$27,IF(BR69=Цены!$H$28,Цены!$K$28,IF(BR69=Цены!$H$29,Цены!$K$29,IF(BR69=Цены!$H$30,Цены!$K$30,IF(BR69=Цены!$H$31,Цены!$K$31,IF(BR69=Цены!$H$32,Цены!$K$32,IF(BR69=Цены!$H$33,Цены!$K$33,IF(BR69=Цены!$H$34,Цены!$K$34,IF(BR69=Цены!$H$35,Цены!$K$35,IF(BR69=Цены!$H$36,Цены!$K$36,IF(BR69=Цены!$H$37,Цены!$K$37,IF(BR69=Цены!$H$38,Цены!$K$38,IF(BR69=Цены!$H$39,Цены!$K$39,IF(BR69=Цены!$H$40,Цены!$K$40,IF(BR69=Цены!$H$41,Цены!$K$41,IF(BR69=Цены!$H$42,Цены!$K$42,IF(BR69=Цены!$H$43,Цены!$K$43,IF(BR69=Цены!$H$44,Цены!$K$44,IF(BR69=Цены!$H$45,Цены!$K$45,IF(BR69=Цены!$H$46,Цены!$K$46,IF(BR69=Цены!$H$47,Цены!$K$47,IF(BR69=Цены!$H$48,Цены!$K$48,IF(BR69=Цены!$H$49,Цены!$K$49,IF(BR69=Цены!$H$50,Цены!$K$50,IF(BR69=Цены!$H$51,Цены!$K$51,IF(BR69=Цены!$H$52,Цены!$K$52,IF(BR69=Цены!$H$53,Цены!$K$53,IF(BR69=Цены!$H$54,Цены!$K$54,IF(BR69=Цены!$H$55,Цены!$K$55))))))))))))))))))))))))))))))))))))))))))))))))))))))</f>
        <v>0</v>
      </c>
      <c r="BW69" s="265"/>
      <c r="BX69" s="265"/>
      <c r="BY69" s="266"/>
      <c r="BZ69" s="267"/>
      <c r="CA69" s="267"/>
      <c r="CB69" s="268"/>
      <c r="CC69" s="269"/>
      <c r="CD69" s="270"/>
      <c r="CE69" s="171" t="s">
        <v>123</v>
      </c>
      <c r="CF69" s="43">
        <v>1</v>
      </c>
      <c r="CG69" s="33">
        <f>IF(CE69=Цены!$H$3,Цены!$L$3,IF(CE69=Цены!$H$4,Цены!$L$4,IF(CE69=Цены!$H$5,Цены!$L$5,IF(CE69=Цены!$H$6,Цены!$L$6,IF(CE69=Цены!$H$7,Цены!$L$7,IF(CE69=Цены!$H$8,Цены!$L$8,IF(CE69=Цены!$H$9,Цены!$L$9,IF(CE69=Цены!$H$10,Цены!$L$10,IF(CE69=Цены!$H$11,Цены!$L$11,IF(CE69=Цены!$H$12,Цены!$L$12,IF(CE69=Цены!$H$13,Цены!$L$13,IF(CE69=Цены!$H$14,Цены!$L$14,IF(CE69=Цены!$H$14,Цены!$L$14,IF(CE69=Цены!$H$15,Цены!$L$15,IF(CE69=Цены!$H$16,Цены!$L$16,IF(CE69=Цены!$H$17,Цены!$L$17,IF(CE69=Цены!$H$18,Цены!$L$18,IF(CE69=Цены!$H$19,Цены!$L$19,IF(CE69=Цены!$H$20,Цены!$L$20,IF(CE69=Цены!$H$21,Цены!$L$21,IF(CE69=Цены!$H$22,Цены!$L$22,IF(CE69=Цены!$H$23,Цены!$L$23,IF(CE69=Цены!$H$24,Цены!$L$24,IF(CE69=Цены!$H$25,Цены!$L$25,IF(CE69=Цены!$H$26,Цены!$L$26,IF(CE69=Цены!$H$27,Цены!$L$27,IF(CE69=Цены!$H$28,Цены!$L$28,IF(CE69=Цены!$H$29,Цены!$L$29,IF(CE69=Цены!$H$30,Цены!$L$30,IF(CE69=Цены!$H$31,Цены!$L$31,IF(CE69=Цены!$H$32,Цены!$L$32,IF(CE69=Цены!$H$33,Цены!$L$33,IF(CE69=Цены!$H$34,Цены!$L$34,IF(CE69=Цены!$H$35,Цены!$L$35,IF(CE69=Цены!$H$36,Цены!$L$36,IF(CE69=Цены!$H$37,Цены!$L$37,IF(CE69=Цены!$H$38,Цены!$L$38,IF(CE69=Цены!$H$39,Цены!$L$39,IF(CE69=Цены!$H$40,Цены!$L$40,IF(CE69=Цены!$H$41,Цены!$L$41,IF(CE69=Цены!$H$42,Цены!$L$42,IF(CE69=Цены!$H$43,Цены!$L$43,IF(CE69=Цены!$H$44,Цены!$L$44,IF(CE69=Цены!$H$45,Цены!$L$45,IF(CE69=Цены!$H$46,Цены!$L$46,IF(CE69=Цены!$H$47,Цены!$L$47,IF(CE69=Цены!$H$48,Цены!$L$48,IF(CE69=Цены!$H$49,Цены!$L$49,IF(CE69=Цены!$H$50,Цены!$L$50,IF(CE69=Цены!$H$51,Цены!$L$51,IF(CE69=Цены!$H$52,Цены!$L$52,IF(CE69=Цены!$H$53,Цены!$L$53,IF(CE69=Цены!$H$54,Цены!$L$54,IF(CE69=Цены!$H$55,Цены!$L$55))))))))))))))))))))))))))))))))))))))))))))))))))))))</f>
        <v>0.39</v>
      </c>
      <c r="CH69" s="276"/>
      <c r="CI69" s="34">
        <f>IF(CE69=Цены!$H$3,Цены!$K$3,IF(CE69=Цены!$H$4,Цены!$K$4,IF(CE69=Цены!$H$5,Цены!$K$5,IF(CE69=Цены!$H$6,Цены!$K$6,IF(CE69=Цены!$H$7,Цены!$K$7,IF(CE69=Цены!$H$8,Цены!$K$8,IF(CE69=Цены!$H$9,Цены!$K$9,IF(CE69=Цены!$H$10,Цены!$K$10,IF(CE69=Цены!$H$11,Цены!$K$11,IF(CE69=Цены!$H$12,Цены!$K$12,IF(CE69=Цены!$H$13,Цены!$K$13,IF(CE69=Цены!$H$14,Цены!$K$14,IF(CE69=Цены!$H$14,Цены!$K$14,IF(CE69=Цены!$H$15,Цены!$K$15,IF(CE69=Цены!$H$16,Цены!$K$16,IF(CE69=Цены!$H$17,Цены!$K$17,IF(CE69=Цены!$H$18,Цены!$K$18,IF(CE69=Цены!$H$19,Цены!$K$19,IF(CE69=Цены!$H$20,Цены!$K$20,IF(CE69=Цены!$H$21,Цены!$K$21,IF(CE69=Цены!$H$22,Цены!$K$22,IF(CE69=Цены!$H$23,Цены!$K$23,IF(CE69=Цены!$H$24,Цены!$K$24,IF(CE69=Цены!$H$25,Цены!$K$25,IF(CE69=Цены!$H$26,Цены!$K$26,IF(CE69=Цены!$H$27,Цены!$K$27,IF(CE69=Цены!$H$28,Цены!$K$28,IF(CE69=Цены!$H$29,Цены!$K$29,IF(CE69=Цены!$H$30,Цены!$K$30,IF(CE69=Цены!$H$31,Цены!$K$31,IF(CE69=Цены!$H$32,Цены!$K$32,IF(CE69=Цены!$H$33,Цены!$K$33,IF(CE69=Цены!$H$34,Цены!$K$34,IF(CE69=Цены!$H$35,Цены!$K$35,IF(CE69=Цены!$H$36,Цены!$K$36,IF(CE69=Цены!$H$37,Цены!$K$37,IF(CE69=Цены!$H$38,Цены!$K$38,IF(CE69=Цены!$H$39,Цены!$K$39,IF(CE69=Цены!$H$40,Цены!$K$40,IF(CE69=Цены!$H$41,Цены!$K$41,IF(CE69=Цены!$H$42,Цены!$K$42,IF(CE69=Цены!$H$43,Цены!$K$43,IF(CE69=Цены!$H$44,Цены!$K$44,IF(CE69=Цены!$H$45,Цены!$K$45,IF(CE69=Цены!$H$46,Цены!$K$46,IF(CE69=Цены!$H$47,Цены!$K$47,IF(CE69=Цены!$H$48,Цены!$K$48,IF(CE69=Цены!$H$49,Цены!$K$49,IF(CE69=Цены!$H$50,Цены!$K$50,IF(CE69=Цены!$H$51,Цены!$K$51,IF(CE69=Цены!$H$52,Цены!$K$52,IF(CE69=Цены!$H$53,Цены!$K$53,IF(CE69=Цены!$H$54,Цены!$K$54,IF(CE69=Цены!$H$55,Цены!$K$55))))))))))))))))))))))))))))))))))))))))))))))))))))))</f>
        <v>624</v>
      </c>
      <c r="CJ69" s="265"/>
      <c r="CK69" s="265"/>
      <c r="CL69" s="266"/>
      <c r="CM69" s="267"/>
      <c r="CN69" s="267"/>
      <c r="CO69" s="268"/>
      <c r="CP69" s="269"/>
      <c r="CQ69" s="270"/>
    </row>
    <row r="70" spans="1:95" x14ac:dyDescent="0.25">
      <c r="A70" s="267"/>
      <c r="B70" s="265"/>
      <c r="C70" s="265"/>
      <c r="D70" s="171" t="s">
        <v>121</v>
      </c>
      <c r="E70" s="167">
        <v>2</v>
      </c>
      <c r="F70" s="27">
        <f>IF(D70=Цены!$H$3,Цены!$L$3,IF(D70=Цены!$H$4,Цены!$L$4,IF(D70=Цены!$H$5,Цены!$L$5,IF(D70=Цены!$H$6,Цены!$L$6,IF(D70=Цены!$H$7,Цены!$L$7,IF(D70=Цены!$H$8,Цены!$L$8,IF(D70=Цены!$H$9,Цены!$L$9,IF(D70=Цены!$H$10,Цены!$L$10,IF(D70=Цены!$H$11,Цены!$L$11,IF(D70=Цены!$H$12,Цены!$L$12,IF(D70=Цены!$H$13,Цены!$L$13,IF(D70=Цены!$H$14,Цены!$L$14,IF(D70=Цены!$H$14,Цены!$L$14,IF(D70=Цены!$H$15,Цены!$L$15,IF(D70=Цены!$H$16,Цены!$L$16,IF(D70=Цены!$H$17,Цены!$L$17,IF(D70=Цены!$H$18,Цены!$L$18,IF(D70=Цены!$H$19,Цены!$L$19,IF(D70=Цены!$H$20,Цены!$L$20,IF(D70=Цены!$H$21,Цены!$L$21,IF(D70=Цены!$H$22,Цены!$L$22,IF(D70=Цены!$H$23,Цены!$L$23,IF(D70=Цены!$H$24,Цены!$L$24,IF(D70=Цены!$H$25,Цены!$L$25,IF(D70=Цены!$H$26,Цены!$L$26,IF(D70=Цены!$H$27,Цены!$L$27,IF(D70=Цены!$H$28,Цены!$L$28,IF(D70=Цены!$H$29,Цены!$L$29,IF(D70=Цены!$H$30,Цены!$L$30,IF(D70=Цены!$H$31,Цены!$L$31,IF(D70=Цены!$H$32,Цены!$L$32,IF(D70=Цены!$H$33,Цены!$L$33,IF(D70=Цены!$H$34,Цены!$L$34,IF(D70=Цены!$H$35,Цены!$L$35,IF(D70=Цены!$H$36,Цены!$L$36,IF(D70=Цены!$H$37,Цены!$L$37,IF(D70=Цены!$H$38,Цены!$L$38,IF(D70=Цены!$H$39,Цены!$L$39,IF(D70=Цены!$H$40,Цены!$L$40,IF(D70=Цены!$H$41,Цены!$L$41,IF(D70=Цены!$H$42,Цены!$L$42,IF(D70=Цены!$H$43,Цены!$L$43,IF(D70=Цены!$H$44,Цены!$L$44,IF(D70=Цены!$H$45,Цены!$L$45,IF(D70=Цены!$H$46,Цены!$L$46,IF(D70=Цены!$H$47,Цены!$L$47,IF(D70=Цены!$H$48,Цены!$L$48,IF(D70=Цены!$H$49,Цены!$L$49,IF(D70=Цены!$H$50,Цены!$L$50,IF(D70=Цены!$H$51,Цены!$L$51,IF(D70=Цены!$H$52,Цены!$L$52,IF(D70=Цены!$H$53,Цены!$L$53,IF(D70=Цены!$H$54,Цены!$L$54,IF(D70=Цены!$H$55,Цены!$L$55))))))))))))))))))))))))))))))))))))))))))))))))))))))</f>
        <v>1.32E-2</v>
      </c>
      <c r="G70" s="309"/>
      <c r="H70" s="28">
        <f>IF(D70=Цены!$H$3,Цены!$K$3,IF(D70=Цены!$H$4,Цены!$K$4,IF(D70=Цены!$H$5,Цены!$K$5,IF(D70=Цены!$H$6,Цены!$K$6,IF(D70=Цены!$H$7,Цены!$K$7,IF(D70=Цены!$H$8,Цены!$K$8,IF(D70=Цены!$H$9,Цены!$K$9,IF(D70=Цены!$H$10,Цены!$K$10,IF(D70=Цены!$H$11,Цены!$K$11,IF(D70=Цены!$H$12,Цены!$K$12,IF(D70=Цены!$H$13,Цены!$K$13,IF(D70=Цены!$H$14,Цены!$K$14,IF(D70=Цены!$H$14,Цены!$K$14,IF(D70=Цены!$H$15,Цены!$K$15,IF(D70=Цены!$H$16,Цены!$K$16,IF(D70=Цены!$H$17,Цены!$K$17,IF(D70=Цены!$H$18,Цены!$K$18,IF(D70=Цены!$H$19,Цены!$K$19,IF(D70=Цены!$H$20,Цены!$K$20,IF(D70=Цены!$H$21,Цены!$K$21,IF(D70=Цены!$H$22,Цены!$K$22,IF(D70=Цены!$H$23,Цены!$K$23,IF(D70=Цены!$H$24,Цены!$K$24,IF(D70=Цены!$H$25,Цены!$K$25,IF(D70=Цены!$H$26,Цены!$K$26,IF(D70=Цены!$H$27,Цены!$K$27,IF(D70=Цены!$H$28,Цены!$K$28,IF(D70=Цены!$H$29,Цены!$K$29,IF(D70=Цены!$H$30,Цены!$K$30,IF(D70=Цены!$H$31,Цены!$K$31,IF(D70=Цены!$H$32,Цены!$K$32,IF(D70=Цены!$H$33,Цены!$K$33,IF(D70=Цены!$H$34,Цены!$K$34,IF(D70=Цены!$H$35,Цены!$K$35,IF(D70=Цены!$H$36,Цены!$K$36,IF(D70=Цены!$H$37,Цены!$K$37,IF(D70=Цены!$H$38,Цены!$K$38,IF(D70=Цены!$H$39,Цены!$K$39,IF(D70=Цены!$H$40,Цены!$K$40,IF(D70=Цены!$H$41,Цены!$K$41,IF(D70=Цены!$H$42,Цены!$K$42,IF(D70=Цены!$H$43,Цены!$K$43,IF(D70=Цены!$H$44,Цены!$K$44,IF(D70=Цены!$H$45,Цены!$K$45,IF(D70=Цены!$H$46,Цены!$K$46,IF(D70=Цены!$H$47,Цены!$K$47,IF(D70=Цены!$H$48,Цены!$K$48,IF(D70=Цены!$H$49,Цены!$K$49,IF(D70=Цены!$H$50,Цены!$K$50,IF(D70=Цены!$H$51,Цены!$K$51,IF(D70=Цены!$H$52,Цены!$K$52,IF(D70=Цены!$H$53,Цены!$K$53,IF(D70=Цены!$H$54,Цены!$K$54,IF(D70=Цены!$H$55,Цены!$K$55))))))))))))))))))))))))))))))))))))))))))))))))))))))</f>
        <v>54</v>
      </c>
      <c r="I70" s="265"/>
      <c r="J70" s="265"/>
      <c r="K70" s="266"/>
      <c r="L70" s="267"/>
      <c r="M70" s="267"/>
      <c r="N70" s="268"/>
      <c r="O70" s="310"/>
      <c r="P70" s="270"/>
      <c r="Q70" s="210"/>
      <c r="R70" s="30"/>
      <c r="S70" s="27" t="b">
        <f>IF(Q70=Цены!$H$3,Цены!$L$3,IF(Q70=Цены!$H$4,Цены!$L$4,IF(Q70=Цены!$H$5,Цены!$L$5,IF(Q70=Цены!$H$6,Цены!$L$6,IF(Q70=Цены!$H$7,Цены!$L$7,IF(Q70=Цены!$H$8,Цены!$L$8,IF(Q70=Цены!$H$9,Цены!$L$9,IF(Q70=Цены!$H$10,Цены!$L$10,IF(Q70=Цены!$H$11,Цены!$L$11,IF(Q70=Цены!$H$12,Цены!$L$12,IF(Q70=Цены!$H$13,Цены!$L$13,IF(Q70=Цены!$H$14,Цены!$L$14,IF(Q70=Цены!$H$14,Цены!$L$14,IF(Q70=Цены!$H$15,Цены!$L$15,IF(Q70=Цены!$H$16,Цены!$L$16,IF(Q70=Цены!$H$17,Цены!$L$17,IF(Q70=Цены!$H$18,Цены!$L$18,IF(Q70=Цены!$H$19,Цены!$L$19,IF(Q70=Цены!$H$20,Цены!$L$20,IF(Q70=Цены!$H$21,Цены!$L$21,IF(Q70=Цены!$H$22,Цены!$L$22,IF(Q70=Цены!$H$23,Цены!$L$23,IF(Q70=Цены!$H$24,Цены!$L$24,IF(Q70=Цены!$H$25,Цены!$L$25,IF(Q70=Цены!$H$26,Цены!$L$26,IF(Q70=Цены!$H$27,Цены!$L$27,IF(Q70=Цены!$H$28,Цены!$L$28,IF(Q70=Цены!$H$29,Цены!$L$29,IF(Q70=Цены!$H$30,Цены!$L$30,IF(Q70=Цены!$H$31,Цены!$L$31,IF(Q70=Цены!$H$32,Цены!$L$32,IF(Q70=Цены!$H$33,Цены!$L$33,IF(Q70=Цены!$H$34,Цены!$L$34,IF(Q70=Цены!$H$35,Цены!$L$35,IF(Q70=Цены!$H$36,Цены!$L$36,IF(Q70=Цены!$H$37,Цены!$L$37,IF(Q70=Цены!$H$38,Цены!$L$38,IF(Q70=Цены!$H$39,Цены!$L$39,IF(Q70=Цены!$H$40,Цены!$L$40,IF(Q70=Цены!$H$41,Цены!$L$41,IF(Q70=Цены!$H$42,Цены!$L$42,IF(Q70=Цены!$H$43,Цены!$L$43,IF(Q70=Цены!$H$44,Цены!$L$44,IF(Q70=Цены!$H$45,Цены!$L$45,IF(Q70=Цены!$H$46,Цены!$L$46,IF(Q70=Цены!$H$47,Цены!$L$47,IF(Q70=Цены!$H$48,Цены!$L$48,IF(Q70=Цены!$H$49,Цены!$L$49,IF(Q70=Цены!$H$50,Цены!$L$50,IF(Q70=Цены!$H$51,Цены!$L$51,IF(Q70=Цены!$H$52,Цены!$L$52,IF(Q70=Цены!$H$53,Цены!$L$53,IF(Q70=Цены!$H$54,Цены!$L$54,IF(Q70=Цены!$H$55,Цены!$L$55))))))))))))))))))))))))))))))))))))))))))))))))))))))</f>
        <v>0</v>
      </c>
      <c r="T70" s="309"/>
      <c r="U70" s="162" t="b">
        <f>IF(Q70=Цены!$H$3,Цены!$K$3,IF(Q70=Цены!$H$4,Цены!$K$4,IF(Q70=Цены!$H$5,Цены!$K$5,IF(Q70=Цены!$H$6,Цены!$K$6,IF(Q70=Цены!$H$7,Цены!$K$7,IF(Q70=Цены!$H$8,Цены!$K$8,IF(Q70=Цены!$H$9,Цены!$K$9,IF(Q70=Цены!$H$10,Цены!$K$10,IF(Q70=Цены!$H$11,Цены!$K$11,IF(Q70=Цены!$H$12,Цены!$K$12,IF(Q70=Цены!$H$13,Цены!$K$13,IF(Q70=Цены!$H$14,Цены!$K$14,IF(Q70=Цены!$H$14,Цены!$K$14,IF(Q70=Цены!$H$15,Цены!$K$15,IF(Q70=Цены!$H$16,Цены!$K$16,IF(Q70=Цены!$H$17,Цены!$K$17,IF(Q70=Цены!$H$18,Цены!$K$18,IF(Q70=Цены!$H$19,Цены!$K$19,IF(Q70=Цены!$H$20,Цены!$K$20,IF(Q70=Цены!$H$21,Цены!$K$21,IF(Q70=Цены!$H$22,Цены!$K$22,IF(Q70=Цены!$H$23,Цены!$K$23,IF(Q70=Цены!$H$24,Цены!$K$24,IF(Q70=Цены!$H$25,Цены!$K$25,IF(Q70=Цены!$H$26,Цены!$K$26,IF(Q70=Цены!$H$27,Цены!$K$27,IF(Q70=Цены!$H$28,Цены!$K$28,IF(Q70=Цены!$H$29,Цены!$K$29,IF(Q70=Цены!$H$30,Цены!$K$30,IF(Q70=Цены!$H$31,Цены!$K$31,IF(Q70=Цены!$H$32,Цены!$K$32,IF(Q70=Цены!$H$33,Цены!$K$33,IF(Q70=Цены!$H$34,Цены!$K$34,IF(Q70=Цены!$H$35,Цены!$K$35,IF(Q70=Цены!$H$36,Цены!$K$36,IF(Q70=Цены!$H$37,Цены!$K$37,IF(Q70=Цены!$H$38,Цены!$K$38,IF(Q70=Цены!$H$39,Цены!$K$39,IF(Q70=Цены!$H$40,Цены!$K$40,IF(Q70=Цены!$H$41,Цены!$K$41,IF(Q70=Цены!$H$42,Цены!$K$42,IF(Q70=Цены!$H$43,Цены!$K$43,IF(Q70=Цены!$H$44,Цены!$K$44,IF(Q70=Цены!$H$45,Цены!$K$45,IF(Q70=Цены!$H$46,Цены!$K$46,IF(Q70=Цены!$H$47,Цены!$K$47,IF(Q70=Цены!$H$48,Цены!$K$48,IF(Q70=Цены!$H$49,Цены!$K$49,IF(Q70=Цены!$H$50,Цены!$K$50,IF(Q70=Цены!$H$51,Цены!$K$51,IF(Q70=Цены!$H$52,Цены!$K$52,IF(Q70=Цены!$H$53,Цены!$K$53,IF(Q70=Цены!$H$54,Цены!$K$54,IF(Q70=Цены!$H$55,Цены!$K$55))))))))))))))))))))))))))))))))))))))))))))))))))))))</f>
        <v>0</v>
      </c>
      <c r="V70" s="265"/>
      <c r="W70" s="265"/>
      <c r="X70" s="266"/>
      <c r="Y70" s="267"/>
      <c r="Z70" s="267"/>
      <c r="AA70" s="320"/>
      <c r="AB70" s="310"/>
      <c r="AC70" s="270"/>
      <c r="AD70" s="209" t="s">
        <v>144</v>
      </c>
      <c r="AE70" s="30">
        <v>5</v>
      </c>
      <c r="AF70" s="27">
        <f>IF(AD70=Цены!$H$3,Цены!$L$3,IF(AD70=Цены!$H$4,Цены!$L$4,IF(AD70=Цены!$H$5,Цены!$L$5,IF(AD70=Цены!$H$6,Цены!$L$6,IF(AD70=Цены!$H$7,Цены!$L$7,IF(AD70=Цены!$H$8,Цены!$L$8,IF(AD70=Цены!$H$9,Цены!$L$9,IF(AD70=Цены!$H$10,Цены!$L$10,IF(AD70=Цены!$H$11,Цены!$L$11,IF(AD70=Цены!$H$12,Цены!$L$12,IF(AD70=Цены!$H$13,Цены!$L$13,IF(AD70=Цены!$H$14,Цены!$L$14,IF(AD70=Цены!$H$14,Цены!$L$14,IF(AD70=Цены!$H$15,Цены!$L$15,IF(AD70=Цены!$H$16,Цены!$L$16,IF(AD70=Цены!$H$17,Цены!$L$17,IF(AD70=Цены!$H$18,Цены!$L$18,IF(AD70=Цены!$H$19,Цены!$L$19,IF(AD70=Цены!$H$20,Цены!$L$20,IF(AD70=Цены!$H$21,Цены!$L$21,IF(AD70=Цены!$H$22,Цены!$L$22,IF(AD70=Цены!$H$23,Цены!$L$23,IF(AD70=Цены!$H$24,Цены!$L$24,IF(AD70=Цены!$H$25,Цены!$L$25,IF(AD70=Цены!$H$26,Цены!$L$26,IF(AD70=Цены!$H$27,Цены!$L$27,IF(AD70=Цены!$H$28,Цены!$L$28,IF(AD70=Цены!$H$29,Цены!$L$29,IF(AD70=Цены!$H$30,Цены!$L$30,IF(AD70=Цены!$H$31,Цены!$L$31,IF(AD70=Цены!$H$32,Цены!$L$32,IF(AD70=Цены!$H$33,Цены!$L$33,IF(AD70=Цены!$H$34,Цены!$L$34,IF(AD70=Цены!$H$35,Цены!$L$35,IF(AD70=Цены!$H$36,Цены!$L$36,IF(AD70=Цены!$H$37,Цены!$L$37,IF(AD70=Цены!$H$38,Цены!$L$38,IF(AD70=Цены!$H$39,Цены!$L$39,IF(AD70=Цены!$H$40,Цены!$L$40,IF(AD70=Цены!$H$41,Цены!$L$41,IF(AD70=Цены!$H$42,Цены!$L$42,IF(AD70=Цены!$H$43,Цены!$L$43,IF(AD70=Цены!$H$44,Цены!$L$44,IF(AD70=Цены!$H$45,Цены!$L$45,IF(AD70=Цены!$H$46,Цены!$L$46,IF(AD70=Цены!$H$47,Цены!$L$47,IF(AD70=Цены!$H$48,Цены!$L$48,IF(AD70=Цены!$H$49,Цены!$L$49,IF(AD70=Цены!$H$50,Цены!$L$50,IF(AD70=Цены!$H$51,Цены!$L$51,IF(AD70=Цены!$H$52,Цены!$L$52,IF(AD70=Цены!$H$53,Цены!$L$53,IF(AD70=Цены!$H$54,Цены!$L$54,IF(AD70=Цены!$H$55,Цены!$L$55))))))))))))))))))))))))))))))))))))))))))))))))))))))</f>
        <v>0.19</v>
      </c>
      <c r="AG70" s="309"/>
      <c r="AH70" s="28">
        <f>IF(AD70=Цены!$H$3,Цены!$K$3,IF(AD70=Цены!$H$4,Цены!$K$4,IF(AD70=Цены!$H$5,Цены!$K$5,IF(AD70=Цены!$H$6,Цены!$K$6,IF(AD70=Цены!$H$7,Цены!$K$7,IF(AD70=Цены!$H$8,Цены!$K$8,IF(AD70=Цены!$H$9,Цены!$K$9,IF(AD70=Цены!$H$10,Цены!$K$10,IF(AD70=Цены!$H$11,Цены!$K$11,IF(AD70=Цены!$H$12,Цены!$K$12,IF(AD70=Цены!$H$13,Цены!$K$13,IF(AD70=Цены!$H$14,Цены!$K$14,IF(AD70=Цены!$H$14,Цены!$K$14,IF(AD70=Цены!$H$15,Цены!$K$15,IF(AD70=Цены!$H$16,Цены!$K$16,IF(AD70=Цены!$H$17,Цены!$K$17,IF(AD70=Цены!$H$18,Цены!$K$18,IF(AD70=Цены!$H$19,Цены!$K$19,IF(AD70=Цены!$H$20,Цены!$K$20,IF(AD70=Цены!$H$21,Цены!$K$21,IF(AD70=Цены!$H$22,Цены!$K$22,IF(AD70=Цены!$H$23,Цены!$K$23,IF(AD70=Цены!$H$24,Цены!$K$24,IF(AD70=Цены!$H$25,Цены!$K$25,IF(AD70=Цены!$H$26,Цены!$K$26,IF(AD70=Цены!$H$27,Цены!$K$27,IF(AD70=Цены!$H$28,Цены!$K$28,IF(AD70=Цены!$H$29,Цены!$K$29,IF(AD70=Цены!$H$30,Цены!$K$30,IF(AD70=Цены!$H$31,Цены!$K$31,IF(AD70=Цены!$H$32,Цены!$K$32,IF(AD70=Цены!$H$33,Цены!$K$33,IF(AD70=Цены!$H$34,Цены!$K$34,IF(AD70=Цены!$H$35,Цены!$K$35,IF(AD70=Цены!$H$36,Цены!$K$36,IF(AD70=Цены!$H$37,Цены!$K$37,IF(AD70=Цены!$H$38,Цены!$K$38,IF(AD70=Цены!$H$39,Цены!$K$39,IF(AD70=Цены!$H$40,Цены!$K$40,IF(AD70=Цены!$H$41,Цены!$K$41,IF(AD70=Цены!$H$42,Цены!$K$42,IF(AD70=Цены!$H$43,Цены!$K$43,IF(AD70=Цены!$H$44,Цены!$K$44,IF(AD70=Цены!$H$45,Цены!$K$45,IF(AD70=Цены!$H$46,Цены!$K$46,IF(AD70=Цены!$H$47,Цены!$K$47,IF(AD70=Цены!$H$48,Цены!$K$48,IF(AD70=Цены!$H$49,Цены!$K$49,IF(AD70=Цены!$H$50,Цены!$K$50,IF(AD70=Цены!$H$51,Цены!$K$51,IF(AD70=Цены!$H$52,Цены!$K$52,IF(AD70=Цены!$H$53,Цены!$K$53,IF(AD70=Цены!$H$54,Цены!$K$54,IF(AD70=Цены!$H$55,Цены!$K$55))))))))))))))))))))))))))))))))))))))))))))))))))))))</f>
        <v>448</v>
      </c>
      <c r="AI70" s="265"/>
      <c r="AJ70" s="265"/>
      <c r="AK70" s="266"/>
      <c r="AL70" s="267"/>
      <c r="AM70" s="267"/>
      <c r="AN70" s="268"/>
      <c r="AO70" s="310"/>
      <c r="AP70" s="270"/>
      <c r="AQ70" s="213"/>
      <c r="AR70" s="129"/>
      <c r="AS70" s="33" t="b">
        <f>IF(AQ70=Цены!$H$3,Цены!$L$3,IF(AQ70=Цены!$H$4,Цены!$L$4,IF(AQ70=Цены!$H$5,Цены!$L$5,IF(AQ70=Цены!$H$6,Цены!$L$6,IF(AQ70=Цены!$H$7,Цены!$L$7,IF(AQ70=Цены!$H$8,Цены!$L$8,IF(AQ70=Цены!$H$9,Цены!$L$9,IF(AQ70=Цены!$H$10,Цены!$L$10,IF(AQ70=Цены!$H$11,Цены!$L$11,IF(AQ70=Цены!$H$12,Цены!$L$12,IF(AQ70=Цены!$H$13,Цены!$L$13,IF(AQ70=Цены!$H$14,Цены!$L$14,IF(AQ70=Цены!$H$14,Цены!$L$14,IF(AQ70=Цены!$H$15,Цены!$L$15,IF(AQ70=Цены!$H$16,Цены!$L$16,IF(AQ70=Цены!$H$17,Цены!$L$17,IF(AQ70=Цены!$H$18,Цены!$L$18,IF(AQ70=Цены!$H$19,Цены!$L$19,IF(AQ70=Цены!$H$20,Цены!$L$20,IF(AQ70=Цены!$H$21,Цены!$L$21,IF(AQ70=Цены!$H$22,Цены!$L$22,IF(AQ70=Цены!$H$23,Цены!$L$23,IF(AQ70=Цены!$H$24,Цены!$L$24,IF(AQ70=Цены!$H$25,Цены!$L$25,IF(AQ70=Цены!$H$26,Цены!$L$26,IF(AQ70=Цены!$H$27,Цены!$L$27,IF(AQ70=Цены!$H$28,Цены!$L$28,IF(AQ70=Цены!$H$29,Цены!$L$29,IF(AQ70=Цены!$H$30,Цены!$L$30,IF(AQ70=Цены!$H$31,Цены!$L$31,IF(AQ70=Цены!$H$32,Цены!$L$32,IF(AQ70=Цены!$H$33,Цены!$L$33,IF(AQ70=Цены!$H$34,Цены!$L$34,IF(AQ70=Цены!$H$35,Цены!$L$35,IF(AQ70=Цены!$H$36,Цены!$L$36,IF(AQ70=Цены!$H$37,Цены!$L$37,IF(AQ70=Цены!$H$38,Цены!$L$38,IF(AQ70=Цены!$H$39,Цены!$L$39,IF(AQ70=Цены!$H$40,Цены!$L$40,IF(AQ70=Цены!$H$41,Цены!$L$41,IF(AQ70=Цены!$H$42,Цены!$L$42,IF(AQ70=Цены!$H$43,Цены!$L$43,IF(AQ70=Цены!$H$44,Цены!$L$44,IF(AQ70=Цены!$H$45,Цены!$L$45,IF(AQ70=Цены!$H$46,Цены!$L$46,IF(AQ70=Цены!$H$47,Цены!$L$47,IF(AQ70=Цены!$H$48,Цены!$L$48,IF(AQ70=Цены!$H$49,Цены!$L$49,IF(AQ70=Цены!$H$50,Цены!$L$50,IF(AQ70=Цены!$H$51,Цены!$L$51,IF(AQ70=Цены!$H$52,Цены!$L$52,IF(AQ70=Цены!$H$53,Цены!$L$53,IF(AQ70=Цены!$H$54,Цены!$L$54,IF(AQ70=Цены!$H$55,Цены!$L$55))))))))))))))))))))))))))))))))))))))))))))))))))))))</f>
        <v>0</v>
      </c>
      <c r="AT70" s="276"/>
      <c r="AU70" s="34" t="b">
        <f>IF(AQ70=Цены!$H$3,Цены!$K$3,IF(AQ70=Цены!$H$4,Цены!$K$4,IF(AQ70=Цены!$H$5,Цены!$K$5,IF(AQ70=Цены!$H$6,Цены!$K$6,IF(AQ70=Цены!$H$7,Цены!$K$7,IF(AQ70=Цены!$H$8,Цены!$K$8,IF(AQ70=Цены!$H$9,Цены!$K$9,IF(AQ70=Цены!$H$10,Цены!$K$10,IF(AQ70=Цены!$H$11,Цены!$K$11,IF(AQ70=Цены!$H$12,Цены!$K$12,IF(AQ70=Цены!$H$13,Цены!$K$13,IF(AQ70=Цены!$H$14,Цены!$K$14,IF(AQ70=Цены!$H$14,Цены!$K$14,IF(AQ70=Цены!$H$15,Цены!$K$15,IF(AQ70=Цены!$H$16,Цены!$K$16,IF(AQ70=Цены!$H$17,Цены!$K$17,IF(AQ70=Цены!$H$18,Цены!$K$18,IF(AQ70=Цены!$H$19,Цены!$K$19,IF(AQ70=Цены!$H$20,Цены!$K$20,IF(AQ70=Цены!$H$21,Цены!$K$21,IF(AQ70=Цены!$H$22,Цены!$K$22,IF(AQ70=Цены!$H$23,Цены!$K$23,IF(AQ70=Цены!$H$24,Цены!$K$24,IF(AQ70=Цены!$H$25,Цены!$K$25,IF(AQ70=Цены!$H$26,Цены!$K$26,IF(AQ70=Цены!$H$27,Цены!$K$27,IF(AQ70=Цены!$H$28,Цены!$K$28,IF(AQ70=Цены!$H$29,Цены!$K$29,IF(AQ70=Цены!$H$30,Цены!$K$30,IF(AQ70=Цены!$H$31,Цены!$K$31,IF(AQ70=Цены!$H$32,Цены!$K$32,IF(AQ70=Цены!$H$33,Цены!$K$33,IF(AQ70=Цены!$H$34,Цены!$K$34,IF(AQ70=Цены!$H$35,Цены!$K$35,IF(AQ70=Цены!$H$36,Цены!$K$36,IF(AQ70=Цены!$H$37,Цены!$K$37,IF(AQ70=Цены!$H$38,Цены!$K$38,IF(AQ70=Цены!$H$39,Цены!$K$39,IF(AQ70=Цены!$H$40,Цены!$K$40,IF(AQ70=Цены!$H$41,Цены!$K$41,IF(AQ70=Цены!$H$42,Цены!$K$42,IF(AQ70=Цены!$H$43,Цены!$K$43,IF(AQ70=Цены!$H$44,Цены!$K$44,IF(AQ70=Цены!$H$45,Цены!$K$45,IF(AQ70=Цены!$H$46,Цены!$K$46,IF(AQ70=Цены!$H$47,Цены!$K$47,IF(AQ70=Цены!$H$48,Цены!$K$48,IF(AQ70=Цены!$H$49,Цены!$K$49,IF(AQ70=Цены!$H$50,Цены!$K$50,IF(AQ70=Цены!$H$51,Цены!$K$51,IF(AQ70=Цены!$H$52,Цены!$K$52,IF(AQ70=Цены!$H$53,Цены!$K$53,IF(AQ70=Цены!$H$54,Цены!$K$54,IF(AQ70=Цены!$H$55,Цены!$K$55))))))))))))))))))))))))))))))))))))))))))))))))))))))</f>
        <v>0</v>
      </c>
      <c r="AV70" s="265"/>
      <c r="AW70" s="265"/>
      <c r="AX70" s="266"/>
      <c r="AY70" s="267"/>
      <c r="AZ70" s="267"/>
      <c r="BA70" s="268"/>
      <c r="BB70" s="269"/>
      <c r="BC70" s="270"/>
      <c r="BD70" s="260"/>
      <c r="BE70" s="210"/>
      <c r="BF70" s="71"/>
      <c r="BG70" s="33" t="b">
        <f>IF(BE70=Цены!$H$3,Цены!$L$3,IF(BE70=Цены!$H$4,Цены!$L$4,IF(BE70=Цены!$H$5,Цены!$L$5,IF(BE70=Цены!$H$6,Цены!$L$6,IF(BE70=Цены!$H$7,Цены!$L$7,IF(BE70=Цены!$H$8,Цены!$L$8,IF(BE70=Цены!$H$9,Цены!$L$9,IF(BE70=Цены!$H$10,Цены!$L$10,IF(BE70=Цены!$H$11,Цены!$L$11,IF(BE70=Цены!$H$12,Цены!$L$12,IF(BE70=Цены!$H$13,Цены!$L$13,IF(BE70=Цены!$H$14,Цены!$L$14,IF(BE70=Цены!$H$14,Цены!$L$14,IF(BE70=Цены!$H$15,Цены!$L$15,IF(BE70=Цены!$H$16,Цены!$L$16,IF(BE70=Цены!$H$17,Цены!$L$17,IF(BE70=Цены!$H$18,Цены!$L$18,IF(BE70=Цены!$H$19,Цены!$L$19,IF(BE70=Цены!$H$20,Цены!$L$20,IF(BE70=Цены!$H$21,Цены!$L$21,IF(BE70=Цены!$H$22,Цены!$L$22,IF(BE70=Цены!$H$23,Цены!$L$23,IF(BE70=Цены!$H$24,Цены!$L$24,IF(BE70=Цены!$H$25,Цены!$L$25,IF(BE70=Цены!$H$26,Цены!$L$26,IF(BE70=Цены!$H$27,Цены!$L$27,IF(BE70=Цены!$H$28,Цены!$L$28,IF(BE70=Цены!$H$29,Цены!$L$29,IF(BE70=Цены!$H$30,Цены!$L$30,IF(BE70=Цены!$H$31,Цены!$L$31,IF(BE70=Цены!$H$32,Цены!$L$32,IF(BE70=Цены!$H$33,Цены!$L$33,IF(BE70=Цены!$H$34,Цены!$L$34,IF(BE70=Цены!$H$35,Цены!$L$35,IF(BE70=Цены!$H$36,Цены!$L$36,IF(BE70=Цены!$H$37,Цены!$L$37,IF(BE70=Цены!$H$38,Цены!$L$38,IF(BE70=Цены!$H$39,Цены!$L$39,IF(BE70=Цены!$H$40,Цены!$L$40,IF(BE70=Цены!$H$41,Цены!$L$41,IF(BE70=Цены!$H$42,Цены!$L$42,IF(BE70=Цены!$H$43,Цены!$L$43,IF(BE70=Цены!$H$44,Цены!$L$44,IF(BE70=Цены!$H$45,Цены!$L$45,IF(BE70=Цены!$H$46,Цены!$L$46,IF(BE70=Цены!$H$47,Цены!$L$47,IF(BE70=Цены!$H$48,Цены!$L$48,IF(BE70=Цены!$H$49,Цены!$L$49,IF(BE70=Цены!$H$50,Цены!$L$50,IF(BE70=Цены!$H$51,Цены!$L$51,IF(BE70=Цены!$H$52,Цены!$L$52,IF(BE70=Цены!$H$53,Цены!$L$53,IF(BE70=Цены!$H$54,Цены!$L$54,IF(BE70=Цены!$H$55,Цены!$L$55))))))))))))))))))))))))))))))))))))))))))))))))))))))</f>
        <v>0</v>
      </c>
      <c r="BH70" s="276"/>
      <c r="BI70" s="34" t="b">
        <f>IF(BE70=Цены!$H$3,Цены!$K$3,IF(BE70=Цены!$H$4,Цены!$K$4,IF(BE70=Цены!$H$5,Цены!$K$5,IF(BE70=Цены!$H$6,Цены!$K$6,IF(BE70=Цены!$H$7,Цены!$K$7,IF(BE70=Цены!$H$8,Цены!$K$8,IF(BE70=Цены!$H$9,Цены!$K$9,IF(BE70=Цены!$H$10,Цены!$K$10,IF(BE70=Цены!$H$11,Цены!$K$11,IF(BE70=Цены!$H$12,Цены!$K$12,IF(BE70=Цены!$H$13,Цены!$K$13,IF(BE70=Цены!$H$14,Цены!$K$14,IF(BE70=Цены!$H$14,Цены!$K$14,IF(BE70=Цены!$H$15,Цены!$K$15,IF(BE70=Цены!$H$16,Цены!$K$16,IF(BE70=Цены!$H$17,Цены!$K$17,IF(BE70=Цены!$H$18,Цены!$K$18,IF(BE70=Цены!$H$19,Цены!$K$19,IF(BE70=Цены!$H$20,Цены!$K$20,IF(BE70=Цены!$H$21,Цены!$K$21,IF(BE70=Цены!$H$22,Цены!$K$22,IF(BE70=Цены!$H$23,Цены!$K$23,IF(BE70=Цены!$H$24,Цены!$K$24,IF(BE70=Цены!$H$25,Цены!$K$25,IF(BE70=Цены!$H$26,Цены!$K$26,IF(BE70=Цены!$H$27,Цены!$K$27,IF(BE70=Цены!$H$28,Цены!$K$28,IF(BE70=Цены!$H$29,Цены!$K$29,IF(BE70=Цены!$H$30,Цены!$K$30,IF(BE70=Цены!$H$31,Цены!$K$31,IF(BE70=Цены!$H$32,Цены!$K$32,IF(BE70=Цены!$H$33,Цены!$K$33,IF(BE70=Цены!$H$34,Цены!$K$34,IF(BE70=Цены!$H$35,Цены!$K$35,IF(BE70=Цены!$H$36,Цены!$K$36,IF(BE70=Цены!$H$37,Цены!$K$37,IF(BE70=Цены!$H$38,Цены!$K$38,IF(BE70=Цены!$H$39,Цены!$K$39,IF(BE70=Цены!$H$40,Цены!$K$40,IF(BE70=Цены!$H$41,Цены!$K$41,IF(BE70=Цены!$H$42,Цены!$K$42,IF(BE70=Цены!$H$43,Цены!$K$43,IF(BE70=Цены!$H$44,Цены!$K$44,IF(BE70=Цены!$H$45,Цены!$K$45,IF(BE70=Цены!$H$46,Цены!$K$46,IF(BE70=Цены!$H$47,Цены!$K$47,IF(BE70=Цены!$H$48,Цены!$K$48,IF(BE70=Цены!$H$49,Цены!$K$49,IF(BE70=Цены!$H$50,Цены!$K$50,IF(BE70=Цены!$H$51,Цены!$K$51,IF(BE70=Цены!$H$52,Цены!$K$52,IF(BE70=Цены!$H$53,Цены!$K$53,IF(BE70=Цены!$H$54,Цены!$K$54,IF(BE70=Цены!$H$55,Цены!$K$55))))))))))))))))))))))))))))))))))))))))))))))))))))))</f>
        <v>0</v>
      </c>
      <c r="BJ70" s="265"/>
      <c r="BK70" s="265"/>
      <c r="BL70" s="266"/>
      <c r="BM70" s="267"/>
      <c r="BN70" s="267"/>
      <c r="BO70" s="268"/>
      <c r="BP70" s="269"/>
      <c r="BQ70" s="270"/>
      <c r="BR70" s="210"/>
      <c r="BS70" s="43"/>
      <c r="BT70" s="33" t="b">
        <f>IF(BR70=Цены!$H$3,Цены!$L$3,IF(BR70=Цены!$H$4,Цены!$L$4,IF(BR70=Цены!$H$5,Цены!$L$5,IF(BR70=Цены!$H$6,Цены!$L$6,IF(BR70=Цены!$H$7,Цены!$L$7,IF(BR70=Цены!$H$8,Цены!$L$8,IF(BR70=Цены!$H$9,Цены!$L$9,IF(BR70=Цены!$H$10,Цены!$L$10,IF(BR70=Цены!$H$11,Цены!$L$11,IF(BR70=Цены!$H$12,Цены!$L$12,IF(BR70=Цены!$H$13,Цены!$L$13,IF(BR70=Цены!$H$14,Цены!$L$14,IF(BR70=Цены!$H$14,Цены!$L$14,IF(BR70=Цены!$H$15,Цены!$L$15,IF(BR70=Цены!$H$16,Цены!$L$16,IF(BR70=Цены!$H$17,Цены!$L$17,IF(BR70=Цены!$H$18,Цены!$L$18,IF(BR70=Цены!$H$19,Цены!$L$19,IF(BR70=Цены!$H$20,Цены!$L$20,IF(BR70=Цены!$H$21,Цены!$L$21,IF(BR70=Цены!$H$22,Цены!$L$22,IF(BR70=Цены!$H$23,Цены!$L$23,IF(BR70=Цены!$H$24,Цены!$L$24,IF(BR70=Цены!$H$25,Цены!$L$25,IF(BR70=Цены!$H$26,Цены!$L$26,IF(BR70=Цены!$H$27,Цены!$L$27,IF(BR70=Цены!$H$28,Цены!$L$28,IF(BR70=Цены!$H$29,Цены!$L$29,IF(BR70=Цены!$H$30,Цены!$L$30,IF(BR70=Цены!$H$31,Цены!$L$31,IF(BR70=Цены!$H$32,Цены!$L$32,IF(BR70=Цены!$H$33,Цены!$L$33,IF(BR70=Цены!$H$34,Цены!$L$34,IF(BR70=Цены!$H$35,Цены!$L$35,IF(BR70=Цены!$H$36,Цены!$L$36,IF(BR70=Цены!$H$37,Цены!$L$37,IF(BR70=Цены!$H$38,Цены!$L$38,IF(BR70=Цены!$H$39,Цены!$L$39,IF(BR70=Цены!$H$40,Цены!$L$40,IF(BR70=Цены!$H$41,Цены!$L$41,IF(BR70=Цены!$H$42,Цены!$L$42,IF(BR70=Цены!$H$43,Цены!$L$43,IF(BR70=Цены!$H$44,Цены!$L$44,IF(BR70=Цены!$H$45,Цены!$L$45,IF(BR70=Цены!$H$46,Цены!$L$46,IF(BR70=Цены!$H$47,Цены!$L$47,IF(BR70=Цены!$H$48,Цены!$L$48,IF(BR70=Цены!$H$49,Цены!$L$49,IF(BR70=Цены!$H$50,Цены!$L$50,IF(BR70=Цены!$H$51,Цены!$L$51,IF(BR70=Цены!$H$52,Цены!$L$52,IF(BR70=Цены!$H$53,Цены!$L$53,IF(BR70=Цены!$H$54,Цены!$L$54,IF(BR70=Цены!$H$55,Цены!$L$55))))))))))))))))))))))))))))))))))))))))))))))))))))))</f>
        <v>0</v>
      </c>
      <c r="BU70" s="276"/>
      <c r="BV70" s="34" t="b">
        <f>IF(BR70=Цены!$H$3,Цены!$K$3,IF(BR70=Цены!$H$4,Цены!$K$4,IF(BR70=Цены!$H$5,Цены!$K$5,IF(BR70=Цены!$H$6,Цены!$K$6,IF(BR70=Цены!$H$7,Цены!$K$7,IF(BR70=Цены!$H$8,Цены!$K$8,IF(BR70=Цены!$H$9,Цены!$K$9,IF(BR70=Цены!$H$10,Цены!$K$10,IF(BR70=Цены!$H$11,Цены!$K$11,IF(BR70=Цены!$H$12,Цены!$K$12,IF(BR70=Цены!$H$13,Цены!$K$13,IF(BR70=Цены!$H$14,Цены!$K$14,IF(BR70=Цены!$H$14,Цены!$K$14,IF(BR70=Цены!$H$15,Цены!$K$15,IF(BR70=Цены!$H$16,Цены!$K$16,IF(BR70=Цены!$H$17,Цены!$K$17,IF(BR70=Цены!$H$18,Цены!$K$18,IF(BR70=Цены!$H$19,Цены!$K$19,IF(BR70=Цены!$H$20,Цены!$K$20,IF(BR70=Цены!$H$21,Цены!$K$21,IF(BR70=Цены!$H$22,Цены!$K$22,IF(BR70=Цены!$H$23,Цены!$K$23,IF(BR70=Цены!$H$24,Цены!$K$24,IF(BR70=Цены!$H$25,Цены!$K$25,IF(BR70=Цены!$H$26,Цены!$K$26,IF(BR70=Цены!$H$27,Цены!$K$27,IF(BR70=Цены!$H$28,Цены!$K$28,IF(BR70=Цены!$H$29,Цены!$K$29,IF(BR70=Цены!$H$30,Цены!$K$30,IF(BR70=Цены!$H$31,Цены!$K$31,IF(BR70=Цены!$H$32,Цены!$K$32,IF(BR70=Цены!$H$33,Цены!$K$33,IF(BR70=Цены!$H$34,Цены!$K$34,IF(BR70=Цены!$H$35,Цены!$K$35,IF(BR70=Цены!$H$36,Цены!$K$36,IF(BR70=Цены!$H$37,Цены!$K$37,IF(BR70=Цены!$H$38,Цены!$K$38,IF(BR70=Цены!$H$39,Цены!$K$39,IF(BR70=Цены!$H$40,Цены!$K$40,IF(BR70=Цены!$H$41,Цены!$K$41,IF(BR70=Цены!$H$42,Цены!$K$42,IF(BR70=Цены!$H$43,Цены!$K$43,IF(BR70=Цены!$H$44,Цены!$K$44,IF(BR70=Цены!$H$45,Цены!$K$45,IF(BR70=Цены!$H$46,Цены!$K$46,IF(BR70=Цены!$H$47,Цены!$K$47,IF(BR70=Цены!$H$48,Цены!$K$48,IF(BR70=Цены!$H$49,Цены!$K$49,IF(BR70=Цены!$H$50,Цены!$K$50,IF(BR70=Цены!$H$51,Цены!$K$51,IF(BR70=Цены!$H$52,Цены!$K$52,IF(BR70=Цены!$H$53,Цены!$K$53,IF(BR70=Цены!$H$54,Цены!$K$54,IF(BR70=Цены!$H$55,Цены!$K$55))))))))))))))))))))))))))))))))))))))))))))))))))))))</f>
        <v>0</v>
      </c>
      <c r="BW70" s="265"/>
      <c r="BX70" s="265"/>
      <c r="BY70" s="266"/>
      <c r="BZ70" s="267"/>
      <c r="CA70" s="267"/>
      <c r="CB70" s="268"/>
      <c r="CC70" s="269"/>
      <c r="CD70" s="270"/>
      <c r="CE70" s="171" t="s">
        <v>121</v>
      </c>
      <c r="CF70" s="43">
        <v>2</v>
      </c>
      <c r="CG70" s="33">
        <f>IF(CE70=Цены!$H$3,Цены!$L$3,IF(CE70=Цены!$H$4,Цены!$L$4,IF(CE70=Цены!$H$5,Цены!$L$5,IF(CE70=Цены!$H$6,Цены!$L$6,IF(CE70=Цены!$H$7,Цены!$L$7,IF(CE70=Цены!$H$8,Цены!$L$8,IF(CE70=Цены!$H$9,Цены!$L$9,IF(CE70=Цены!$H$10,Цены!$L$10,IF(CE70=Цены!$H$11,Цены!$L$11,IF(CE70=Цены!$H$12,Цены!$L$12,IF(CE70=Цены!$H$13,Цены!$L$13,IF(CE70=Цены!$H$14,Цены!$L$14,IF(CE70=Цены!$H$14,Цены!$L$14,IF(CE70=Цены!$H$15,Цены!$L$15,IF(CE70=Цены!$H$16,Цены!$L$16,IF(CE70=Цены!$H$17,Цены!$L$17,IF(CE70=Цены!$H$18,Цены!$L$18,IF(CE70=Цены!$H$19,Цены!$L$19,IF(CE70=Цены!$H$20,Цены!$L$20,IF(CE70=Цены!$H$21,Цены!$L$21,IF(CE70=Цены!$H$22,Цены!$L$22,IF(CE70=Цены!$H$23,Цены!$L$23,IF(CE70=Цены!$H$24,Цены!$L$24,IF(CE70=Цены!$H$25,Цены!$L$25,IF(CE70=Цены!$H$26,Цены!$L$26,IF(CE70=Цены!$H$27,Цены!$L$27,IF(CE70=Цены!$H$28,Цены!$L$28,IF(CE70=Цены!$H$29,Цены!$L$29,IF(CE70=Цены!$H$30,Цены!$L$30,IF(CE70=Цены!$H$31,Цены!$L$31,IF(CE70=Цены!$H$32,Цены!$L$32,IF(CE70=Цены!$H$33,Цены!$L$33,IF(CE70=Цены!$H$34,Цены!$L$34,IF(CE70=Цены!$H$35,Цены!$L$35,IF(CE70=Цены!$H$36,Цены!$L$36,IF(CE70=Цены!$H$37,Цены!$L$37,IF(CE70=Цены!$H$38,Цены!$L$38,IF(CE70=Цены!$H$39,Цены!$L$39,IF(CE70=Цены!$H$40,Цены!$L$40,IF(CE70=Цены!$H$41,Цены!$L$41,IF(CE70=Цены!$H$42,Цены!$L$42,IF(CE70=Цены!$H$43,Цены!$L$43,IF(CE70=Цены!$H$44,Цены!$L$44,IF(CE70=Цены!$H$45,Цены!$L$45,IF(CE70=Цены!$H$46,Цены!$L$46,IF(CE70=Цены!$H$47,Цены!$L$47,IF(CE70=Цены!$H$48,Цены!$L$48,IF(CE70=Цены!$H$49,Цены!$L$49,IF(CE70=Цены!$H$50,Цены!$L$50,IF(CE70=Цены!$H$51,Цены!$L$51,IF(CE70=Цены!$H$52,Цены!$L$52,IF(CE70=Цены!$H$53,Цены!$L$53,IF(CE70=Цены!$H$54,Цены!$L$54,IF(CE70=Цены!$H$55,Цены!$L$55))))))))))))))))))))))))))))))))))))))))))))))))))))))</f>
        <v>1.32E-2</v>
      </c>
      <c r="CH70" s="276"/>
      <c r="CI70" s="34">
        <f>IF(CE70=Цены!$H$3,Цены!$K$3,IF(CE70=Цены!$H$4,Цены!$K$4,IF(CE70=Цены!$H$5,Цены!$K$5,IF(CE70=Цены!$H$6,Цены!$K$6,IF(CE70=Цены!$H$7,Цены!$K$7,IF(CE70=Цены!$H$8,Цены!$K$8,IF(CE70=Цены!$H$9,Цены!$K$9,IF(CE70=Цены!$H$10,Цены!$K$10,IF(CE70=Цены!$H$11,Цены!$K$11,IF(CE70=Цены!$H$12,Цены!$K$12,IF(CE70=Цены!$H$13,Цены!$K$13,IF(CE70=Цены!$H$14,Цены!$K$14,IF(CE70=Цены!$H$14,Цены!$K$14,IF(CE70=Цены!$H$15,Цены!$K$15,IF(CE70=Цены!$H$16,Цены!$K$16,IF(CE70=Цены!$H$17,Цены!$K$17,IF(CE70=Цены!$H$18,Цены!$K$18,IF(CE70=Цены!$H$19,Цены!$K$19,IF(CE70=Цены!$H$20,Цены!$K$20,IF(CE70=Цены!$H$21,Цены!$K$21,IF(CE70=Цены!$H$22,Цены!$K$22,IF(CE70=Цены!$H$23,Цены!$K$23,IF(CE70=Цены!$H$24,Цены!$K$24,IF(CE70=Цены!$H$25,Цены!$K$25,IF(CE70=Цены!$H$26,Цены!$K$26,IF(CE70=Цены!$H$27,Цены!$K$27,IF(CE70=Цены!$H$28,Цены!$K$28,IF(CE70=Цены!$H$29,Цены!$K$29,IF(CE70=Цены!$H$30,Цены!$K$30,IF(CE70=Цены!$H$31,Цены!$K$31,IF(CE70=Цены!$H$32,Цены!$K$32,IF(CE70=Цены!$H$33,Цены!$K$33,IF(CE70=Цены!$H$34,Цены!$K$34,IF(CE70=Цены!$H$35,Цены!$K$35,IF(CE70=Цены!$H$36,Цены!$K$36,IF(CE70=Цены!$H$37,Цены!$K$37,IF(CE70=Цены!$H$38,Цены!$K$38,IF(CE70=Цены!$H$39,Цены!$K$39,IF(CE70=Цены!$H$40,Цены!$K$40,IF(CE70=Цены!$H$41,Цены!$K$41,IF(CE70=Цены!$H$42,Цены!$K$42,IF(CE70=Цены!$H$43,Цены!$K$43,IF(CE70=Цены!$H$44,Цены!$K$44,IF(CE70=Цены!$H$45,Цены!$K$45,IF(CE70=Цены!$H$46,Цены!$K$46,IF(CE70=Цены!$H$47,Цены!$K$47,IF(CE70=Цены!$H$48,Цены!$K$48,IF(CE70=Цены!$H$49,Цены!$K$49,IF(CE70=Цены!$H$50,Цены!$K$50,IF(CE70=Цены!$H$51,Цены!$K$51,IF(CE70=Цены!$H$52,Цены!$K$52,IF(CE70=Цены!$H$53,Цены!$K$53,IF(CE70=Цены!$H$54,Цены!$K$54,IF(CE70=Цены!$H$55,Цены!$K$55))))))))))))))))))))))))))))))))))))))))))))))))))))))</f>
        <v>54</v>
      </c>
      <c r="CJ70" s="265"/>
      <c r="CK70" s="265"/>
      <c r="CL70" s="266"/>
      <c r="CM70" s="267"/>
      <c r="CN70" s="267"/>
      <c r="CO70" s="268"/>
      <c r="CP70" s="269"/>
      <c r="CQ70" s="270"/>
    </row>
    <row r="71" spans="1:95" s="40" customFormat="1" ht="15" customHeight="1" x14ac:dyDescent="0.25">
      <c r="A71" s="267"/>
      <c r="B71" s="265"/>
      <c r="C71" s="336" t="s">
        <v>120</v>
      </c>
      <c r="D71" s="173" t="s">
        <v>67</v>
      </c>
      <c r="E71" s="168">
        <v>9</v>
      </c>
      <c r="F71" s="46">
        <f>IF(D71=Цены!$H$3,Цены!$L$3,IF(D71=Цены!$H$4,Цены!$L$4,IF(D71=Цены!$H$5,Цены!$L$5,IF(D71=Цены!$H$6,Цены!$L$6,IF(D71=Цены!$H$7,Цены!$L$7,IF(D71=Цены!$H$8,Цены!$L$8,IF(D71=Цены!$H$9,Цены!$L$9,IF(D71=Цены!$H$10,Цены!$L$10,IF(D71=Цены!$H$11,Цены!$L$11,IF(D71=Цены!$H$12,Цены!$L$12,IF(D71=Цены!$H$13,Цены!$L$13,IF(D71=Цены!$H$14,Цены!$L$14,IF(D71=Цены!$H$14,Цены!$L$14,IF(D71=Цены!$H$15,Цены!$L$15,IF(D71=Цены!$H$16,Цены!$L$16,IF(D71=Цены!$H$17,Цены!$L$17,IF(D71=Цены!$H$18,Цены!$L$18,IF(D71=Цены!$H$19,Цены!$L$19,IF(D71=Цены!$H$20,Цены!$L$20,IF(D71=Цены!$H$21,Цены!$L$21,IF(D71=Цены!$H$22,Цены!$L$22,IF(D71=Цены!$H$23,Цены!$L$23,IF(D71=Цены!$H$24,Цены!$L$24,IF(D71=Цены!$H$25,Цены!$L$25,IF(D71=Цены!$H$26,Цены!$L$26,IF(D71=Цены!$H$27,Цены!$L$27,IF(D71=Цены!$H$28,Цены!$L$28,IF(D71=Цены!$H$29,Цены!$L$29,IF(D71=Цены!$H$30,Цены!$L$30,IF(D71=Цены!$H$31,Цены!$L$31,IF(D71=Цены!$H$32,Цены!$L$32,IF(D71=Цены!$H$33,Цены!$L$33,IF(D71=Цены!$H$34,Цены!$L$34,IF(D71=Цены!$H$35,Цены!$L$35,IF(D71=Цены!$H$36,Цены!$L$36,IF(D71=Цены!$H$37,Цены!$L$37,IF(D71=Цены!$H$38,Цены!$L$38,IF(D71=Цены!$H$39,Цены!$L$39,IF(D71=Цены!$H$40,Цены!$L$40,IF(D71=Цены!$H$41,Цены!$L$41,IF(D71=Цены!$H$42,Цены!$L$42,IF(D71=Цены!$H$43,Цены!$L$43,IF(D71=Цены!$H$44,Цены!$L$44,IF(D71=Цены!$H$45,Цены!$L$45,IF(D71=Цены!$H$46,Цены!$L$46,IF(D71=Цены!$H$47,Цены!$L$47,IF(D71=Цены!$H$48,Цены!$L$48,IF(D71=Цены!$H$49,Цены!$L$49,IF(D71=Цены!$H$50,Цены!$L$50,IF(D71=Цены!$H$51,Цены!$L$51,IF(D71=Цены!$H$52,Цены!$L$52,IF(D71=Цены!$H$53,Цены!$L$53,IF(D71=Цены!$H$54,Цены!$L$54,IF(D71=Цены!$H$55,Цены!$L$55))))))))))))))))))))))))))))))))))))))))))))))))))))))</f>
        <v>0.9</v>
      </c>
      <c r="G71" s="339">
        <f>E71*F71+E72*F72+E73*F73+E74*F74</f>
        <v>15.6996</v>
      </c>
      <c r="H71" s="47">
        <f>IF(D71=Цены!$H$3,Цены!$K$3,IF(D71=Цены!$H$4,Цены!$K$4,IF(D71=Цены!$H$5,Цены!$K$5,IF(D71=Цены!$H$6,Цены!$K$6,IF(D71=Цены!$H$7,Цены!$K$7,IF(D71=Цены!$H$8,Цены!$K$8,IF(D71=Цены!$H$9,Цены!$K$9,IF(D71=Цены!$H$10,Цены!$K$10,IF(D71=Цены!$H$11,Цены!$K$11,IF(D71=Цены!$H$12,Цены!$K$12,IF(D71=Цены!$H$13,Цены!$K$13,IF(D71=Цены!$H$14,Цены!$K$14,IF(D71=Цены!$H$14,Цены!$K$14,IF(D71=Цены!$H$15,Цены!$K$15,IF(D71=Цены!$H$16,Цены!$K$16,IF(D71=Цены!$H$17,Цены!$K$17,IF(D71=Цены!$H$18,Цены!$K$18,IF(D71=Цены!$H$19,Цены!$K$19,IF(D71=Цены!$H$20,Цены!$K$20,IF(D71=Цены!$H$21,Цены!$K$21,IF(D71=Цены!$H$22,Цены!$K$22,IF(D71=Цены!$H$23,Цены!$K$23,IF(D71=Цены!$H$24,Цены!$K$24,IF(D71=Цены!$H$25,Цены!$K$25,IF(D71=Цены!$H$26,Цены!$K$26,IF(D71=Цены!$H$27,Цены!$K$27,IF(D71=Цены!$H$28,Цены!$K$28,IF(D71=Цены!$H$29,Цены!$K$29,IF(D71=Цены!$H$30,Цены!$K$30,IF(D71=Цены!$H$31,Цены!$K$31,IF(D71=Цены!$H$32,Цены!$K$32,IF(D71=Цены!$H$33,Цены!$K$33,IF(D71=Цены!$H$34,Цены!$K$34,IF(D71=Цены!$H$35,Цены!$K$35,IF(D71=Цены!$H$36,Цены!$K$36,IF(D71=Цены!$H$37,Цены!$K$37,IF(D71=Цены!$H$38,Цены!$K$38,IF(D71=Цены!$H$39,Цены!$K$39,IF(D71=Цены!$H$40,Цены!$K$40,IF(D71=Цены!$H$41,Цены!$K$41,IF(D71=Цены!$H$42,Цены!$K$42,IF(D71=Цены!$H$43,Цены!$K$43,IF(D71=Цены!$H$44,Цены!$K$44,IF(D71=Цены!$H$45,Цены!$K$45,IF(D71=Цены!$H$46,Цены!$K$46,IF(D71=Цены!$H$47,Цены!$K$47,IF(D71=Цены!$H$48,Цены!$K$48,IF(D71=Цены!$H$49,Цены!$K$49,IF(D71=Цены!$H$50,Цены!$K$50,IF(D71=Цены!$H$51,Цены!$K$51,IF(D71=Цены!$H$52,Цены!$K$52,IF(D71=Цены!$H$53,Цены!$K$53,IF(D71=Цены!$H$54,Цены!$K$54,IF(D71=Цены!$H$55,Цены!$K$55))))))))))))))))))))))))))))))))))))))))))))))))))))))</f>
        <v>338</v>
      </c>
      <c r="I71" s="265"/>
      <c r="J71" s="265"/>
      <c r="K71" s="272">
        <f t="shared" ref="K71" si="129">E71*H71+E72*H72+E73*H73+E74*H74</f>
        <v>8382</v>
      </c>
      <c r="L71" s="273">
        <v>7000</v>
      </c>
      <c r="M71" s="272">
        <f t="shared" ref="M71" si="130">K71+L71</f>
        <v>15382</v>
      </c>
      <c r="N71" s="268"/>
      <c r="O71" s="332">
        <f>N67/M71*100</f>
        <v>52.008841503055514</v>
      </c>
      <c r="P71" s="275">
        <f>MROUND(M71+N67,500)</f>
        <v>23500</v>
      </c>
      <c r="Q71" s="206" t="s">
        <v>143</v>
      </c>
      <c r="R71" s="37">
        <v>10</v>
      </c>
      <c r="S71" s="38">
        <f>IF(Q71=Цены!$H$3,Цены!$L$3,IF(Q71=Цены!$H$4,Цены!$L$4,IF(Q71=Цены!$H$5,Цены!$L$5,IF(Q71=Цены!$H$6,Цены!$L$6,IF(Q71=Цены!$H$7,Цены!$L$7,IF(Q71=Цены!$H$8,Цены!$L$8,IF(Q71=Цены!$H$9,Цены!$L$9,IF(Q71=Цены!$H$10,Цены!$L$10,IF(Q71=Цены!$H$11,Цены!$L$11,IF(Q71=Цены!$H$12,Цены!$L$12,IF(Q71=Цены!$H$13,Цены!$L$13,IF(Q71=Цены!$H$14,Цены!$L$14,IF(Q71=Цены!$H$14,Цены!$L$14,IF(Q71=Цены!$H$15,Цены!$L$15,IF(Q71=Цены!$H$16,Цены!$L$16,IF(Q71=Цены!$H$17,Цены!$L$17,IF(Q71=Цены!$H$18,Цены!$L$18,IF(Q71=Цены!$H$19,Цены!$L$19,IF(Q71=Цены!$H$20,Цены!$L$20,IF(Q71=Цены!$H$21,Цены!$L$21,IF(Q71=Цены!$H$22,Цены!$L$22,IF(Q71=Цены!$H$23,Цены!$L$23,IF(Q71=Цены!$H$24,Цены!$L$24,IF(Q71=Цены!$H$25,Цены!$L$25,IF(Q71=Цены!$H$26,Цены!$L$26,IF(Q71=Цены!$H$27,Цены!$L$27,IF(Q71=Цены!$H$28,Цены!$L$28,IF(Q71=Цены!$H$29,Цены!$L$29,IF(Q71=Цены!$H$30,Цены!$L$30,IF(Q71=Цены!$H$31,Цены!$L$31,IF(Q71=Цены!$H$32,Цены!$L$32,IF(Q71=Цены!$H$33,Цены!$L$33,IF(Q71=Цены!$H$34,Цены!$L$34,IF(Q71=Цены!$H$35,Цены!$L$35,IF(Q71=Цены!$H$36,Цены!$L$36,IF(Q71=Цены!$H$37,Цены!$L$37,IF(Q71=Цены!$H$38,Цены!$L$38,IF(Q71=Цены!$H$39,Цены!$L$39,IF(Q71=Цены!$H$40,Цены!$L$40,IF(Q71=Цены!$H$41,Цены!$L$41,IF(Q71=Цены!$H$42,Цены!$L$42,IF(Q71=Цены!$H$43,Цены!$L$43,IF(Q71=Цены!$H$44,Цены!$L$44,IF(Q71=Цены!$H$45,Цены!$L$45,IF(Q71=Цены!$H$46,Цены!$L$46,IF(Q71=Цены!$H$47,Цены!$L$47,IF(Q71=Цены!$H$48,Цены!$L$48,IF(Q71=Цены!$H$49,Цены!$L$49,IF(Q71=Цены!$H$50,Цены!$L$50,IF(Q71=Цены!$H$51,Цены!$L$51,IF(Q71=Цены!$H$52,Цены!$L$52,IF(Q71=Цены!$H$53,Цены!$L$53,IF(Q71=Цены!$H$54,Цены!$L$54,IF(Q71=Цены!$H$55,Цены!$L$55))))))))))))))))))))))))))))))))))))))))))))))))))))))</f>
        <v>2.4</v>
      </c>
      <c r="T71" s="322">
        <f>R71*S71+R72*S72+R73*S73+R74*S74</f>
        <v>29.75</v>
      </c>
      <c r="U71" s="161">
        <f>IF(Q71=Цены!$H$3,Цены!$K$3,IF(Q71=Цены!$H$4,Цены!$K$4,IF(Q71=Цены!$H$5,Цены!$K$5,IF(Q71=Цены!$H$6,Цены!$K$6,IF(Q71=Цены!$H$7,Цены!$K$7,IF(Q71=Цены!$H$8,Цены!$K$8,IF(Q71=Цены!$H$9,Цены!$K$9,IF(Q71=Цены!$H$10,Цены!$K$10,IF(Q71=Цены!$H$11,Цены!$K$11,IF(Q71=Цены!$H$12,Цены!$K$12,IF(Q71=Цены!$H$13,Цены!$K$13,IF(Q71=Цены!$H$14,Цены!$K$14,IF(Q71=Цены!$H$14,Цены!$K$14,IF(Q71=Цены!$H$15,Цены!$K$15,IF(Q71=Цены!$H$16,Цены!$K$16,IF(Q71=Цены!$H$17,Цены!$K$17,IF(Q71=Цены!$H$18,Цены!$K$18,IF(Q71=Цены!$H$19,Цены!$K$19,IF(Q71=Цены!$H$20,Цены!$K$20,IF(Q71=Цены!$H$21,Цены!$K$21,IF(Q71=Цены!$H$22,Цены!$K$22,IF(Q71=Цены!$H$23,Цены!$K$23,IF(Q71=Цены!$H$24,Цены!$K$24,IF(Q71=Цены!$H$25,Цены!$K$25,IF(Q71=Цены!$H$26,Цены!$K$26,IF(Q71=Цены!$H$27,Цены!$K$27,IF(Q71=Цены!$H$28,Цены!$K$28,IF(Q71=Цены!$H$29,Цены!$K$29,IF(Q71=Цены!$H$30,Цены!$K$30,IF(Q71=Цены!$H$31,Цены!$K$31,IF(Q71=Цены!$H$32,Цены!$K$32,IF(Q71=Цены!$H$33,Цены!$K$33,IF(Q71=Цены!$H$34,Цены!$K$34,IF(Q71=Цены!$H$35,Цены!$K$35,IF(Q71=Цены!$H$36,Цены!$K$36,IF(Q71=Цены!$H$37,Цены!$K$37,IF(Q71=Цены!$H$38,Цены!$K$38,IF(Q71=Цены!$H$39,Цены!$K$39,IF(Q71=Цены!$H$40,Цены!$K$40,IF(Q71=Цены!$H$41,Цены!$K$41,IF(Q71=Цены!$H$42,Цены!$K$42,IF(Q71=Цены!$H$43,Цены!$K$43,IF(Q71=Цены!$H$44,Цены!$K$44,IF(Q71=Цены!$H$45,Цены!$K$45,IF(Q71=Цены!$H$46,Цены!$K$46,IF(Q71=Цены!$H$47,Цены!$K$47,IF(Q71=Цены!$H$48,Цены!$K$48,IF(Q71=Цены!$H$49,Цены!$K$49,IF(Q71=Цены!$H$50,Цены!$K$50,IF(Q71=Цены!$H$51,Цены!$K$51,IF(Q71=Цены!$H$52,Цены!$K$52,IF(Q71=Цены!$H$53,Цены!$K$53,IF(Q71=Цены!$H$54,Цены!$K$54,IF(Q71=Цены!$H$55,Цены!$K$55))))))))))))))))))))))))))))))))))))))))))))))))))))))</f>
        <v>469</v>
      </c>
      <c r="V71" s="265"/>
      <c r="W71" s="265"/>
      <c r="X71" s="272">
        <f t="shared" ref="X71" si="131">R71*U71+R72*U72+R73*U73+R74*U74</f>
        <v>6690</v>
      </c>
      <c r="Y71" s="273">
        <v>4000</v>
      </c>
      <c r="Z71" s="272">
        <f t="shared" ref="Z71" si="132">X71+Y71</f>
        <v>10690</v>
      </c>
      <c r="AA71" s="320"/>
      <c r="AB71" s="323">
        <f>AA67/Z71*100</f>
        <v>46.772684752104773</v>
      </c>
      <c r="AC71" s="275">
        <f>MROUND(Z71+AA67,500)</f>
        <v>15500</v>
      </c>
      <c r="AD71" s="211" t="s">
        <v>69</v>
      </c>
      <c r="AE71" s="67">
        <v>9</v>
      </c>
      <c r="AF71" s="68">
        <f>IF(AD71=Цены!$H$3,Цены!$L$3,IF(AD71=Цены!$H$4,Цены!$L$4,IF(AD71=Цены!$H$5,Цены!$L$5,IF(AD71=Цены!$H$6,Цены!$L$6,IF(AD71=Цены!$H$7,Цены!$L$7,IF(AD71=Цены!$H$8,Цены!$L$8,IF(AD71=Цены!$H$9,Цены!$L$9,IF(AD71=Цены!$H$10,Цены!$L$10,IF(AD71=Цены!$H$11,Цены!$L$11,IF(AD71=Цены!$H$12,Цены!$L$12,IF(AD71=Цены!$H$13,Цены!$L$13,IF(AD71=Цены!$H$14,Цены!$L$14,IF(AD71=Цены!$H$14,Цены!$L$14,IF(AD71=Цены!$H$15,Цены!$L$15,IF(AD71=Цены!$H$16,Цены!$L$16,IF(AD71=Цены!$H$17,Цены!$L$17,IF(AD71=Цены!$H$18,Цены!$L$18,IF(AD71=Цены!$H$19,Цены!$L$19,IF(AD71=Цены!$H$20,Цены!$L$20,IF(AD71=Цены!$H$21,Цены!$L$21,IF(AD71=Цены!$H$22,Цены!$L$22,IF(AD71=Цены!$H$23,Цены!$L$23,IF(AD71=Цены!$H$24,Цены!$L$24,IF(AD71=Цены!$H$25,Цены!$L$25,IF(AD71=Цены!$H$26,Цены!$L$26,IF(AD71=Цены!$H$27,Цены!$L$27,IF(AD71=Цены!$H$28,Цены!$L$28,IF(AD71=Цены!$H$29,Цены!$L$29,IF(AD71=Цены!$H$30,Цены!$L$30,IF(AD71=Цены!$H$31,Цены!$L$31,IF(AD71=Цены!$H$32,Цены!$L$32,IF(AD71=Цены!$H$33,Цены!$L$33,IF(AD71=Цены!$H$34,Цены!$L$34,IF(AD71=Цены!$H$35,Цены!$L$35,IF(AD71=Цены!$H$36,Цены!$L$36,IF(AD71=Цены!$H$37,Цены!$L$37,IF(AD71=Цены!$H$38,Цены!$L$38,IF(AD71=Цены!$H$39,Цены!$L$39,IF(AD71=Цены!$H$40,Цены!$L$40,IF(AD71=Цены!$H$41,Цены!$L$41,IF(AD71=Цены!$H$42,Цены!$L$42,IF(AD71=Цены!$H$43,Цены!$L$43,IF(AD71=Цены!$H$44,Цены!$L$44,IF(AD71=Цены!$H$45,Цены!$L$45,IF(AD71=Цены!$H$46,Цены!$L$46,IF(AD71=Цены!$H$47,Цены!$L$47,IF(AD71=Цены!$H$48,Цены!$L$48,IF(AD71=Цены!$H$49,Цены!$L$49,IF(AD71=Цены!$H$50,Цены!$L$50,IF(AD71=Цены!$H$51,Цены!$L$51,IF(AD71=Цены!$H$52,Цены!$L$52,IF(AD71=Цены!$H$53,Цены!$L$53,IF(AD71=Цены!$H$54,Цены!$L$54,IF(AD71=Цены!$H$55,Цены!$L$55))))))))))))))))))))))))))))))))))))))))))))))))))))))</f>
        <v>1.19</v>
      </c>
      <c r="AG71" s="311">
        <f>AE71*AF71+AE72*AF72+AE73*AF73+AE74*AF74</f>
        <v>43.660000000000004</v>
      </c>
      <c r="AH71" s="69">
        <f>IF(AD71=Цены!$H$3,Цены!$K$3,IF(AD71=Цены!$H$4,Цены!$K$4,IF(AD71=Цены!$H$5,Цены!$K$5,IF(AD71=Цены!$H$6,Цены!$K$6,IF(AD71=Цены!$H$7,Цены!$K$7,IF(AD71=Цены!$H$8,Цены!$K$8,IF(AD71=Цены!$H$9,Цены!$K$9,IF(AD71=Цены!$H$10,Цены!$K$10,IF(AD71=Цены!$H$11,Цены!$K$11,IF(AD71=Цены!$H$12,Цены!$K$12,IF(AD71=Цены!$H$13,Цены!$K$13,IF(AD71=Цены!$H$14,Цены!$K$14,IF(AD71=Цены!$H$14,Цены!$K$14,IF(AD71=Цены!$H$15,Цены!$K$15,IF(AD71=Цены!$H$16,Цены!$K$16,IF(AD71=Цены!$H$17,Цены!$K$17,IF(AD71=Цены!$H$18,Цены!$K$18,IF(AD71=Цены!$H$19,Цены!$K$19,IF(AD71=Цены!$H$20,Цены!$K$20,IF(AD71=Цены!$H$21,Цены!$K$21,IF(AD71=Цены!$H$22,Цены!$K$22,IF(AD71=Цены!$H$23,Цены!$K$23,IF(AD71=Цены!$H$24,Цены!$K$24,IF(AD71=Цены!$H$25,Цены!$K$25,IF(AD71=Цены!$H$26,Цены!$K$26,IF(AD71=Цены!$H$27,Цены!$K$27,IF(AD71=Цены!$H$28,Цены!$K$28,IF(AD71=Цены!$H$29,Цены!$K$29,IF(AD71=Цены!$H$30,Цены!$K$30,IF(AD71=Цены!$H$31,Цены!$K$31,IF(AD71=Цены!$H$32,Цены!$K$32,IF(AD71=Цены!$H$33,Цены!$K$33,IF(AD71=Цены!$H$34,Цены!$K$34,IF(AD71=Цены!$H$35,Цены!$K$35,IF(AD71=Цены!$H$36,Цены!$K$36,IF(AD71=Цены!$H$37,Цены!$K$37,IF(AD71=Цены!$H$38,Цены!$K$38,IF(AD71=Цены!$H$39,Цены!$K$39,IF(AD71=Цены!$H$40,Цены!$K$40,IF(AD71=Цены!$H$41,Цены!$K$41,IF(AD71=Цены!$H$42,Цены!$K$42,IF(AD71=Цены!$H$43,Цены!$K$43,IF(AD71=Цены!$H$44,Цены!$K$44,IF(AD71=Цены!$H$45,Цены!$K$45,IF(AD71=Цены!$H$46,Цены!$K$46,IF(AD71=Цены!$H$47,Цены!$K$47,IF(AD71=Цены!$H$48,Цены!$K$48,IF(AD71=Цены!$H$49,Цены!$K$49,IF(AD71=Цены!$H$50,Цены!$K$50,IF(AD71=Цены!$H$51,Цены!$K$51,IF(AD71=Цены!$H$52,Цены!$K$52,IF(AD71=Цены!$H$53,Цены!$K$53,IF(AD71=Цены!$H$54,Цены!$K$54,IF(AD71=Цены!$H$55,Цены!$K$55))))))))))))))))))))))))))))))))))))))))))))))))))))))</f>
        <v>398</v>
      </c>
      <c r="AI71" s="265"/>
      <c r="AJ71" s="265"/>
      <c r="AK71" s="272">
        <f t="shared" ref="AK71" si="133">AE71*AH71+AE72*AH72+AE73*AH73+AE74*AH74</f>
        <v>11818</v>
      </c>
      <c r="AL71" s="273">
        <v>9000</v>
      </c>
      <c r="AM71" s="272">
        <f t="shared" ref="AM71" si="134">AK71+AL71</f>
        <v>20818</v>
      </c>
      <c r="AN71" s="268"/>
      <c r="AO71" s="312">
        <f>AN67/AM71*100</f>
        <v>48.035354020559126</v>
      </c>
      <c r="AP71" s="275">
        <f>MROUND(AM71+AN67,500)</f>
        <v>31000</v>
      </c>
      <c r="AQ71" s="206" t="s">
        <v>146</v>
      </c>
      <c r="AR71" s="131">
        <v>4</v>
      </c>
      <c r="AS71" s="80">
        <f>IF(AQ71=Цены!$H$3,Цены!$L$3,IF(AQ71=Цены!$H$4,Цены!$L$4,IF(AQ71=Цены!$H$5,Цены!$L$5,IF(AQ71=Цены!$H$6,Цены!$L$6,IF(AQ71=Цены!$H$7,Цены!$L$7,IF(AQ71=Цены!$H$8,Цены!$L$8,IF(AQ71=Цены!$H$9,Цены!$L$9,IF(AQ71=Цены!$H$10,Цены!$L$10,IF(AQ71=Цены!$H$11,Цены!$L$11,IF(AQ71=Цены!$H$12,Цены!$L$12,IF(AQ71=Цены!$H$13,Цены!$L$13,IF(AQ71=Цены!$H$14,Цены!$L$14,IF(AQ71=Цены!$H$14,Цены!$L$14,IF(AQ71=Цены!$H$15,Цены!$L$15,IF(AQ71=Цены!$H$16,Цены!$L$16,IF(AQ71=Цены!$H$17,Цены!$L$17,IF(AQ71=Цены!$H$18,Цены!$L$18,IF(AQ71=Цены!$H$19,Цены!$L$19,IF(AQ71=Цены!$H$20,Цены!$L$20,IF(AQ71=Цены!$H$21,Цены!$L$21,IF(AQ71=Цены!$H$22,Цены!$L$22,IF(AQ71=Цены!$H$23,Цены!$L$23,IF(AQ71=Цены!$H$24,Цены!$L$24,IF(AQ71=Цены!$H$25,Цены!$L$25,IF(AQ71=Цены!$H$26,Цены!$L$26,IF(AQ71=Цены!$H$27,Цены!$L$27,IF(AQ71=Цены!$H$28,Цены!$L$28,IF(AQ71=Цены!$H$29,Цены!$L$29,IF(AQ71=Цены!$H$30,Цены!$L$30,IF(AQ71=Цены!$H$31,Цены!$L$31,IF(AQ71=Цены!$H$32,Цены!$L$32,IF(AQ71=Цены!$H$33,Цены!$L$33,IF(AQ71=Цены!$H$34,Цены!$L$34,IF(AQ71=Цены!$H$35,Цены!$L$35,IF(AQ71=Цены!$H$36,Цены!$L$36,IF(AQ71=Цены!$H$37,Цены!$L$37,IF(AQ71=Цены!$H$38,Цены!$L$38,IF(AQ71=Цены!$H$39,Цены!$L$39,IF(AQ71=Цены!$H$40,Цены!$L$40,IF(AQ71=Цены!$H$41,Цены!$L$41,IF(AQ71=Цены!$H$42,Цены!$L$42,IF(AQ71=Цены!$H$43,Цены!$L$43,IF(AQ71=Цены!$H$44,Цены!$L$44,IF(AQ71=Цены!$H$45,Цены!$L$45,IF(AQ71=Цены!$H$46,Цены!$L$46,IF(AQ71=Цены!$H$47,Цены!$L$47,IF(AQ71=Цены!$H$48,Цены!$L$48,IF(AQ71=Цены!$H$49,Цены!$L$49,IF(AQ71=Цены!$H$50,Цены!$L$50,IF(AQ71=Цены!$H$51,Цены!$L$51,IF(AQ71=Цены!$H$52,Цены!$L$52,IF(AQ71=Цены!$H$53,Цены!$L$53,IF(AQ71=Цены!$H$54,Цены!$L$54,IF(AQ71=Цены!$H$55,Цены!$L$55))))))))))))))))))))))))))))))))))))))))))))))))))))))</f>
        <v>1.19</v>
      </c>
      <c r="AT71" s="271">
        <f>AR71*AS71+AR72*AS72+AR73*AS73+AR74*AS74</f>
        <v>16.009999999999998</v>
      </c>
      <c r="AU71" s="81">
        <f>IF(AQ71=Цены!$H$3,Цены!$K$3,IF(AQ71=Цены!$H$4,Цены!$K$4,IF(AQ71=Цены!$H$5,Цены!$K$5,IF(AQ71=Цены!$H$6,Цены!$K$6,IF(AQ71=Цены!$H$7,Цены!$K$7,IF(AQ71=Цены!$H$8,Цены!$K$8,IF(AQ71=Цены!$H$9,Цены!$K$9,IF(AQ71=Цены!$H$10,Цены!$K$10,IF(AQ71=Цены!$H$11,Цены!$K$11,IF(AQ71=Цены!$H$12,Цены!$K$12,IF(AQ71=Цены!$H$13,Цены!$K$13,IF(AQ71=Цены!$H$14,Цены!$K$14,IF(AQ71=Цены!$H$14,Цены!$K$14,IF(AQ71=Цены!$H$15,Цены!$K$15,IF(AQ71=Цены!$H$16,Цены!$K$16,IF(AQ71=Цены!$H$17,Цены!$K$17,IF(AQ71=Цены!$H$18,Цены!$K$18,IF(AQ71=Цены!$H$19,Цены!$K$19,IF(AQ71=Цены!$H$20,Цены!$K$20,IF(AQ71=Цены!$H$21,Цены!$K$21,IF(AQ71=Цены!$H$22,Цены!$K$22,IF(AQ71=Цены!$H$23,Цены!$K$23,IF(AQ71=Цены!$H$24,Цены!$K$24,IF(AQ71=Цены!$H$25,Цены!$K$25,IF(AQ71=Цены!$H$26,Цены!$K$26,IF(AQ71=Цены!$H$27,Цены!$K$27,IF(AQ71=Цены!$H$28,Цены!$K$28,IF(AQ71=Цены!$H$29,Цены!$K$29,IF(AQ71=Цены!$H$30,Цены!$K$30,IF(AQ71=Цены!$H$31,Цены!$K$31,IF(AQ71=Цены!$H$32,Цены!$K$32,IF(AQ71=Цены!$H$33,Цены!$K$33,IF(AQ71=Цены!$H$34,Цены!$K$34,IF(AQ71=Цены!$H$35,Цены!$K$35,IF(AQ71=Цены!$H$36,Цены!$K$36,IF(AQ71=Цены!$H$37,Цены!$K$37,IF(AQ71=Цены!$H$38,Цены!$K$38,IF(AQ71=Цены!$H$39,Цены!$K$39,IF(AQ71=Цены!$H$40,Цены!$K$40,IF(AQ71=Цены!$H$41,Цены!$K$41,IF(AQ71=Цены!$H$42,Цены!$K$42,IF(AQ71=Цены!$H$43,Цены!$K$43,IF(AQ71=Цены!$H$44,Цены!$K$44,IF(AQ71=Цены!$H$45,Цены!$K$45,IF(AQ71=Цены!$H$46,Цены!$K$46,IF(AQ71=Цены!$H$47,Цены!$K$47,IF(AQ71=Цены!$H$48,Цены!$K$48,IF(AQ71=Цены!$H$49,Цены!$K$49,IF(AQ71=Цены!$H$50,Цены!$K$50,IF(AQ71=Цены!$H$51,Цены!$K$51,IF(AQ71=Цены!$H$52,Цены!$K$52,IF(AQ71=Цены!$H$53,Цены!$K$53,IF(AQ71=Цены!$H$54,Цены!$K$54,IF(AQ71=Цены!$H$55,Цены!$K$55))))))))))))))))))))))))))))))))))))))))))))))))))))))</f>
        <v>398</v>
      </c>
      <c r="AV71" s="265"/>
      <c r="AW71" s="265"/>
      <c r="AX71" s="272">
        <f t="shared" ref="AX71" si="135">AR71*AU71+AR72*AU72+AR73*AU73+AR74*AU74</f>
        <v>4448</v>
      </c>
      <c r="AY71" s="273">
        <v>6000</v>
      </c>
      <c r="AZ71" s="272">
        <f t="shared" ref="AZ71" si="136">AX71+AY71</f>
        <v>10448</v>
      </c>
      <c r="BA71" s="268"/>
      <c r="BB71" s="274">
        <f>BA67/AZ71*100</f>
        <v>57.427258805513013</v>
      </c>
      <c r="BC71" s="275">
        <f>MROUND(AZ71+BA67,500)</f>
        <v>16500</v>
      </c>
      <c r="BD71" s="261">
        <f t="shared" ref="BD71" si="137">BC71+CQ71</f>
        <v>23000</v>
      </c>
      <c r="BE71" s="206" t="s">
        <v>141</v>
      </c>
      <c r="BF71" s="106">
        <v>6</v>
      </c>
      <c r="BG71" s="103">
        <f>IF(BE71=Цены!$H$3,Цены!$L$3,IF(BE71=Цены!$H$4,Цены!$L$4,IF(BE71=Цены!$H$5,Цены!$L$5,IF(BE71=Цены!$H$6,Цены!$L$6,IF(BE71=Цены!$H$7,Цены!$L$7,IF(BE71=Цены!$H$8,Цены!$L$8,IF(BE71=Цены!$H$9,Цены!$L$9,IF(BE71=Цены!$H$10,Цены!$L$10,IF(BE71=Цены!$H$11,Цены!$L$11,IF(BE71=Цены!$H$12,Цены!$L$12,IF(BE71=Цены!$H$13,Цены!$L$13,IF(BE71=Цены!$H$14,Цены!$L$14,IF(BE71=Цены!$H$14,Цены!$L$14,IF(BE71=Цены!$H$15,Цены!$L$15,IF(BE71=Цены!$H$16,Цены!$L$16,IF(BE71=Цены!$H$17,Цены!$L$17,IF(BE71=Цены!$H$18,Цены!$L$18,IF(BE71=Цены!$H$19,Цены!$L$19,IF(BE71=Цены!$H$20,Цены!$L$20,IF(BE71=Цены!$H$21,Цены!$L$21,IF(BE71=Цены!$H$22,Цены!$L$22,IF(BE71=Цены!$H$23,Цены!$L$23,IF(BE71=Цены!$H$24,Цены!$L$24,IF(BE71=Цены!$H$25,Цены!$L$25,IF(BE71=Цены!$H$26,Цены!$L$26,IF(BE71=Цены!$H$27,Цены!$L$27,IF(BE71=Цены!$H$28,Цены!$L$28,IF(BE71=Цены!$H$29,Цены!$L$29,IF(BE71=Цены!$H$30,Цены!$L$30,IF(BE71=Цены!$H$31,Цены!$L$31,IF(BE71=Цены!$H$32,Цены!$L$32,IF(BE71=Цены!$H$33,Цены!$L$33,IF(BE71=Цены!$H$34,Цены!$L$34,IF(BE71=Цены!$H$35,Цены!$L$35,IF(BE71=Цены!$H$36,Цены!$L$36,IF(BE71=Цены!$H$37,Цены!$L$37,IF(BE71=Цены!$H$38,Цены!$L$38,IF(BE71=Цены!$H$39,Цены!$L$39,IF(BE71=Цены!$H$40,Цены!$L$40,IF(BE71=Цены!$H$41,Цены!$L$41,IF(BE71=Цены!$H$42,Цены!$L$42,IF(BE71=Цены!$H$43,Цены!$L$43,IF(BE71=Цены!$H$44,Цены!$L$44,IF(BE71=Цены!$H$45,Цены!$L$45,IF(BE71=Цены!$H$46,Цены!$L$46,IF(BE71=Цены!$H$47,Цены!$L$47,IF(BE71=Цены!$H$48,Цены!$L$48,IF(BE71=Цены!$H$49,Цены!$L$49,IF(BE71=Цены!$H$50,Цены!$L$50,IF(BE71=Цены!$H$51,Цены!$L$51,IF(BE71=Цены!$H$52,Цены!$L$52,IF(BE71=Цены!$H$53,Цены!$L$53,IF(BE71=Цены!$H$54,Цены!$L$54,IF(BE71=Цены!$H$55,Цены!$L$55))))))))))))))))))))))))))))))))))))))))))))))))))))))</f>
        <v>0.9</v>
      </c>
      <c r="BH71" s="280">
        <f>BF71*BG71+BF72*BG72+BF73*BG73+BF74*BG74</f>
        <v>8.52</v>
      </c>
      <c r="BI71" s="104">
        <f>IF(BE71=Цены!$H$3,Цены!$K$3,IF(BE71=Цены!$H$4,Цены!$K$4,IF(BE71=Цены!$H$5,Цены!$K$5,IF(BE71=Цены!$H$6,Цены!$K$6,IF(BE71=Цены!$H$7,Цены!$K$7,IF(BE71=Цены!$H$8,Цены!$K$8,IF(BE71=Цены!$H$9,Цены!$K$9,IF(BE71=Цены!$H$10,Цены!$K$10,IF(BE71=Цены!$H$11,Цены!$K$11,IF(BE71=Цены!$H$12,Цены!$K$12,IF(BE71=Цены!$H$13,Цены!$K$13,IF(BE71=Цены!$H$14,Цены!$K$14,IF(BE71=Цены!$H$14,Цены!$K$14,IF(BE71=Цены!$H$15,Цены!$K$15,IF(BE71=Цены!$H$16,Цены!$K$16,IF(BE71=Цены!$H$17,Цены!$K$17,IF(BE71=Цены!$H$18,Цены!$K$18,IF(BE71=Цены!$H$19,Цены!$K$19,IF(BE71=Цены!$H$20,Цены!$K$20,IF(BE71=Цены!$H$21,Цены!$K$21,IF(BE71=Цены!$H$22,Цены!$K$22,IF(BE71=Цены!$H$23,Цены!$K$23,IF(BE71=Цены!$H$24,Цены!$K$24,IF(BE71=Цены!$H$25,Цены!$K$25,IF(BE71=Цены!$H$26,Цены!$K$26,IF(BE71=Цены!$H$27,Цены!$K$27,IF(BE71=Цены!$H$28,Цены!$K$28,IF(BE71=Цены!$H$29,Цены!$K$29,IF(BE71=Цены!$H$30,Цены!$K$30,IF(BE71=Цены!$H$31,Цены!$K$31,IF(BE71=Цены!$H$32,Цены!$K$32,IF(BE71=Цены!$H$33,Цены!$K$33,IF(BE71=Цены!$H$34,Цены!$K$34,IF(BE71=Цены!$H$35,Цены!$K$35,IF(BE71=Цены!$H$36,Цены!$K$36,IF(BE71=Цены!$H$37,Цены!$K$37,IF(BE71=Цены!$H$38,Цены!$K$38,IF(BE71=Цены!$H$39,Цены!$K$39,IF(BE71=Цены!$H$40,Цены!$K$40,IF(BE71=Цены!$H$41,Цены!$K$41,IF(BE71=Цены!$H$42,Цены!$K$42,IF(BE71=Цены!$H$43,Цены!$K$43,IF(BE71=Цены!$H$44,Цены!$K$44,IF(BE71=Цены!$H$45,Цены!$K$45,IF(BE71=Цены!$H$46,Цены!$K$46,IF(BE71=Цены!$H$47,Цены!$K$47,IF(BE71=Цены!$H$48,Цены!$K$48,IF(BE71=Цены!$H$49,Цены!$K$49,IF(BE71=Цены!$H$50,Цены!$K$50,IF(BE71=Цены!$H$51,Цены!$K$51,IF(BE71=Цены!$H$52,Цены!$K$52,IF(BE71=Цены!$H$53,Цены!$K$53,IF(BE71=Цены!$H$54,Цены!$K$54,IF(BE71=Цены!$H$55,Цены!$K$55))))))))))))))))))))))))))))))))))))))))))))))))))))))</f>
        <v>338</v>
      </c>
      <c r="BJ71" s="265"/>
      <c r="BK71" s="265"/>
      <c r="BL71" s="272">
        <f t="shared" ref="BL71" si="138">BF71*BI71+BF72*BI72+BF73*BI73+BF74*BI74</f>
        <v>3816</v>
      </c>
      <c r="BM71" s="273">
        <v>5500</v>
      </c>
      <c r="BN71" s="272">
        <f t="shared" ref="BN71" si="139">BL71+BM71</f>
        <v>9316</v>
      </c>
      <c r="BO71" s="268"/>
      <c r="BP71" s="281">
        <f>BO67/BN71*100</f>
        <v>64.405324173465004</v>
      </c>
      <c r="BQ71" s="275">
        <f>MROUND(BN71+BO67,500)</f>
        <v>15500</v>
      </c>
      <c r="BR71" s="218" t="s">
        <v>67</v>
      </c>
      <c r="BS71" s="108">
        <v>2</v>
      </c>
      <c r="BT71" s="109">
        <f>IF(BR71=Цены!$H$3,Цены!$L$3,IF(BR71=Цены!$H$4,Цены!$L$4,IF(BR71=Цены!$H$5,Цены!$L$5,IF(BR71=Цены!$H$6,Цены!$L$6,IF(BR71=Цены!$H$7,Цены!$L$7,IF(BR71=Цены!$H$8,Цены!$L$8,IF(BR71=Цены!$H$9,Цены!$L$9,IF(BR71=Цены!$H$10,Цены!$L$10,IF(BR71=Цены!$H$11,Цены!$L$11,IF(BR71=Цены!$H$12,Цены!$L$12,IF(BR71=Цены!$H$13,Цены!$L$13,IF(BR71=Цены!$H$14,Цены!$L$14,IF(BR71=Цены!$H$14,Цены!$L$14,IF(BR71=Цены!$H$15,Цены!$L$15,IF(BR71=Цены!$H$16,Цены!$L$16,IF(BR71=Цены!$H$17,Цены!$L$17,IF(BR71=Цены!$H$18,Цены!$L$18,IF(BR71=Цены!$H$19,Цены!$L$19,IF(BR71=Цены!$H$20,Цены!$L$20,IF(BR71=Цены!$H$21,Цены!$L$21,IF(BR71=Цены!$H$22,Цены!$L$22,IF(BR71=Цены!$H$23,Цены!$L$23,IF(BR71=Цены!$H$24,Цены!$L$24,IF(BR71=Цены!$H$25,Цены!$L$25,IF(BR71=Цены!$H$26,Цены!$L$26,IF(BR71=Цены!$H$27,Цены!$L$27,IF(BR71=Цены!$H$28,Цены!$L$28,IF(BR71=Цены!$H$29,Цены!$L$29,IF(BR71=Цены!$H$30,Цены!$L$30,IF(BR71=Цены!$H$31,Цены!$L$31,IF(BR71=Цены!$H$32,Цены!$L$32,IF(BR71=Цены!$H$33,Цены!$L$33,IF(BR71=Цены!$H$34,Цены!$L$34,IF(BR71=Цены!$H$35,Цены!$L$35,IF(BR71=Цены!$H$36,Цены!$L$36,IF(BR71=Цены!$H$37,Цены!$L$37,IF(BR71=Цены!$H$38,Цены!$L$38,IF(BR71=Цены!$H$39,Цены!$L$39,IF(BR71=Цены!$H$40,Цены!$L$40,IF(BR71=Цены!$H$41,Цены!$L$41,IF(BR71=Цены!$H$42,Цены!$L$42,IF(BR71=Цены!$H$43,Цены!$L$43,IF(BR71=Цены!$H$44,Цены!$L$44,IF(BR71=Цены!$H$45,Цены!$L$45,IF(BR71=Цены!$H$46,Цены!$L$46,IF(BR71=Цены!$H$47,Цены!$L$47,IF(BR71=Цены!$H$48,Цены!$L$48,IF(BR71=Цены!$H$49,Цены!$L$49,IF(BR71=Цены!$H$50,Цены!$L$50,IF(BR71=Цены!$H$51,Цены!$L$51,IF(BR71=Цены!$H$52,Цены!$L$52,IF(BR71=Цены!$H$53,Цены!$L$53,IF(BR71=Цены!$H$54,Цены!$L$54,IF(BR71=Цены!$H$55,Цены!$L$55))))))))))))))))))))))))))))))))))))))))))))))))))))))</f>
        <v>0.9</v>
      </c>
      <c r="BU71" s="284">
        <f>BS71*BT71+BS72*BT72+BS73*BT73+BS74*BT74</f>
        <v>3.3600000000000003</v>
      </c>
      <c r="BV71" s="110">
        <f>IF(BR71=Цены!$H$3,Цены!$K$3,IF(BR71=Цены!$H$4,Цены!$K$4,IF(BR71=Цены!$H$5,Цены!$K$5,IF(BR71=Цены!$H$6,Цены!$K$6,IF(BR71=Цены!$H$7,Цены!$K$7,IF(BR71=Цены!$H$8,Цены!$K$8,IF(BR71=Цены!$H$9,Цены!$K$9,IF(BR71=Цены!$H$10,Цены!$K$10,IF(BR71=Цены!$H$11,Цены!$K$11,IF(BR71=Цены!$H$12,Цены!$K$12,IF(BR71=Цены!$H$13,Цены!$K$13,IF(BR71=Цены!$H$14,Цены!$K$14,IF(BR71=Цены!$H$14,Цены!$K$14,IF(BR71=Цены!$H$15,Цены!$K$15,IF(BR71=Цены!$H$16,Цены!$K$16,IF(BR71=Цены!$H$17,Цены!$K$17,IF(BR71=Цены!$H$18,Цены!$K$18,IF(BR71=Цены!$H$19,Цены!$K$19,IF(BR71=Цены!$H$20,Цены!$K$20,IF(BR71=Цены!$H$21,Цены!$K$21,IF(BR71=Цены!$H$22,Цены!$K$22,IF(BR71=Цены!$H$23,Цены!$K$23,IF(BR71=Цены!$H$24,Цены!$K$24,IF(BR71=Цены!$H$25,Цены!$K$25,IF(BR71=Цены!$H$26,Цены!$K$26,IF(BR71=Цены!$H$27,Цены!$K$27,IF(BR71=Цены!$H$28,Цены!$K$28,IF(BR71=Цены!$H$29,Цены!$K$29,IF(BR71=Цены!$H$30,Цены!$K$30,IF(BR71=Цены!$H$31,Цены!$K$31,IF(BR71=Цены!$H$32,Цены!$K$32,IF(BR71=Цены!$H$33,Цены!$K$33,IF(BR71=Цены!$H$34,Цены!$K$34,IF(BR71=Цены!$H$35,Цены!$K$35,IF(BR71=Цены!$H$36,Цены!$K$36,IF(BR71=Цены!$H$37,Цены!$K$37,IF(BR71=Цены!$H$38,Цены!$K$38,IF(BR71=Цены!$H$39,Цены!$K$39,IF(BR71=Цены!$H$40,Цены!$K$40,IF(BR71=Цены!$H$41,Цены!$K$41,IF(BR71=Цены!$H$42,Цены!$K$42,IF(BR71=Цены!$H$43,Цены!$K$43,IF(BR71=Цены!$H$44,Цены!$K$44,IF(BR71=Цены!$H$45,Цены!$K$45,IF(BR71=Цены!$H$46,Цены!$K$46,IF(BR71=Цены!$H$47,Цены!$K$47,IF(BR71=Цены!$H$48,Цены!$K$48,IF(BR71=Цены!$H$49,Цены!$K$49,IF(BR71=Цены!$H$50,Цены!$K$50,IF(BR71=Цены!$H$51,Цены!$K$51,IF(BR71=Цены!$H$52,Цены!$K$52,IF(BR71=Цены!$H$53,Цены!$K$53,IF(BR71=Цены!$H$54,Цены!$K$54,IF(BR71=Цены!$H$55,Цены!$K$55))))))))))))))))))))))))))))))))))))))))))))))))))))))</f>
        <v>338</v>
      </c>
      <c r="BW71" s="265"/>
      <c r="BX71" s="265"/>
      <c r="BY71" s="272">
        <f t="shared" ref="BY71" si="140">BS71*BV71+BS72*BV72+BS73*BV73+BS74*BV74</f>
        <v>1570</v>
      </c>
      <c r="BZ71" s="273">
        <v>1000</v>
      </c>
      <c r="CA71" s="272">
        <f t="shared" ref="CA71" si="141">BY71+BZ71</f>
        <v>2570</v>
      </c>
      <c r="CB71" s="268"/>
      <c r="CC71" s="285">
        <f>CB67/CA71*100</f>
        <v>77.821011673151759</v>
      </c>
      <c r="CD71" s="275">
        <f>MROUND(CA71+CB67,500)</f>
        <v>4500</v>
      </c>
      <c r="CE71" s="173" t="s">
        <v>67</v>
      </c>
      <c r="CF71" s="112">
        <v>2</v>
      </c>
      <c r="CG71" s="113">
        <f>IF(CE71=Цены!$H$3,Цены!$L$3,IF(CE71=Цены!$H$4,Цены!$L$4,IF(CE71=Цены!$H$5,Цены!$L$5,IF(CE71=Цены!$H$6,Цены!$L$6,IF(CE71=Цены!$H$7,Цены!$L$7,IF(CE71=Цены!$H$8,Цены!$L$8,IF(CE71=Цены!$H$9,Цены!$L$9,IF(CE71=Цены!$H$10,Цены!$L$10,IF(CE71=Цены!$H$11,Цены!$L$11,IF(CE71=Цены!$H$12,Цены!$L$12,IF(CE71=Цены!$H$13,Цены!$L$13,IF(CE71=Цены!$H$14,Цены!$L$14,IF(CE71=Цены!$H$14,Цены!$L$14,IF(CE71=Цены!$H$15,Цены!$L$15,IF(CE71=Цены!$H$16,Цены!$L$16,IF(CE71=Цены!$H$17,Цены!$L$17,IF(CE71=Цены!$H$18,Цены!$L$18,IF(CE71=Цены!$H$19,Цены!$L$19,IF(CE71=Цены!$H$20,Цены!$L$20,IF(CE71=Цены!$H$21,Цены!$L$21,IF(CE71=Цены!$H$22,Цены!$L$22,IF(CE71=Цены!$H$23,Цены!$L$23,IF(CE71=Цены!$H$24,Цены!$L$24,IF(CE71=Цены!$H$25,Цены!$L$25,IF(CE71=Цены!$H$26,Цены!$L$26,IF(CE71=Цены!$H$27,Цены!$L$27,IF(CE71=Цены!$H$28,Цены!$L$28,IF(CE71=Цены!$H$29,Цены!$L$29,IF(CE71=Цены!$H$30,Цены!$L$30,IF(CE71=Цены!$H$31,Цены!$L$31,IF(CE71=Цены!$H$32,Цены!$L$32,IF(CE71=Цены!$H$33,Цены!$L$33,IF(CE71=Цены!$H$34,Цены!$L$34,IF(CE71=Цены!$H$35,Цены!$L$35,IF(CE71=Цены!$H$36,Цены!$L$36,IF(CE71=Цены!$H$37,Цены!$L$37,IF(CE71=Цены!$H$38,Цены!$L$38,IF(CE71=Цены!$H$39,Цены!$L$39,IF(CE71=Цены!$H$40,Цены!$L$40,IF(CE71=Цены!$H$41,Цены!$L$41,IF(CE71=Цены!$H$42,Цены!$L$42,IF(CE71=Цены!$H$43,Цены!$L$43,IF(CE71=Цены!$H$44,Цены!$L$44,IF(CE71=Цены!$H$45,Цены!$L$45,IF(CE71=Цены!$H$46,Цены!$L$46,IF(CE71=Цены!$H$47,Цены!$L$47,IF(CE71=Цены!$H$48,Цены!$L$48,IF(CE71=Цены!$H$49,Цены!$L$49,IF(CE71=Цены!$H$50,Цены!$L$50,IF(CE71=Цены!$H$51,Цены!$L$51,IF(CE71=Цены!$H$52,Цены!$L$52,IF(CE71=Цены!$H$53,Цены!$L$53,IF(CE71=Цены!$H$54,Цены!$L$54,IF(CE71=Цены!$H$55,Цены!$L$55))))))))))))))))))))))))))))))))))))))))))))))))))))))</f>
        <v>0.9</v>
      </c>
      <c r="CH71" s="282">
        <f>CF71*CG71+CF72*CG72+CF73*CG73+CF74*CG74</f>
        <v>4.6163999999999996</v>
      </c>
      <c r="CI71" s="114">
        <f>IF(CE71=Цены!$H$3,Цены!$K$3,IF(CE71=Цены!$H$4,Цены!$K$4,IF(CE71=Цены!$H$5,Цены!$K$5,IF(CE71=Цены!$H$6,Цены!$K$6,IF(CE71=Цены!$H$7,Цены!$K$7,IF(CE71=Цены!$H$8,Цены!$K$8,IF(CE71=Цены!$H$9,Цены!$K$9,IF(CE71=Цены!$H$10,Цены!$K$10,IF(CE71=Цены!$H$11,Цены!$K$11,IF(CE71=Цены!$H$12,Цены!$K$12,IF(CE71=Цены!$H$13,Цены!$K$13,IF(CE71=Цены!$H$14,Цены!$K$14,IF(CE71=Цены!$H$14,Цены!$K$14,IF(CE71=Цены!$H$15,Цены!$K$15,IF(CE71=Цены!$H$16,Цены!$K$16,IF(CE71=Цены!$H$17,Цены!$K$17,IF(CE71=Цены!$H$18,Цены!$K$18,IF(CE71=Цены!$H$19,Цены!$K$19,IF(CE71=Цены!$H$20,Цены!$K$20,IF(CE71=Цены!$H$21,Цены!$K$21,IF(CE71=Цены!$H$22,Цены!$K$22,IF(CE71=Цены!$H$23,Цены!$K$23,IF(CE71=Цены!$H$24,Цены!$K$24,IF(CE71=Цены!$H$25,Цены!$K$25,IF(CE71=Цены!$H$26,Цены!$K$26,IF(CE71=Цены!$H$27,Цены!$K$27,IF(CE71=Цены!$H$28,Цены!$K$28,IF(CE71=Цены!$H$29,Цены!$K$29,IF(CE71=Цены!$H$30,Цены!$K$30,IF(CE71=Цены!$H$31,Цены!$K$31,IF(CE71=Цены!$H$32,Цены!$K$32,IF(CE71=Цены!$H$33,Цены!$K$33,IF(CE71=Цены!$H$34,Цены!$K$34,IF(CE71=Цены!$H$35,Цены!$K$35,IF(CE71=Цены!$H$36,Цены!$K$36,IF(CE71=Цены!$H$37,Цены!$K$37,IF(CE71=Цены!$H$38,Цены!$K$38,IF(CE71=Цены!$H$39,Цены!$K$39,IF(CE71=Цены!$H$40,Цены!$K$40,IF(CE71=Цены!$H$41,Цены!$K$41,IF(CE71=Цены!$H$42,Цены!$K$42,IF(CE71=Цены!$H$43,Цены!$K$43,IF(CE71=Цены!$H$44,Цены!$K$44,IF(CE71=Цены!$H$45,Цены!$K$45,IF(CE71=Цены!$H$46,Цены!$K$46,IF(CE71=Цены!$H$47,Цены!$K$47,IF(CE71=Цены!$H$48,Цены!$K$48,IF(CE71=Цены!$H$49,Цены!$K$49,IF(CE71=Цены!$H$50,Цены!$K$50,IF(CE71=Цены!$H$51,Цены!$K$51,IF(CE71=Цены!$H$52,Цены!$K$52,IF(CE71=Цены!$H$53,Цены!$K$53,IF(CE71=Цены!$H$54,Цены!$K$54,IF(CE71=Цены!$H$55,Цены!$K$55))))))))))))))))))))))))))))))))))))))))))))))))))))))</f>
        <v>338</v>
      </c>
      <c r="CJ71" s="265"/>
      <c r="CK71" s="265"/>
      <c r="CL71" s="272">
        <f t="shared" ref="CL71" si="142">CF71*CI71+CF72*CI72+CF73*CI73+CF74*CI74</f>
        <v>2362</v>
      </c>
      <c r="CM71" s="273">
        <v>1800</v>
      </c>
      <c r="CN71" s="272">
        <f t="shared" ref="CN71" si="143">CL71+CM71</f>
        <v>4162</v>
      </c>
      <c r="CO71" s="268"/>
      <c r="CP71" s="283">
        <f>CO67/CN71*100</f>
        <v>60.06727534839019</v>
      </c>
      <c r="CQ71" s="275">
        <f>MROUND(CN71+CO67,500)</f>
        <v>6500</v>
      </c>
    </row>
    <row r="72" spans="1:95" s="40" customFormat="1" ht="15" customHeight="1" x14ac:dyDescent="0.25">
      <c r="A72" s="267"/>
      <c r="B72" s="265"/>
      <c r="C72" s="336"/>
      <c r="D72" s="173" t="s">
        <v>87</v>
      </c>
      <c r="E72" s="168">
        <v>5</v>
      </c>
      <c r="F72" s="46">
        <f>IF(D72=Цены!$H$3,Цены!$L$3,IF(D72=Цены!$H$4,Цены!$L$4,IF(D72=Цены!$H$5,Цены!$L$5,IF(D72=Цены!$H$6,Цены!$L$6,IF(D72=Цены!$H$7,Цены!$L$7,IF(D72=Цены!$H$8,Цены!$L$8,IF(D72=Цены!$H$9,Цены!$L$9,IF(D72=Цены!$H$10,Цены!$L$10,IF(D72=Цены!$H$11,Цены!$L$11,IF(D72=Цены!$H$12,Цены!$L$12,IF(D72=Цены!$H$13,Цены!$L$13,IF(D72=Цены!$H$14,Цены!$L$14,IF(D72=Цены!$H$14,Цены!$L$14,IF(D72=Цены!$H$15,Цены!$L$15,IF(D72=Цены!$H$16,Цены!$L$16,IF(D72=Цены!$H$17,Цены!$L$17,IF(D72=Цены!$H$18,Цены!$L$18,IF(D72=Цены!$H$19,Цены!$L$19,IF(D72=Цены!$H$20,Цены!$L$20,IF(D72=Цены!$H$21,Цены!$L$21,IF(D72=Цены!$H$22,Цены!$L$22,IF(D72=Цены!$H$23,Цены!$L$23,IF(D72=Цены!$H$24,Цены!$L$24,IF(D72=Цены!$H$25,Цены!$L$25,IF(D72=Цены!$H$26,Цены!$L$26,IF(D72=Цены!$H$27,Цены!$L$27,IF(D72=Цены!$H$28,Цены!$L$28,IF(D72=Цены!$H$29,Цены!$L$29,IF(D72=Цены!$H$30,Цены!$L$30,IF(D72=Цены!$H$31,Цены!$L$31,IF(D72=Цены!$H$32,Цены!$L$32,IF(D72=Цены!$H$33,Цены!$L$33,IF(D72=Цены!$H$34,Цены!$L$34,IF(D72=Цены!$H$35,Цены!$L$35,IF(D72=Цены!$H$36,Цены!$L$36,IF(D72=Цены!$H$37,Цены!$L$37,IF(D72=Цены!$H$38,Цены!$L$38,IF(D72=Цены!$H$39,Цены!$L$39,IF(D72=Цены!$H$40,Цены!$L$40,IF(D72=Цены!$H$41,Цены!$L$41,IF(D72=Цены!$H$42,Цены!$L$42,IF(D72=Цены!$H$43,Цены!$L$43,IF(D72=Цены!$H$44,Цены!$L$44,IF(D72=Цены!$H$45,Цены!$L$45,IF(D72=Цены!$H$46,Цены!$L$46,IF(D72=Цены!$H$47,Цены!$L$47,IF(D72=Цены!$H$48,Цены!$L$48,IF(D72=Цены!$H$49,Цены!$L$49,IF(D72=Цены!$H$50,Цены!$L$50,IF(D72=Цены!$H$51,Цены!$L$51,IF(D72=Цены!$H$52,Цены!$L$52,IF(D72=Цены!$H$53,Цены!$L$53,IF(D72=Цены!$H$54,Цены!$L$54,IF(D72=Цены!$H$55,Цены!$L$55))))))))))))))))))))))))))))))))))))))))))))))))))))))</f>
        <v>1.2</v>
      </c>
      <c r="G72" s="339"/>
      <c r="H72" s="47">
        <f>IF(D72=Цены!$H$3,Цены!$K$3,IF(D72=Цены!$H$4,Цены!$K$4,IF(D72=Цены!$H$5,Цены!$K$5,IF(D72=Цены!$H$6,Цены!$K$6,IF(D72=Цены!$H$7,Цены!$K$7,IF(D72=Цены!$H$8,Цены!$K$8,IF(D72=Цены!$H$9,Цены!$K$9,IF(D72=Цены!$H$10,Цены!$K$10,IF(D72=Цены!$H$11,Цены!$K$11,IF(D72=Цены!$H$12,Цены!$K$12,IF(D72=Цены!$H$13,Цены!$K$13,IF(D72=Цены!$H$14,Цены!$K$14,IF(D72=Цены!$H$14,Цены!$K$14,IF(D72=Цены!$H$15,Цены!$K$15,IF(D72=Цены!$H$16,Цены!$K$16,IF(D72=Цены!$H$17,Цены!$K$17,IF(D72=Цены!$H$18,Цены!$K$18,IF(D72=Цены!$H$19,Цены!$K$19,IF(D72=Цены!$H$20,Цены!$K$20,IF(D72=Цены!$H$21,Цены!$K$21,IF(D72=Цены!$H$22,Цены!$K$22,IF(D72=Цены!$H$23,Цены!$K$23,IF(D72=Цены!$H$24,Цены!$K$24,IF(D72=Цены!$H$25,Цены!$K$25,IF(D72=Цены!$H$26,Цены!$K$26,IF(D72=Цены!$H$27,Цены!$K$27,IF(D72=Цены!$H$28,Цены!$K$28,IF(D72=Цены!$H$29,Цены!$K$29,IF(D72=Цены!$H$30,Цены!$K$30,IF(D72=Цены!$H$31,Цены!$K$31,IF(D72=Цены!$H$32,Цены!$K$32,IF(D72=Цены!$H$33,Цены!$K$33,IF(D72=Цены!$H$34,Цены!$K$34,IF(D72=Цены!$H$35,Цены!$K$35,IF(D72=Цены!$H$36,Цены!$K$36,IF(D72=Цены!$H$37,Цены!$K$37,IF(D72=Цены!$H$38,Цены!$K$38,IF(D72=Цены!$H$39,Цены!$K$39,IF(D72=Цены!$H$40,Цены!$K$40,IF(D72=Цены!$H$41,Цены!$K$41,IF(D72=Цены!$H$42,Цены!$K$42,IF(D72=Цены!$H$43,Цены!$K$43,IF(D72=Цены!$H$44,Цены!$K$44,IF(D72=Цены!$H$45,Цены!$K$45,IF(D72=Цены!$H$46,Цены!$K$46,IF(D72=Цены!$H$47,Цены!$K$47,IF(D72=Цены!$H$48,Цены!$K$48,IF(D72=Цены!$H$49,Цены!$K$49,IF(D72=Цены!$H$50,Цены!$K$50,IF(D72=Цены!$H$51,Цены!$K$51,IF(D72=Цены!$H$52,Цены!$K$52,IF(D72=Цены!$H$53,Цены!$K$53,IF(D72=Цены!$H$54,Цены!$K$54,IF(D72=Цены!$H$55,Цены!$K$55))))))))))))))))))))))))))))))))))))))))))))))))))))))</f>
        <v>378</v>
      </c>
      <c r="I72" s="265"/>
      <c r="J72" s="265"/>
      <c r="K72" s="272"/>
      <c r="L72" s="273"/>
      <c r="M72" s="273"/>
      <c r="N72" s="268"/>
      <c r="O72" s="332"/>
      <c r="P72" s="275"/>
      <c r="Q72" s="207" t="s">
        <v>148</v>
      </c>
      <c r="R72" s="37">
        <v>5</v>
      </c>
      <c r="S72" s="38">
        <f>IF(Q72=Цены!$H$3,Цены!$L$3,IF(Q72=Цены!$H$4,Цены!$L$4,IF(Q72=Цены!$H$5,Цены!$L$5,IF(Q72=Цены!$H$6,Цены!$L$6,IF(Q72=Цены!$H$7,Цены!$L$7,IF(Q72=Цены!$H$8,Цены!$L$8,IF(Q72=Цены!$H$9,Цены!$L$9,IF(Q72=Цены!$H$10,Цены!$L$10,IF(Q72=Цены!$H$11,Цены!$L$11,IF(Q72=Цены!$H$12,Цены!$L$12,IF(Q72=Цены!$H$13,Цены!$L$13,IF(Q72=Цены!$H$14,Цены!$L$14,IF(Q72=Цены!$H$14,Цены!$L$14,IF(Q72=Цены!$H$15,Цены!$L$15,IF(Q72=Цены!$H$16,Цены!$L$16,IF(Q72=Цены!$H$17,Цены!$L$17,IF(Q72=Цены!$H$18,Цены!$L$18,IF(Q72=Цены!$H$19,Цены!$L$19,IF(Q72=Цены!$H$20,Цены!$L$20,IF(Q72=Цены!$H$21,Цены!$L$21,IF(Q72=Цены!$H$22,Цены!$L$22,IF(Q72=Цены!$H$23,Цены!$L$23,IF(Q72=Цены!$H$24,Цены!$L$24,IF(Q72=Цены!$H$25,Цены!$L$25,IF(Q72=Цены!$H$26,Цены!$L$26,IF(Q72=Цены!$H$27,Цены!$L$27,IF(Q72=Цены!$H$28,Цены!$L$28,IF(Q72=Цены!$H$29,Цены!$L$29,IF(Q72=Цены!$H$30,Цены!$L$30,IF(Q72=Цены!$H$31,Цены!$L$31,IF(Q72=Цены!$H$32,Цены!$L$32,IF(Q72=Цены!$H$33,Цены!$L$33,IF(Q72=Цены!$H$34,Цены!$L$34,IF(Q72=Цены!$H$35,Цены!$L$35,IF(Q72=Цены!$H$36,Цены!$L$36,IF(Q72=Цены!$H$37,Цены!$L$37,IF(Q72=Цены!$H$38,Цены!$L$38,IF(Q72=Цены!$H$39,Цены!$L$39,IF(Q72=Цены!$H$40,Цены!$L$40,IF(Q72=Цены!$H$41,Цены!$L$41,IF(Q72=Цены!$H$42,Цены!$L$42,IF(Q72=Цены!$H$43,Цены!$L$43,IF(Q72=Цены!$H$44,Цены!$L$44,IF(Q72=Цены!$H$45,Цены!$L$45,IF(Q72=Цены!$H$46,Цены!$L$46,IF(Q72=Цены!$H$47,Цены!$L$47,IF(Q72=Цены!$H$48,Цены!$L$48,IF(Q72=Цены!$H$49,Цены!$L$49,IF(Q72=Цены!$H$50,Цены!$L$50,IF(Q72=Цены!$H$51,Цены!$L$51,IF(Q72=Цены!$H$52,Цены!$L$52,IF(Q72=Цены!$H$53,Цены!$L$53,IF(Q72=Цены!$H$54,Цены!$L$54,IF(Q72=Цены!$H$55,Цены!$L$55))))))))))))))))))))))))))))))))))))))))))))))))))))))</f>
        <v>1.1499999999999999</v>
      </c>
      <c r="T72" s="322"/>
      <c r="U72" s="161">
        <f>IF(Q72=Цены!$H$3,Цены!$K$3,IF(Q72=Цены!$H$4,Цены!$K$4,IF(Q72=Цены!$H$5,Цены!$K$5,IF(Q72=Цены!$H$6,Цены!$K$6,IF(Q72=Цены!$H$7,Цены!$K$7,IF(Q72=Цены!$H$8,Цены!$K$8,IF(Q72=Цены!$H$9,Цены!$K$9,IF(Q72=Цены!$H$10,Цены!$K$10,IF(Q72=Цены!$H$11,Цены!$K$11,IF(Q72=Цены!$H$12,Цены!$K$12,IF(Q72=Цены!$H$13,Цены!$K$13,IF(Q72=Цены!$H$14,Цены!$K$14,IF(Q72=Цены!$H$14,Цены!$K$14,IF(Q72=Цены!$H$15,Цены!$K$15,IF(Q72=Цены!$H$16,Цены!$K$16,IF(Q72=Цены!$H$17,Цены!$K$17,IF(Q72=Цены!$H$18,Цены!$K$18,IF(Q72=Цены!$H$19,Цены!$K$19,IF(Q72=Цены!$H$20,Цены!$K$20,IF(Q72=Цены!$H$21,Цены!$K$21,IF(Q72=Цены!$H$22,Цены!$K$22,IF(Q72=Цены!$H$23,Цены!$K$23,IF(Q72=Цены!$H$24,Цены!$K$24,IF(Q72=Цены!$H$25,Цены!$K$25,IF(Q72=Цены!$H$26,Цены!$K$26,IF(Q72=Цены!$H$27,Цены!$K$27,IF(Q72=Цены!$H$28,Цены!$K$28,IF(Q72=Цены!$H$29,Цены!$K$29,IF(Q72=Цены!$H$30,Цены!$K$30,IF(Q72=Цены!$H$31,Цены!$K$31,IF(Q72=Цены!$H$32,Цены!$K$32,IF(Q72=Цены!$H$33,Цены!$K$33,IF(Q72=Цены!$H$34,Цены!$K$34,IF(Q72=Цены!$H$35,Цены!$K$35,IF(Q72=Цены!$H$36,Цены!$K$36,IF(Q72=Цены!$H$37,Цены!$K$37,IF(Q72=Цены!$H$38,Цены!$K$38,IF(Q72=Цены!$H$39,Цены!$K$39,IF(Q72=Цены!$H$40,Цены!$K$40,IF(Q72=Цены!$H$41,Цены!$K$41,IF(Q72=Цены!$H$42,Цены!$K$42,IF(Q72=Цены!$H$43,Цены!$K$43,IF(Q72=Цены!$H$44,Цены!$K$44,IF(Q72=Цены!$H$45,Цены!$K$45,IF(Q72=Цены!$H$46,Цены!$K$46,IF(Q72=Цены!$H$47,Цены!$K$47,IF(Q72=Цены!$H$48,Цены!$K$48,IF(Q72=Цены!$H$49,Цены!$K$49,IF(Q72=Цены!$H$50,Цены!$K$50,IF(Q72=Цены!$H$51,Цены!$K$51,IF(Q72=Цены!$H$52,Цены!$K$52,IF(Q72=Цены!$H$53,Цены!$K$53,IF(Q72=Цены!$H$54,Цены!$K$54,IF(Q72=Цены!$H$55,Цены!$K$55))))))))))))))))))))))))))))))))))))))))))))))))))))))</f>
        <v>400</v>
      </c>
      <c r="V72" s="265"/>
      <c r="W72" s="265"/>
      <c r="X72" s="272"/>
      <c r="Y72" s="273"/>
      <c r="Z72" s="273"/>
      <c r="AA72" s="320"/>
      <c r="AB72" s="323"/>
      <c r="AC72" s="275"/>
      <c r="AD72" s="211" t="s">
        <v>70</v>
      </c>
      <c r="AE72" s="67">
        <v>4</v>
      </c>
      <c r="AF72" s="68">
        <f>IF(AD72=Цены!$H$3,Цены!$L$3,IF(AD72=Цены!$H$4,Цены!$L$4,IF(AD72=Цены!$H$5,Цены!$L$5,IF(AD72=Цены!$H$6,Цены!$L$6,IF(AD72=Цены!$H$7,Цены!$L$7,IF(AD72=Цены!$H$8,Цены!$L$8,IF(AD72=Цены!$H$9,Цены!$L$9,IF(AD72=Цены!$H$10,Цены!$L$10,IF(AD72=Цены!$H$11,Цены!$L$11,IF(AD72=Цены!$H$12,Цены!$L$12,IF(AD72=Цены!$H$13,Цены!$L$13,IF(AD72=Цены!$H$14,Цены!$L$14,IF(AD72=Цены!$H$14,Цены!$L$14,IF(AD72=Цены!$H$15,Цены!$L$15,IF(AD72=Цены!$H$16,Цены!$L$16,IF(AD72=Цены!$H$17,Цены!$L$17,IF(AD72=Цены!$H$18,Цены!$L$18,IF(AD72=Цены!$H$19,Цены!$L$19,IF(AD72=Цены!$H$20,Цены!$L$20,IF(AD72=Цены!$H$21,Цены!$L$21,IF(AD72=Цены!$H$22,Цены!$L$22,IF(AD72=Цены!$H$23,Цены!$L$23,IF(AD72=Цены!$H$24,Цены!$L$24,IF(AD72=Цены!$H$25,Цены!$L$25,IF(AD72=Цены!$H$26,Цены!$L$26,IF(AD72=Цены!$H$27,Цены!$L$27,IF(AD72=Цены!$H$28,Цены!$L$28,IF(AD72=Цены!$H$29,Цены!$L$29,IF(AD72=Цены!$H$30,Цены!$L$30,IF(AD72=Цены!$H$31,Цены!$L$31,IF(AD72=Цены!$H$32,Цены!$L$32,IF(AD72=Цены!$H$33,Цены!$L$33,IF(AD72=Цены!$H$34,Цены!$L$34,IF(AD72=Цены!$H$35,Цены!$L$35,IF(AD72=Цены!$H$36,Цены!$L$36,IF(AD72=Цены!$H$37,Цены!$L$37,IF(AD72=Цены!$H$38,Цены!$L$38,IF(AD72=Цены!$H$39,Цены!$L$39,IF(AD72=Цены!$H$40,Цены!$L$40,IF(AD72=Цены!$H$41,Цены!$L$41,IF(AD72=Цены!$H$42,Цены!$L$42,IF(AD72=Цены!$H$43,Цены!$L$43,IF(AD72=Цены!$H$44,Цены!$L$44,IF(AD72=Цены!$H$45,Цены!$L$45,IF(AD72=Цены!$H$46,Цены!$L$46,IF(AD72=Цены!$H$47,Цены!$L$47,IF(AD72=Цены!$H$48,Цены!$L$48,IF(AD72=Цены!$H$49,Цены!$L$49,IF(AD72=Цены!$H$50,Цены!$L$50,IF(AD72=Цены!$H$51,Цены!$L$51,IF(AD72=Цены!$H$52,Цены!$L$52,IF(AD72=Цены!$H$53,Цены!$L$53,IF(AD72=Цены!$H$54,Цены!$L$54,IF(AD72=Цены!$H$55,Цены!$L$55))))))))))))))))))))))))))))))))))))))))))))))))))))))</f>
        <v>2.4</v>
      </c>
      <c r="AG72" s="311"/>
      <c r="AH72" s="69">
        <f>IF(AD72=Цены!$H$3,Цены!$K$3,IF(AD72=Цены!$H$4,Цены!$K$4,IF(AD72=Цены!$H$5,Цены!$K$5,IF(AD72=Цены!$H$6,Цены!$K$6,IF(AD72=Цены!$H$7,Цены!$K$7,IF(AD72=Цены!$H$8,Цены!$K$8,IF(AD72=Цены!$H$9,Цены!$K$9,IF(AD72=Цены!$H$10,Цены!$K$10,IF(AD72=Цены!$H$11,Цены!$K$11,IF(AD72=Цены!$H$12,Цены!$K$12,IF(AD72=Цены!$H$13,Цены!$K$13,IF(AD72=Цены!$H$14,Цены!$K$14,IF(AD72=Цены!$H$14,Цены!$K$14,IF(AD72=Цены!$H$15,Цены!$K$15,IF(AD72=Цены!$H$16,Цены!$K$16,IF(AD72=Цены!$H$17,Цены!$K$17,IF(AD72=Цены!$H$18,Цены!$K$18,IF(AD72=Цены!$H$19,Цены!$K$19,IF(AD72=Цены!$H$20,Цены!$K$20,IF(AD72=Цены!$H$21,Цены!$K$21,IF(AD72=Цены!$H$22,Цены!$K$22,IF(AD72=Цены!$H$23,Цены!$K$23,IF(AD72=Цены!$H$24,Цены!$K$24,IF(AD72=Цены!$H$25,Цены!$K$25,IF(AD72=Цены!$H$26,Цены!$K$26,IF(AD72=Цены!$H$27,Цены!$K$27,IF(AD72=Цены!$H$28,Цены!$K$28,IF(AD72=Цены!$H$29,Цены!$K$29,IF(AD72=Цены!$H$30,Цены!$K$30,IF(AD72=Цены!$H$31,Цены!$K$31,IF(AD72=Цены!$H$32,Цены!$K$32,IF(AD72=Цены!$H$33,Цены!$K$33,IF(AD72=Цены!$H$34,Цены!$K$34,IF(AD72=Цены!$H$35,Цены!$K$35,IF(AD72=Цены!$H$36,Цены!$K$36,IF(AD72=Цены!$H$37,Цены!$K$37,IF(AD72=Цены!$H$38,Цены!$K$38,IF(AD72=Цены!$H$39,Цены!$K$39,IF(AD72=Цены!$H$40,Цены!$K$40,IF(AD72=Цены!$H$41,Цены!$K$41,IF(AD72=Цены!$H$42,Цены!$K$42,IF(AD72=Цены!$H$43,Цены!$K$43,IF(AD72=Цены!$H$44,Цены!$K$44,IF(AD72=Цены!$H$45,Цены!$K$45,IF(AD72=Цены!$H$46,Цены!$K$46,IF(AD72=Цены!$H$47,Цены!$K$47,IF(AD72=Цены!$H$48,Цены!$K$48,IF(AD72=Цены!$H$49,Цены!$K$49,IF(AD72=Цены!$H$50,Цены!$K$50,IF(AD72=Цены!$H$51,Цены!$K$51,IF(AD72=Цены!$H$52,Цены!$K$52,IF(AD72=Цены!$H$53,Цены!$K$53,IF(AD72=Цены!$H$54,Цены!$K$54,IF(AD72=Цены!$H$55,Цены!$K$55))))))))))))))))))))))))))))))))))))))))))))))))))))))</f>
        <v>469</v>
      </c>
      <c r="AI72" s="265"/>
      <c r="AJ72" s="265"/>
      <c r="AK72" s="272"/>
      <c r="AL72" s="273"/>
      <c r="AM72" s="273"/>
      <c r="AN72" s="268"/>
      <c r="AO72" s="312"/>
      <c r="AP72" s="275"/>
      <c r="AQ72" s="206" t="s">
        <v>89</v>
      </c>
      <c r="AR72" s="131">
        <v>3</v>
      </c>
      <c r="AS72" s="80">
        <f>IF(AQ72=Цены!$H$3,Цены!$L$3,IF(AQ72=Цены!$H$4,Цены!$L$4,IF(AQ72=Цены!$H$5,Цены!$L$5,IF(AQ72=Цены!$H$6,Цены!$L$6,IF(AQ72=Цены!$H$7,Цены!$L$7,IF(AQ72=Цены!$H$8,Цены!$L$8,IF(AQ72=Цены!$H$9,Цены!$L$9,IF(AQ72=Цены!$H$10,Цены!$L$10,IF(AQ72=Цены!$H$11,Цены!$L$11,IF(AQ72=Цены!$H$12,Цены!$L$12,IF(AQ72=Цены!$H$13,Цены!$L$13,IF(AQ72=Цены!$H$14,Цены!$L$14,IF(AQ72=Цены!$H$14,Цены!$L$14,IF(AQ72=Цены!$H$15,Цены!$L$15,IF(AQ72=Цены!$H$16,Цены!$L$16,IF(AQ72=Цены!$H$17,Цены!$L$17,IF(AQ72=Цены!$H$18,Цены!$L$18,IF(AQ72=Цены!$H$19,Цены!$L$19,IF(AQ72=Цены!$H$20,Цены!$L$20,IF(AQ72=Цены!$H$21,Цены!$L$21,IF(AQ72=Цены!$H$22,Цены!$L$22,IF(AQ72=Цены!$H$23,Цены!$L$23,IF(AQ72=Цены!$H$24,Цены!$L$24,IF(AQ72=Цены!$H$25,Цены!$L$25,IF(AQ72=Цены!$H$26,Цены!$L$26,IF(AQ72=Цены!$H$27,Цены!$L$27,IF(AQ72=Цены!$H$28,Цены!$L$28,IF(AQ72=Цены!$H$29,Цены!$L$29,IF(AQ72=Цены!$H$30,Цены!$L$30,IF(AQ72=Цены!$H$31,Цены!$L$31,IF(AQ72=Цены!$H$32,Цены!$L$32,IF(AQ72=Цены!$H$33,Цены!$L$33,IF(AQ72=Цены!$H$34,Цены!$L$34,IF(AQ72=Цены!$H$35,Цены!$L$35,IF(AQ72=Цены!$H$36,Цены!$L$36,IF(AQ72=Цены!$H$37,Цены!$L$37,IF(AQ72=Цены!$H$38,Цены!$L$38,IF(AQ72=Цены!$H$39,Цены!$L$39,IF(AQ72=Цены!$H$40,Цены!$L$40,IF(AQ72=Цены!$H$41,Цены!$L$41,IF(AQ72=Цены!$H$42,Цены!$L$42,IF(AQ72=Цены!$H$43,Цены!$L$43,IF(AQ72=Цены!$H$44,Цены!$L$44,IF(AQ72=Цены!$H$45,Цены!$L$45,IF(AQ72=Цены!$H$46,Цены!$L$46,IF(AQ72=Цены!$H$47,Цены!$L$47,IF(AQ72=Цены!$H$48,Цены!$L$48,IF(AQ72=Цены!$H$49,Цены!$L$49,IF(AQ72=Цены!$H$50,Цены!$L$50,IF(AQ72=Цены!$H$51,Цены!$L$51,IF(AQ72=Цены!$H$52,Цены!$L$52,IF(AQ72=Цены!$H$53,Цены!$L$53,IF(AQ72=Цены!$H$54,Цены!$L$54,IF(AQ72=Цены!$H$55,Цены!$L$55))))))))))))))))))))))))))))))))))))))))))))))))))))))</f>
        <v>1.1499999999999999</v>
      </c>
      <c r="AT72" s="271"/>
      <c r="AU72" s="81">
        <f>IF(AQ72=Цены!$H$3,Цены!$K$3,IF(AQ72=Цены!$H$4,Цены!$K$4,IF(AQ72=Цены!$H$5,Цены!$K$5,IF(AQ72=Цены!$H$6,Цены!$K$6,IF(AQ72=Цены!$H$7,Цены!$K$7,IF(AQ72=Цены!$H$8,Цены!$K$8,IF(AQ72=Цены!$H$9,Цены!$K$9,IF(AQ72=Цены!$H$10,Цены!$K$10,IF(AQ72=Цены!$H$11,Цены!$K$11,IF(AQ72=Цены!$H$12,Цены!$K$12,IF(AQ72=Цены!$H$13,Цены!$K$13,IF(AQ72=Цены!$H$14,Цены!$K$14,IF(AQ72=Цены!$H$14,Цены!$K$14,IF(AQ72=Цены!$H$15,Цены!$K$15,IF(AQ72=Цены!$H$16,Цены!$K$16,IF(AQ72=Цены!$H$17,Цены!$K$17,IF(AQ72=Цены!$H$18,Цены!$K$18,IF(AQ72=Цены!$H$19,Цены!$K$19,IF(AQ72=Цены!$H$20,Цены!$K$20,IF(AQ72=Цены!$H$21,Цены!$K$21,IF(AQ72=Цены!$H$22,Цены!$K$22,IF(AQ72=Цены!$H$23,Цены!$K$23,IF(AQ72=Цены!$H$24,Цены!$K$24,IF(AQ72=Цены!$H$25,Цены!$K$25,IF(AQ72=Цены!$H$26,Цены!$K$26,IF(AQ72=Цены!$H$27,Цены!$K$27,IF(AQ72=Цены!$H$28,Цены!$K$28,IF(AQ72=Цены!$H$29,Цены!$K$29,IF(AQ72=Цены!$H$30,Цены!$K$30,IF(AQ72=Цены!$H$31,Цены!$K$31,IF(AQ72=Цены!$H$32,Цены!$K$32,IF(AQ72=Цены!$H$33,Цены!$K$33,IF(AQ72=Цены!$H$34,Цены!$K$34,IF(AQ72=Цены!$H$35,Цены!$K$35,IF(AQ72=Цены!$H$36,Цены!$K$36,IF(AQ72=Цены!$H$37,Цены!$K$37,IF(AQ72=Цены!$H$38,Цены!$K$38,IF(AQ72=Цены!$H$39,Цены!$K$39,IF(AQ72=Цены!$H$40,Цены!$K$40,IF(AQ72=Цены!$H$41,Цены!$K$41,IF(AQ72=Цены!$H$42,Цены!$K$42,IF(AQ72=Цены!$H$43,Цены!$K$43,IF(AQ72=Цены!$H$44,Цены!$K$44,IF(AQ72=Цены!$H$45,Цены!$K$45,IF(AQ72=Цены!$H$46,Цены!$K$46,IF(AQ72=Цены!$H$47,Цены!$K$47,IF(AQ72=Цены!$H$48,Цены!$K$48,IF(AQ72=Цены!$H$49,Цены!$K$49,IF(AQ72=Цены!$H$50,Цены!$K$50,IF(AQ72=Цены!$H$51,Цены!$K$51,IF(AQ72=Цены!$H$52,Цены!$K$52,IF(AQ72=Цены!$H$53,Цены!$K$53,IF(AQ72=Цены!$H$54,Цены!$K$54,IF(AQ72=Цены!$H$55,Цены!$K$55))))))))))))))))))))))))))))))))))))))))))))))))))))))</f>
        <v>400</v>
      </c>
      <c r="AV72" s="265"/>
      <c r="AW72" s="265"/>
      <c r="AX72" s="272"/>
      <c r="AY72" s="273"/>
      <c r="AZ72" s="273"/>
      <c r="BA72" s="268"/>
      <c r="BB72" s="274"/>
      <c r="BC72" s="275"/>
      <c r="BD72" s="262"/>
      <c r="BE72" s="215" t="s">
        <v>96</v>
      </c>
      <c r="BF72" s="106">
        <v>4</v>
      </c>
      <c r="BG72" s="103">
        <f>IF(BE72=Цены!$H$3,Цены!$L$3,IF(BE72=Цены!$H$4,Цены!$L$4,IF(BE72=Цены!$H$5,Цены!$L$5,IF(BE72=Цены!$H$6,Цены!$L$6,IF(BE72=Цены!$H$7,Цены!$L$7,IF(BE72=Цены!$H$8,Цены!$L$8,IF(BE72=Цены!$H$9,Цены!$L$9,IF(BE72=Цены!$H$10,Цены!$L$10,IF(BE72=Цены!$H$11,Цены!$L$11,IF(BE72=Цены!$H$12,Цены!$L$12,IF(BE72=Цены!$H$13,Цены!$L$13,IF(BE72=Цены!$H$14,Цены!$L$14,IF(BE72=Цены!$H$14,Цены!$L$14,IF(BE72=Цены!$H$15,Цены!$L$15,IF(BE72=Цены!$H$16,Цены!$L$16,IF(BE72=Цены!$H$17,Цены!$L$17,IF(BE72=Цены!$H$18,Цены!$L$18,IF(BE72=Цены!$H$19,Цены!$L$19,IF(BE72=Цены!$H$20,Цены!$L$20,IF(BE72=Цены!$H$21,Цены!$L$21,IF(BE72=Цены!$H$22,Цены!$L$22,IF(BE72=Цены!$H$23,Цены!$L$23,IF(BE72=Цены!$H$24,Цены!$L$24,IF(BE72=Цены!$H$25,Цены!$L$25,IF(BE72=Цены!$H$26,Цены!$L$26,IF(BE72=Цены!$H$27,Цены!$L$27,IF(BE72=Цены!$H$28,Цены!$L$28,IF(BE72=Цены!$H$29,Цены!$L$29,IF(BE72=Цены!$H$30,Цены!$L$30,IF(BE72=Цены!$H$31,Цены!$L$31,IF(BE72=Цены!$H$32,Цены!$L$32,IF(BE72=Цены!$H$33,Цены!$L$33,IF(BE72=Цены!$H$34,Цены!$L$34,IF(BE72=Цены!$H$35,Цены!$L$35,IF(BE72=Цены!$H$36,Цены!$L$36,IF(BE72=Цены!$H$37,Цены!$L$37,IF(BE72=Цены!$H$38,Цены!$L$38,IF(BE72=Цены!$H$39,Цены!$L$39,IF(BE72=Цены!$H$40,Цены!$L$40,IF(BE72=Цены!$H$41,Цены!$L$41,IF(BE72=Цены!$H$42,Цены!$L$42,IF(BE72=Цены!$H$43,Цены!$L$43,IF(BE72=Цены!$H$44,Цены!$L$44,IF(BE72=Цены!$H$45,Цены!$L$45,IF(BE72=Цены!$H$46,Цены!$L$46,IF(BE72=Цены!$H$47,Цены!$L$47,IF(BE72=Цены!$H$48,Цены!$L$48,IF(BE72=Цены!$H$49,Цены!$L$49,IF(BE72=Цены!$H$50,Цены!$L$50,IF(BE72=Цены!$H$51,Цены!$L$51,IF(BE72=Цены!$H$52,Цены!$L$52,IF(BE72=Цены!$H$53,Цены!$L$53,IF(BE72=Цены!$H$54,Цены!$L$54,IF(BE72=Цены!$H$55,Цены!$L$55))))))))))))))))))))))))))))))))))))))))))))))))))))))</f>
        <v>0.78</v>
      </c>
      <c r="BH72" s="280"/>
      <c r="BI72" s="104">
        <f>IF(BE72=Цены!$H$3,Цены!$K$3,IF(BE72=Цены!$H$4,Цены!$K$4,IF(BE72=Цены!$H$5,Цены!$K$5,IF(BE72=Цены!$H$6,Цены!$K$6,IF(BE72=Цены!$H$7,Цены!$K$7,IF(BE72=Цены!$H$8,Цены!$K$8,IF(BE72=Цены!$H$9,Цены!$K$9,IF(BE72=Цены!$H$10,Цены!$K$10,IF(BE72=Цены!$H$11,Цены!$K$11,IF(BE72=Цены!$H$12,Цены!$K$12,IF(BE72=Цены!$H$13,Цены!$K$13,IF(BE72=Цены!$H$14,Цены!$K$14,IF(BE72=Цены!$H$14,Цены!$K$14,IF(BE72=Цены!$H$15,Цены!$K$15,IF(BE72=Цены!$H$16,Цены!$K$16,IF(BE72=Цены!$H$17,Цены!$K$17,IF(BE72=Цены!$H$18,Цены!$K$18,IF(BE72=Цены!$H$19,Цены!$K$19,IF(BE72=Цены!$H$20,Цены!$K$20,IF(BE72=Цены!$H$21,Цены!$K$21,IF(BE72=Цены!$H$22,Цены!$K$22,IF(BE72=Цены!$H$23,Цены!$K$23,IF(BE72=Цены!$H$24,Цены!$K$24,IF(BE72=Цены!$H$25,Цены!$K$25,IF(BE72=Цены!$H$26,Цены!$K$26,IF(BE72=Цены!$H$27,Цены!$K$27,IF(BE72=Цены!$H$28,Цены!$K$28,IF(BE72=Цены!$H$29,Цены!$K$29,IF(BE72=Цены!$H$30,Цены!$K$30,IF(BE72=Цены!$H$31,Цены!$K$31,IF(BE72=Цены!$H$32,Цены!$K$32,IF(BE72=Цены!$H$33,Цены!$K$33,IF(BE72=Цены!$H$34,Цены!$K$34,IF(BE72=Цены!$H$35,Цены!$K$35,IF(BE72=Цены!$H$36,Цены!$K$36,IF(BE72=Цены!$H$37,Цены!$K$37,IF(BE72=Цены!$H$38,Цены!$K$38,IF(BE72=Цены!$H$39,Цены!$K$39,IF(BE72=Цены!$H$40,Цены!$K$40,IF(BE72=Цены!$H$41,Цены!$K$41,IF(BE72=Цены!$H$42,Цены!$K$42,IF(BE72=Цены!$H$43,Цены!$K$43,IF(BE72=Цены!$H$44,Цены!$K$44,IF(BE72=Цены!$H$45,Цены!$K$45,IF(BE72=Цены!$H$46,Цены!$K$46,IF(BE72=Цены!$H$47,Цены!$K$47,IF(BE72=Цены!$H$48,Цены!$K$48,IF(BE72=Цены!$H$49,Цены!$K$49,IF(BE72=Цены!$H$50,Цены!$K$50,IF(BE72=Цены!$H$51,Цены!$K$51,IF(BE72=Цены!$H$52,Цены!$K$52,IF(BE72=Цены!$H$53,Цены!$K$53,IF(BE72=Цены!$H$54,Цены!$K$54,IF(BE72=Цены!$H$55,Цены!$K$55))))))))))))))))))))))))))))))))))))))))))))))))))))))</f>
        <v>447</v>
      </c>
      <c r="BJ72" s="265"/>
      <c r="BK72" s="265"/>
      <c r="BL72" s="272"/>
      <c r="BM72" s="273"/>
      <c r="BN72" s="273"/>
      <c r="BO72" s="268"/>
      <c r="BP72" s="281"/>
      <c r="BQ72" s="275"/>
      <c r="BR72" s="215" t="s">
        <v>96</v>
      </c>
      <c r="BS72" s="108">
        <v>2</v>
      </c>
      <c r="BT72" s="109">
        <f>IF(BR72=Цены!$H$3,Цены!$L$3,IF(BR72=Цены!$H$4,Цены!$L$4,IF(BR72=Цены!$H$5,Цены!$L$5,IF(BR72=Цены!$H$6,Цены!$L$6,IF(BR72=Цены!$H$7,Цены!$L$7,IF(BR72=Цены!$H$8,Цены!$L$8,IF(BR72=Цены!$H$9,Цены!$L$9,IF(BR72=Цены!$H$10,Цены!$L$10,IF(BR72=Цены!$H$11,Цены!$L$11,IF(BR72=Цены!$H$12,Цены!$L$12,IF(BR72=Цены!$H$13,Цены!$L$13,IF(BR72=Цены!$H$14,Цены!$L$14,IF(BR72=Цены!$H$14,Цены!$L$14,IF(BR72=Цены!$H$15,Цены!$L$15,IF(BR72=Цены!$H$16,Цены!$L$16,IF(BR72=Цены!$H$17,Цены!$L$17,IF(BR72=Цены!$H$18,Цены!$L$18,IF(BR72=Цены!$H$19,Цены!$L$19,IF(BR72=Цены!$H$20,Цены!$L$20,IF(BR72=Цены!$H$21,Цены!$L$21,IF(BR72=Цены!$H$22,Цены!$L$22,IF(BR72=Цены!$H$23,Цены!$L$23,IF(BR72=Цены!$H$24,Цены!$L$24,IF(BR72=Цены!$H$25,Цены!$L$25,IF(BR72=Цены!$H$26,Цены!$L$26,IF(BR72=Цены!$H$27,Цены!$L$27,IF(BR72=Цены!$H$28,Цены!$L$28,IF(BR72=Цены!$H$29,Цены!$L$29,IF(BR72=Цены!$H$30,Цены!$L$30,IF(BR72=Цены!$H$31,Цены!$L$31,IF(BR72=Цены!$H$32,Цены!$L$32,IF(BR72=Цены!$H$33,Цены!$L$33,IF(BR72=Цены!$H$34,Цены!$L$34,IF(BR72=Цены!$H$35,Цены!$L$35,IF(BR72=Цены!$H$36,Цены!$L$36,IF(BR72=Цены!$H$37,Цены!$L$37,IF(BR72=Цены!$H$38,Цены!$L$38,IF(BR72=Цены!$H$39,Цены!$L$39,IF(BR72=Цены!$H$40,Цены!$L$40,IF(BR72=Цены!$H$41,Цены!$L$41,IF(BR72=Цены!$H$42,Цены!$L$42,IF(BR72=Цены!$H$43,Цены!$L$43,IF(BR72=Цены!$H$44,Цены!$L$44,IF(BR72=Цены!$H$45,Цены!$L$45,IF(BR72=Цены!$H$46,Цены!$L$46,IF(BR72=Цены!$H$47,Цены!$L$47,IF(BR72=Цены!$H$48,Цены!$L$48,IF(BR72=Цены!$H$49,Цены!$L$49,IF(BR72=Цены!$H$50,Цены!$L$50,IF(BR72=Цены!$H$51,Цены!$L$51,IF(BR72=Цены!$H$52,Цены!$L$52,IF(BR72=Цены!$H$53,Цены!$L$53,IF(BR72=Цены!$H$54,Цены!$L$54,IF(BR72=Цены!$H$55,Цены!$L$55))))))))))))))))))))))))))))))))))))))))))))))))))))))</f>
        <v>0.78</v>
      </c>
      <c r="BU72" s="284"/>
      <c r="BV72" s="110">
        <f>IF(BR72=Цены!$H$3,Цены!$K$3,IF(BR72=Цены!$H$4,Цены!$K$4,IF(BR72=Цены!$H$5,Цены!$K$5,IF(BR72=Цены!$H$6,Цены!$K$6,IF(BR72=Цены!$H$7,Цены!$K$7,IF(BR72=Цены!$H$8,Цены!$K$8,IF(BR72=Цены!$H$9,Цены!$K$9,IF(BR72=Цены!$H$10,Цены!$K$10,IF(BR72=Цены!$H$11,Цены!$K$11,IF(BR72=Цены!$H$12,Цены!$K$12,IF(BR72=Цены!$H$13,Цены!$K$13,IF(BR72=Цены!$H$14,Цены!$K$14,IF(BR72=Цены!$H$14,Цены!$K$14,IF(BR72=Цены!$H$15,Цены!$K$15,IF(BR72=Цены!$H$16,Цены!$K$16,IF(BR72=Цены!$H$17,Цены!$K$17,IF(BR72=Цены!$H$18,Цены!$K$18,IF(BR72=Цены!$H$19,Цены!$K$19,IF(BR72=Цены!$H$20,Цены!$K$20,IF(BR72=Цены!$H$21,Цены!$K$21,IF(BR72=Цены!$H$22,Цены!$K$22,IF(BR72=Цены!$H$23,Цены!$K$23,IF(BR72=Цены!$H$24,Цены!$K$24,IF(BR72=Цены!$H$25,Цены!$K$25,IF(BR72=Цены!$H$26,Цены!$K$26,IF(BR72=Цены!$H$27,Цены!$K$27,IF(BR72=Цены!$H$28,Цены!$K$28,IF(BR72=Цены!$H$29,Цены!$K$29,IF(BR72=Цены!$H$30,Цены!$K$30,IF(BR72=Цены!$H$31,Цены!$K$31,IF(BR72=Цены!$H$32,Цены!$K$32,IF(BR72=Цены!$H$33,Цены!$K$33,IF(BR72=Цены!$H$34,Цены!$K$34,IF(BR72=Цены!$H$35,Цены!$K$35,IF(BR72=Цены!$H$36,Цены!$K$36,IF(BR72=Цены!$H$37,Цены!$K$37,IF(BR72=Цены!$H$38,Цены!$K$38,IF(BR72=Цены!$H$39,Цены!$K$39,IF(BR72=Цены!$H$40,Цены!$K$40,IF(BR72=Цены!$H$41,Цены!$K$41,IF(BR72=Цены!$H$42,Цены!$K$42,IF(BR72=Цены!$H$43,Цены!$K$43,IF(BR72=Цены!$H$44,Цены!$K$44,IF(BR72=Цены!$H$45,Цены!$K$45,IF(BR72=Цены!$H$46,Цены!$K$46,IF(BR72=Цены!$H$47,Цены!$K$47,IF(BR72=Цены!$H$48,Цены!$K$48,IF(BR72=Цены!$H$49,Цены!$K$49,IF(BR72=Цены!$H$50,Цены!$K$50,IF(BR72=Цены!$H$51,Цены!$K$51,IF(BR72=Цены!$H$52,Цены!$K$52,IF(BR72=Цены!$H$53,Цены!$K$53,IF(BR72=Цены!$H$54,Цены!$K$54,IF(BR72=Цены!$H$55,Цены!$K$55))))))))))))))))))))))))))))))))))))))))))))))))))))))</f>
        <v>447</v>
      </c>
      <c r="BW72" s="265"/>
      <c r="BX72" s="265"/>
      <c r="BY72" s="272"/>
      <c r="BZ72" s="273"/>
      <c r="CA72" s="273"/>
      <c r="CB72" s="268"/>
      <c r="CC72" s="285"/>
      <c r="CD72" s="275"/>
      <c r="CE72" s="173" t="s">
        <v>87</v>
      </c>
      <c r="CF72" s="112">
        <v>2</v>
      </c>
      <c r="CG72" s="113">
        <f>IF(CE72=Цены!$H$3,Цены!$L$3,IF(CE72=Цены!$H$4,Цены!$L$4,IF(CE72=Цены!$H$5,Цены!$L$5,IF(CE72=Цены!$H$6,Цены!$L$6,IF(CE72=Цены!$H$7,Цены!$L$7,IF(CE72=Цены!$H$8,Цены!$L$8,IF(CE72=Цены!$H$9,Цены!$L$9,IF(CE72=Цены!$H$10,Цены!$L$10,IF(CE72=Цены!$H$11,Цены!$L$11,IF(CE72=Цены!$H$12,Цены!$L$12,IF(CE72=Цены!$H$13,Цены!$L$13,IF(CE72=Цены!$H$14,Цены!$L$14,IF(CE72=Цены!$H$14,Цены!$L$14,IF(CE72=Цены!$H$15,Цены!$L$15,IF(CE72=Цены!$H$16,Цены!$L$16,IF(CE72=Цены!$H$17,Цены!$L$17,IF(CE72=Цены!$H$18,Цены!$L$18,IF(CE72=Цены!$H$19,Цены!$L$19,IF(CE72=Цены!$H$20,Цены!$L$20,IF(CE72=Цены!$H$21,Цены!$L$21,IF(CE72=Цены!$H$22,Цены!$L$22,IF(CE72=Цены!$H$23,Цены!$L$23,IF(CE72=Цены!$H$24,Цены!$L$24,IF(CE72=Цены!$H$25,Цены!$L$25,IF(CE72=Цены!$H$26,Цены!$L$26,IF(CE72=Цены!$H$27,Цены!$L$27,IF(CE72=Цены!$H$28,Цены!$L$28,IF(CE72=Цены!$H$29,Цены!$L$29,IF(CE72=Цены!$H$30,Цены!$L$30,IF(CE72=Цены!$H$31,Цены!$L$31,IF(CE72=Цены!$H$32,Цены!$L$32,IF(CE72=Цены!$H$33,Цены!$L$33,IF(CE72=Цены!$H$34,Цены!$L$34,IF(CE72=Цены!$H$35,Цены!$L$35,IF(CE72=Цены!$H$36,Цены!$L$36,IF(CE72=Цены!$H$37,Цены!$L$37,IF(CE72=Цены!$H$38,Цены!$L$38,IF(CE72=Цены!$H$39,Цены!$L$39,IF(CE72=Цены!$H$40,Цены!$L$40,IF(CE72=Цены!$H$41,Цены!$L$41,IF(CE72=Цены!$H$42,Цены!$L$42,IF(CE72=Цены!$H$43,Цены!$L$43,IF(CE72=Цены!$H$44,Цены!$L$44,IF(CE72=Цены!$H$45,Цены!$L$45,IF(CE72=Цены!$H$46,Цены!$L$46,IF(CE72=Цены!$H$47,Цены!$L$47,IF(CE72=Цены!$H$48,Цены!$L$48,IF(CE72=Цены!$H$49,Цены!$L$49,IF(CE72=Цены!$H$50,Цены!$L$50,IF(CE72=Цены!$H$51,Цены!$L$51,IF(CE72=Цены!$H$52,Цены!$L$52,IF(CE72=Цены!$H$53,Цены!$L$53,IF(CE72=Цены!$H$54,Цены!$L$54,IF(CE72=Цены!$H$55,Цены!$L$55))))))))))))))))))))))))))))))))))))))))))))))))))))))</f>
        <v>1.2</v>
      </c>
      <c r="CH72" s="282"/>
      <c r="CI72" s="114">
        <f>IF(CE72=Цены!$H$3,Цены!$K$3,IF(CE72=Цены!$H$4,Цены!$K$4,IF(CE72=Цены!$H$5,Цены!$K$5,IF(CE72=Цены!$H$6,Цены!$K$6,IF(CE72=Цены!$H$7,Цены!$K$7,IF(CE72=Цены!$H$8,Цены!$K$8,IF(CE72=Цены!$H$9,Цены!$K$9,IF(CE72=Цены!$H$10,Цены!$K$10,IF(CE72=Цены!$H$11,Цены!$K$11,IF(CE72=Цены!$H$12,Цены!$K$12,IF(CE72=Цены!$H$13,Цены!$K$13,IF(CE72=Цены!$H$14,Цены!$K$14,IF(CE72=Цены!$H$14,Цены!$K$14,IF(CE72=Цены!$H$15,Цены!$K$15,IF(CE72=Цены!$H$16,Цены!$K$16,IF(CE72=Цены!$H$17,Цены!$K$17,IF(CE72=Цены!$H$18,Цены!$K$18,IF(CE72=Цены!$H$19,Цены!$K$19,IF(CE72=Цены!$H$20,Цены!$K$20,IF(CE72=Цены!$H$21,Цены!$K$21,IF(CE72=Цены!$H$22,Цены!$K$22,IF(CE72=Цены!$H$23,Цены!$K$23,IF(CE72=Цены!$H$24,Цены!$K$24,IF(CE72=Цены!$H$25,Цены!$K$25,IF(CE72=Цены!$H$26,Цены!$K$26,IF(CE72=Цены!$H$27,Цены!$K$27,IF(CE72=Цены!$H$28,Цены!$K$28,IF(CE72=Цены!$H$29,Цены!$K$29,IF(CE72=Цены!$H$30,Цены!$K$30,IF(CE72=Цены!$H$31,Цены!$K$31,IF(CE72=Цены!$H$32,Цены!$K$32,IF(CE72=Цены!$H$33,Цены!$K$33,IF(CE72=Цены!$H$34,Цены!$K$34,IF(CE72=Цены!$H$35,Цены!$K$35,IF(CE72=Цены!$H$36,Цены!$K$36,IF(CE72=Цены!$H$37,Цены!$K$37,IF(CE72=Цены!$H$38,Цены!$K$38,IF(CE72=Цены!$H$39,Цены!$K$39,IF(CE72=Цены!$H$40,Цены!$K$40,IF(CE72=Цены!$H$41,Цены!$K$41,IF(CE72=Цены!$H$42,Цены!$K$42,IF(CE72=Цены!$H$43,Цены!$K$43,IF(CE72=Цены!$H$44,Цены!$K$44,IF(CE72=Цены!$H$45,Цены!$K$45,IF(CE72=Цены!$H$46,Цены!$K$46,IF(CE72=Цены!$H$47,Цены!$K$47,IF(CE72=Цены!$H$48,Цены!$K$48,IF(CE72=Цены!$H$49,Цены!$K$49,IF(CE72=Цены!$H$50,Цены!$K$50,IF(CE72=Цены!$H$51,Цены!$K$51,IF(CE72=Цены!$H$52,Цены!$K$52,IF(CE72=Цены!$H$53,Цены!$K$53,IF(CE72=Цены!$H$54,Цены!$K$54,IF(CE72=Цены!$H$55,Цены!$K$55))))))))))))))))))))))))))))))))))))))))))))))))))))))</f>
        <v>378</v>
      </c>
      <c r="CJ72" s="265"/>
      <c r="CK72" s="265"/>
      <c r="CL72" s="272"/>
      <c r="CM72" s="273"/>
      <c r="CN72" s="273"/>
      <c r="CO72" s="268"/>
      <c r="CP72" s="283"/>
      <c r="CQ72" s="275"/>
    </row>
    <row r="73" spans="1:95" s="40" customFormat="1" ht="15" customHeight="1" x14ac:dyDescent="0.25">
      <c r="A73" s="267"/>
      <c r="B73" s="265"/>
      <c r="C73" s="336"/>
      <c r="D73" s="174" t="s">
        <v>125</v>
      </c>
      <c r="E73" s="168">
        <v>4</v>
      </c>
      <c r="F73" s="46">
        <f>IF(D73=Цены!$H$3,Цены!$L$3,IF(D73=Цены!$H$4,Цены!$L$4,IF(D73=Цены!$H$5,Цены!$L$5,IF(D73=Цены!$H$6,Цены!$L$6,IF(D73=Цены!$H$7,Цены!$L$7,IF(D73=Цены!$H$8,Цены!$L$8,IF(D73=Цены!$H$9,Цены!$L$9,IF(D73=Цены!$H$10,Цены!$L$10,IF(D73=Цены!$H$11,Цены!$L$11,IF(D73=Цены!$H$12,Цены!$L$12,IF(D73=Цены!$H$13,Цены!$L$13,IF(D73=Цены!$H$14,Цены!$L$14,IF(D73=Цены!$H$14,Цены!$L$14,IF(D73=Цены!$H$15,Цены!$L$15,IF(D73=Цены!$H$16,Цены!$L$16,IF(D73=Цены!$H$17,Цены!$L$17,IF(D73=Цены!$H$18,Цены!$L$18,IF(D73=Цены!$H$19,Цены!$L$19,IF(D73=Цены!$H$20,Цены!$L$20,IF(D73=Цены!$H$21,Цены!$L$21,IF(D73=Цены!$H$22,Цены!$L$22,IF(D73=Цены!$H$23,Цены!$L$23,IF(D73=Цены!$H$24,Цены!$L$24,IF(D73=Цены!$H$25,Цены!$L$25,IF(D73=Цены!$H$26,Цены!$L$26,IF(D73=Цены!$H$27,Цены!$L$27,IF(D73=Цены!$H$28,Цены!$L$28,IF(D73=Цены!$H$29,Цены!$L$29,IF(D73=Цены!$H$30,Цены!$L$30,IF(D73=Цены!$H$31,Цены!$L$31,IF(D73=Цены!$H$32,Цены!$L$32,IF(D73=Цены!$H$33,Цены!$L$33,IF(D73=Цены!$H$34,Цены!$L$34,IF(D73=Цены!$H$35,Цены!$L$35,IF(D73=Цены!$H$36,Цены!$L$36,IF(D73=Цены!$H$37,Цены!$L$37,IF(D73=Цены!$H$38,Цены!$L$38,IF(D73=Цены!$H$39,Цены!$L$39,IF(D73=Цены!$H$40,Цены!$L$40,IF(D73=Цены!$H$41,Цены!$L$41,IF(D73=Цены!$H$42,Цены!$L$42,IF(D73=Цены!$H$43,Цены!$L$43,IF(D73=Цены!$H$44,Цены!$L$44,IF(D73=Цены!$H$45,Цены!$L$45,IF(D73=Цены!$H$46,Цены!$L$46,IF(D73=Цены!$H$47,Цены!$L$47,IF(D73=Цены!$H$48,Цены!$L$48,IF(D73=Цены!$H$49,Цены!$L$49,IF(D73=Цены!$H$50,Цены!$L$50,IF(D73=Цены!$H$51,Цены!$L$51,IF(D73=Цены!$H$52,Цены!$L$52,IF(D73=Цены!$H$53,Цены!$L$53,IF(D73=Цены!$H$54,Цены!$L$54,IF(D73=Цены!$H$55,Цены!$L$55))))))))))))))))))))))))))))))))))))))))))))))))))))))</f>
        <v>0.39</v>
      </c>
      <c r="G73" s="339"/>
      <c r="H73" s="47">
        <f>IF(D73=Цены!$H$3,Цены!$K$3,IF(D73=Цены!$H$4,Цены!$K$4,IF(D73=Цены!$H$5,Цены!$K$5,IF(D73=Цены!$H$6,Цены!$K$6,IF(D73=Цены!$H$7,Цены!$K$7,IF(D73=Цены!$H$8,Цены!$K$8,IF(D73=Цены!$H$9,Цены!$K$9,IF(D73=Цены!$H$10,Цены!$K$10,IF(D73=Цены!$H$11,Цены!$K$11,IF(D73=Цены!$H$12,Цены!$K$12,IF(D73=Цены!$H$13,Цены!$K$13,IF(D73=Цены!$H$14,Цены!$K$14,IF(D73=Цены!$H$14,Цены!$K$14,IF(D73=Цены!$H$15,Цены!$K$15,IF(D73=Цены!$H$16,Цены!$K$16,IF(D73=Цены!$H$17,Цены!$K$17,IF(D73=Цены!$H$18,Цены!$K$18,IF(D73=Цены!$H$19,Цены!$K$19,IF(D73=Цены!$H$20,Цены!$K$20,IF(D73=Цены!$H$21,Цены!$K$21,IF(D73=Цены!$H$22,Цены!$K$22,IF(D73=Цены!$H$23,Цены!$K$23,IF(D73=Цены!$H$24,Цены!$K$24,IF(D73=Цены!$H$25,Цены!$K$25,IF(D73=Цены!$H$26,Цены!$K$26,IF(D73=Цены!$H$27,Цены!$K$27,IF(D73=Цены!$H$28,Цены!$K$28,IF(D73=Цены!$H$29,Цены!$K$29,IF(D73=Цены!$H$30,Цены!$K$30,IF(D73=Цены!$H$31,Цены!$K$31,IF(D73=Цены!$H$32,Цены!$K$32,IF(D73=Цены!$H$33,Цены!$K$33,IF(D73=Цены!$H$34,Цены!$K$34,IF(D73=Цены!$H$35,Цены!$K$35,IF(D73=Цены!$H$36,Цены!$K$36,IF(D73=Цены!$H$37,Цены!$K$37,IF(D73=Цены!$H$38,Цены!$K$38,IF(D73=Цены!$H$39,Цены!$K$39,IF(D73=Цены!$H$40,Цены!$K$40,IF(D73=Цены!$H$41,Цены!$K$41,IF(D73=Цены!$H$42,Цены!$K$42,IF(D73=Цены!$H$43,Цены!$K$43,IF(D73=Цены!$H$44,Цены!$K$44,IF(D73=Цены!$H$45,Цены!$K$45,IF(D73=Цены!$H$46,Цены!$K$46,IF(D73=Цены!$H$47,Цены!$K$47,IF(D73=Цены!$H$48,Цены!$K$48,IF(D73=Цены!$H$49,Цены!$K$49,IF(D73=Цены!$H$50,Цены!$K$50,IF(D73=Цены!$H$51,Цены!$K$51,IF(D73=Цены!$H$52,Цены!$K$52,IF(D73=Цены!$H$53,Цены!$K$53,IF(D73=Цены!$H$54,Цены!$K$54,IF(D73=Цены!$H$55,Цены!$K$55))))))))))))))))))))))))))))))))))))))))))))))))))))))</f>
        <v>822</v>
      </c>
      <c r="I73" s="265"/>
      <c r="J73" s="265"/>
      <c r="K73" s="272"/>
      <c r="L73" s="273"/>
      <c r="M73" s="273"/>
      <c r="N73" s="268"/>
      <c r="O73" s="332"/>
      <c r="P73" s="275"/>
      <c r="Q73" s="174"/>
      <c r="R73" s="37"/>
      <c r="S73" s="38" t="b">
        <f>IF(Q73=Цены!$H$3,Цены!$L$3,IF(Q73=Цены!$H$4,Цены!$L$4,IF(Q73=Цены!$H$5,Цены!$L$5,IF(Q73=Цены!$H$6,Цены!$L$6,IF(Q73=Цены!$H$7,Цены!$L$7,IF(Q73=Цены!$H$8,Цены!$L$8,IF(Q73=Цены!$H$9,Цены!$L$9,IF(Q73=Цены!$H$10,Цены!$L$10,IF(Q73=Цены!$H$11,Цены!$L$11,IF(Q73=Цены!$H$12,Цены!$L$12,IF(Q73=Цены!$H$13,Цены!$L$13,IF(Q73=Цены!$H$14,Цены!$L$14,IF(Q73=Цены!$H$14,Цены!$L$14,IF(Q73=Цены!$H$15,Цены!$L$15,IF(Q73=Цены!$H$16,Цены!$L$16,IF(Q73=Цены!$H$17,Цены!$L$17,IF(Q73=Цены!$H$18,Цены!$L$18,IF(Q73=Цены!$H$19,Цены!$L$19,IF(Q73=Цены!$H$20,Цены!$L$20,IF(Q73=Цены!$H$21,Цены!$L$21,IF(Q73=Цены!$H$22,Цены!$L$22,IF(Q73=Цены!$H$23,Цены!$L$23,IF(Q73=Цены!$H$24,Цены!$L$24,IF(Q73=Цены!$H$25,Цены!$L$25,IF(Q73=Цены!$H$26,Цены!$L$26,IF(Q73=Цены!$H$27,Цены!$L$27,IF(Q73=Цены!$H$28,Цены!$L$28,IF(Q73=Цены!$H$29,Цены!$L$29,IF(Q73=Цены!$H$30,Цены!$L$30,IF(Q73=Цены!$H$31,Цены!$L$31,IF(Q73=Цены!$H$32,Цены!$L$32,IF(Q73=Цены!$H$33,Цены!$L$33,IF(Q73=Цены!$H$34,Цены!$L$34,IF(Q73=Цены!$H$35,Цены!$L$35,IF(Q73=Цены!$H$36,Цены!$L$36,IF(Q73=Цены!$H$37,Цены!$L$37,IF(Q73=Цены!$H$38,Цены!$L$38,IF(Q73=Цены!$H$39,Цены!$L$39,IF(Q73=Цены!$H$40,Цены!$L$40,IF(Q73=Цены!$H$41,Цены!$L$41,IF(Q73=Цены!$H$42,Цены!$L$42,IF(Q73=Цены!$H$43,Цены!$L$43,IF(Q73=Цены!$H$44,Цены!$L$44,IF(Q73=Цены!$H$45,Цены!$L$45,IF(Q73=Цены!$H$46,Цены!$L$46,IF(Q73=Цены!$H$47,Цены!$L$47,IF(Q73=Цены!$H$48,Цены!$L$48,IF(Q73=Цены!$H$49,Цены!$L$49,IF(Q73=Цены!$H$50,Цены!$L$50,IF(Q73=Цены!$H$51,Цены!$L$51,IF(Q73=Цены!$H$52,Цены!$L$52,IF(Q73=Цены!$H$53,Цены!$L$53,IF(Q73=Цены!$H$54,Цены!$L$54,IF(Q73=Цены!$H$55,Цены!$L$55))))))))))))))))))))))))))))))))))))))))))))))))))))))</f>
        <v>0</v>
      </c>
      <c r="T73" s="322"/>
      <c r="U73" s="161" t="b">
        <f>IF(Q73=Цены!$H$3,Цены!$K$3,IF(Q73=Цены!$H$4,Цены!$K$4,IF(Q73=Цены!$H$5,Цены!$K$5,IF(Q73=Цены!$H$6,Цены!$K$6,IF(Q73=Цены!$H$7,Цены!$K$7,IF(Q73=Цены!$H$8,Цены!$K$8,IF(Q73=Цены!$H$9,Цены!$K$9,IF(Q73=Цены!$H$10,Цены!$K$10,IF(Q73=Цены!$H$11,Цены!$K$11,IF(Q73=Цены!$H$12,Цены!$K$12,IF(Q73=Цены!$H$13,Цены!$K$13,IF(Q73=Цены!$H$14,Цены!$K$14,IF(Q73=Цены!$H$14,Цены!$K$14,IF(Q73=Цены!$H$15,Цены!$K$15,IF(Q73=Цены!$H$16,Цены!$K$16,IF(Q73=Цены!$H$17,Цены!$K$17,IF(Q73=Цены!$H$18,Цены!$K$18,IF(Q73=Цены!$H$19,Цены!$K$19,IF(Q73=Цены!$H$20,Цены!$K$20,IF(Q73=Цены!$H$21,Цены!$K$21,IF(Q73=Цены!$H$22,Цены!$K$22,IF(Q73=Цены!$H$23,Цены!$K$23,IF(Q73=Цены!$H$24,Цены!$K$24,IF(Q73=Цены!$H$25,Цены!$K$25,IF(Q73=Цены!$H$26,Цены!$K$26,IF(Q73=Цены!$H$27,Цены!$K$27,IF(Q73=Цены!$H$28,Цены!$K$28,IF(Q73=Цены!$H$29,Цены!$K$29,IF(Q73=Цены!$H$30,Цены!$K$30,IF(Q73=Цены!$H$31,Цены!$K$31,IF(Q73=Цены!$H$32,Цены!$K$32,IF(Q73=Цены!$H$33,Цены!$K$33,IF(Q73=Цены!$H$34,Цены!$K$34,IF(Q73=Цены!$H$35,Цены!$K$35,IF(Q73=Цены!$H$36,Цены!$K$36,IF(Q73=Цены!$H$37,Цены!$K$37,IF(Q73=Цены!$H$38,Цены!$K$38,IF(Q73=Цены!$H$39,Цены!$K$39,IF(Q73=Цены!$H$40,Цены!$K$40,IF(Q73=Цены!$H$41,Цены!$K$41,IF(Q73=Цены!$H$42,Цены!$K$42,IF(Q73=Цены!$H$43,Цены!$K$43,IF(Q73=Цены!$H$44,Цены!$K$44,IF(Q73=Цены!$H$45,Цены!$K$45,IF(Q73=Цены!$H$46,Цены!$K$46,IF(Q73=Цены!$H$47,Цены!$K$47,IF(Q73=Цены!$H$48,Цены!$K$48,IF(Q73=Цены!$H$49,Цены!$K$49,IF(Q73=Цены!$H$50,Цены!$K$50,IF(Q73=Цены!$H$51,Цены!$K$51,IF(Q73=Цены!$H$52,Цены!$K$52,IF(Q73=Цены!$H$53,Цены!$K$53,IF(Q73=Цены!$H$54,Цены!$K$54,IF(Q73=Цены!$H$55,Цены!$K$55))))))))))))))))))))))))))))))))))))))))))))))))))))))</f>
        <v>0</v>
      </c>
      <c r="V73" s="265"/>
      <c r="W73" s="265"/>
      <c r="X73" s="272"/>
      <c r="Y73" s="273"/>
      <c r="Z73" s="273"/>
      <c r="AA73" s="320"/>
      <c r="AB73" s="323"/>
      <c r="AC73" s="275"/>
      <c r="AD73" s="174" t="s">
        <v>95</v>
      </c>
      <c r="AE73" s="67">
        <v>5</v>
      </c>
      <c r="AF73" s="68">
        <f>IF(AD73=Цены!$H$3,Цены!$L$3,IF(AD73=Цены!$H$4,Цены!$L$4,IF(AD73=Цены!$H$5,Цены!$L$5,IF(AD73=Цены!$H$6,Цены!$L$6,IF(AD73=Цены!$H$7,Цены!$L$7,IF(AD73=Цены!$H$8,Цены!$L$8,IF(AD73=Цены!$H$9,Цены!$L$9,IF(AD73=Цены!$H$10,Цены!$L$10,IF(AD73=Цены!$H$11,Цены!$L$11,IF(AD73=Цены!$H$12,Цены!$L$12,IF(AD73=Цены!$H$13,Цены!$L$13,IF(AD73=Цены!$H$14,Цены!$L$14,IF(AD73=Цены!$H$14,Цены!$L$14,IF(AD73=Цены!$H$15,Цены!$L$15,IF(AD73=Цены!$H$16,Цены!$L$16,IF(AD73=Цены!$H$17,Цены!$L$17,IF(AD73=Цены!$H$18,Цены!$L$18,IF(AD73=Цены!$H$19,Цены!$L$19,IF(AD73=Цены!$H$20,Цены!$L$20,IF(AD73=Цены!$H$21,Цены!$L$21,IF(AD73=Цены!$H$22,Цены!$L$22,IF(AD73=Цены!$H$23,Цены!$L$23,IF(AD73=Цены!$H$24,Цены!$L$24,IF(AD73=Цены!$H$25,Цены!$L$25,IF(AD73=Цены!$H$26,Цены!$L$26,IF(AD73=Цены!$H$27,Цены!$L$27,IF(AD73=Цены!$H$28,Цены!$L$28,IF(AD73=Цены!$H$29,Цены!$L$29,IF(AD73=Цены!$H$30,Цены!$L$30,IF(AD73=Цены!$H$31,Цены!$L$31,IF(AD73=Цены!$H$32,Цены!$L$32,IF(AD73=Цены!$H$33,Цены!$L$33,IF(AD73=Цены!$H$34,Цены!$L$34,IF(AD73=Цены!$H$35,Цены!$L$35,IF(AD73=Цены!$H$36,Цены!$L$36,IF(AD73=Цены!$H$37,Цены!$L$37,IF(AD73=Цены!$H$38,Цены!$L$38,IF(AD73=Цены!$H$39,Цены!$L$39,IF(AD73=Цены!$H$40,Цены!$L$40,IF(AD73=Цены!$H$41,Цены!$L$41,IF(AD73=Цены!$H$42,Цены!$L$42,IF(AD73=Цены!$H$43,Цены!$L$43,IF(AD73=Цены!$H$44,Цены!$L$44,IF(AD73=Цены!$H$45,Цены!$L$45,IF(AD73=Цены!$H$46,Цены!$L$46,IF(AD73=Цены!$H$47,Цены!$L$47,IF(AD73=Цены!$H$48,Цены!$L$48,IF(AD73=Цены!$H$49,Цены!$L$49,IF(AD73=Цены!$H$50,Цены!$L$50,IF(AD73=Цены!$H$51,Цены!$L$51,IF(AD73=Цены!$H$52,Цены!$L$52,IF(AD73=Цены!$H$53,Цены!$L$53,IF(AD73=Цены!$H$54,Цены!$L$54,IF(AD73=Цены!$H$55,Цены!$L$55))))))))))))))))))))))))))))))))))))))))))))))))))))))</f>
        <v>2.6</v>
      </c>
      <c r="AG73" s="311"/>
      <c r="AH73" s="69">
        <f>IF(AD73=Цены!$H$3,Цены!$K$3,IF(AD73=Цены!$H$4,Цены!$K$4,IF(AD73=Цены!$H$5,Цены!$K$5,IF(AD73=Цены!$H$6,Цены!$K$6,IF(AD73=Цены!$H$7,Цены!$K$7,IF(AD73=Цены!$H$8,Цены!$K$8,IF(AD73=Цены!$H$9,Цены!$K$9,IF(AD73=Цены!$H$10,Цены!$K$10,IF(AD73=Цены!$H$11,Цены!$K$11,IF(AD73=Цены!$H$12,Цены!$K$12,IF(AD73=Цены!$H$13,Цены!$K$13,IF(AD73=Цены!$H$14,Цены!$K$14,IF(AD73=Цены!$H$14,Цены!$K$14,IF(AD73=Цены!$H$15,Цены!$K$15,IF(AD73=Цены!$H$16,Цены!$K$16,IF(AD73=Цены!$H$17,Цены!$K$17,IF(AD73=Цены!$H$18,Цены!$K$18,IF(AD73=Цены!$H$19,Цены!$K$19,IF(AD73=Цены!$H$20,Цены!$K$20,IF(AD73=Цены!$H$21,Цены!$K$21,IF(AD73=Цены!$H$22,Цены!$K$22,IF(AD73=Цены!$H$23,Цены!$K$23,IF(AD73=Цены!$H$24,Цены!$K$24,IF(AD73=Цены!$H$25,Цены!$K$25,IF(AD73=Цены!$H$26,Цены!$K$26,IF(AD73=Цены!$H$27,Цены!$K$27,IF(AD73=Цены!$H$28,Цены!$K$28,IF(AD73=Цены!$H$29,Цены!$K$29,IF(AD73=Цены!$H$30,Цены!$K$30,IF(AD73=Цены!$H$31,Цены!$K$31,IF(AD73=Цены!$H$32,Цены!$K$32,IF(AD73=Цены!$H$33,Цены!$K$33,IF(AD73=Цены!$H$34,Цены!$K$34,IF(AD73=Цены!$H$35,Цены!$K$35,IF(AD73=Цены!$H$36,Цены!$K$36,IF(AD73=Цены!$H$37,Цены!$K$37,IF(AD73=Цены!$H$38,Цены!$K$38,IF(AD73=Цены!$H$39,Цены!$K$39,IF(AD73=Цены!$H$40,Цены!$K$40,IF(AD73=Цены!$H$41,Цены!$K$41,IF(AD73=Цены!$H$42,Цены!$K$42,IF(AD73=Цены!$H$43,Цены!$K$43,IF(AD73=Цены!$H$44,Цены!$K$44,IF(AD73=Цены!$H$45,Цены!$K$45,IF(AD73=Цены!$H$46,Цены!$K$46,IF(AD73=Цены!$H$47,Цены!$K$47,IF(AD73=Цены!$H$48,Цены!$K$48,IF(AD73=Цены!$H$49,Цены!$K$49,IF(AD73=Цены!$H$50,Цены!$K$50,IF(AD73=Цены!$H$51,Цены!$K$51,IF(AD73=Цены!$H$52,Цены!$K$52,IF(AD73=Цены!$H$53,Цены!$K$53,IF(AD73=Цены!$H$54,Цены!$K$54,IF(AD73=Цены!$H$55,Цены!$K$55))))))))))))))))))))))))))))))))))))))))))))))))))))))</f>
        <v>552</v>
      </c>
      <c r="AI73" s="265"/>
      <c r="AJ73" s="265"/>
      <c r="AK73" s="272"/>
      <c r="AL73" s="273"/>
      <c r="AM73" s="273"/>
      <c r="AN73" s="268"/>
      <c r="AO73" s="312"/>
      <c r="AP73" s="275"/>
      <c r="AQ73" s="174" t="s">
        <v>147</v>
      </c>
      <c r="AR73" s="131">
        <v>3</v>
      </c>
      <c r="AS73" s="80">
        <f>IF(AQ73=Цены!$H$3,Цены!$L$3,IF(AQ73=Цены!$H$4,Цены!$L$4,IF(AQ73=Цены!$H$5,Цены!$L$5,IF(AQ73=Цены!$H$6,Цены!$L$6,IF(AQ73=Цены!$H$7,Цены!$L$7,IF(AQ73=Цены!$H$8,Цены!$L$8,IF(AQ73=Цены!$H$9,Цены!$L$9,IF(AQ73=Цены!$H$10,Цены!$L$10,IF(AQ73=Цены!$H$11,Цены!$L$11,IF(AQ73=Цены!$H$12,Цены!$L$12,IF(AQ73=Цены!$H$13,Цены!$L$13,IF(AQ73=Цены!$H$14,Цены!$L$14,IF(AQ73=Цены!$H$14,Цены!$L$14,IF(AQ73=Цены!$H$15,Цены!$L$15,IF(AQ73=Цены!$H$16,Цены!$L$16,IF(AQ73=Цены!$H$17,Цены!$L$17,IF(AQ73=Цены!$H$18,Цены!$L$18,IF(AQ73=Цены!$H$19,Цены!$L$19,IF(AQ73=Цены!$H$20,Цены!$L$20,IF(AQ73=Цены!$H$21,Цены!$L$21,IF(AQ73=Цены!$H$22,Цены!$L$22,IF(AQ73=Цены!$H$23,Цены!$L$23,IF(AQ73=Цены!$H$24,Цены!$L$24,IF(AQ73=Цены!$H$25,Цены!$L$25,IF(AQ73=Цены!$H$26,Цены!$L$26,IF(AQ73=Цены!$H$27,Цены!$L$27,IF(AQ73=Цены!$H$28,Цены!$L$28,IF(AQ73=Цены!$H$29,Цены!$L$29,IF(AQ73=Цены!$H$30,Цены!$L$30,IF(AQ73=Цены!$H$31,Цены!$L$31,IF(AQ73=Цены!$H$32,Цены!$L$32,IF(AQ73=Цены!$H$33,Цены!$L$33,IF(AQ73=Цены!$H$34,Цены!$L$34,IF(AQ73=Цены!$H$35,Цены!$L$35,IF(AQ73=Цены!$H$36,Цены!$L$36,IF(AQ73=Цены!$H$37,Цены!$L$37,IF(AQ73=Цены!$H$38,Цены!$L$38,IF(AQ73=Цены!$H$39,Цены!$L$39,IF(AQ73=Цены!$H$40,Цены!$L$40,IF(AQ73=Цены!$H$41,Цены!$L$41,IF(AQ73=Цены!$H$42,Цены!$L$42,IF(AQ73=Цены!$H$43,Цены!$L$43,IF(AQ73=Цены!$H$44,Цены!$L$44,IF(AQ73=Цены!$H$45,Цены!$L$45,IF(AQ73=Цены!$H$46,Цены!$L$46,IF(AQ73=Цены!$H$47,Цены!$L$47,IF(AQ73=Цены!$H$48,Цены!$L$48,IF(AQ73=Цены!$H$49,Цены!$L$49,IF(AQ73=Цены!$H$50,Цены!$L$50,IF(AQ73=Цены!$H$51,Цены!$L$51,IF(AQ73=Цены!$H$52,Цены!$L$52,IF(AQ73=Цены!$H$53,Цены!$L$53,IF(AQ73=Цены!$H$54,Цены!$L$54,IF(AQ73=Цены!$H$55,Цены!$L$55))))))))))))))))))))))))))))))))))))))))))))))))))))))</f>
        <v>2.6</v>
      </c>
      <c r="AT73" s="271"/>
      <c r="AU73" s="81">
        <f>IF(AQ73=Цены!$H$3,Цены!$K$3,IF(AQ73=Цены!$H$4,Цены!$K$4,IF(AQ73=Цены!$H$5,Цены!$K$5,IF(AQ73=Цены!$H$6,Цены!$K$6,IF(AQ73=Цены!$H$7,Цены!$K$7,IF(AQ73=Цены!$H$8,Цены!$K$8,IF(AQ73=Цены!$H$9,Цены!$K$9,IF(AQ73=Цены!$H$10,Цены!$K$10,IF(AQ73=Цены!$H$11,Цены!$K$11,IF(AQ73=Цены!$H$12,Цены!$K$12,IF(AQ73=Цены!$H$13,Цены!$K$13,IF(AQ73=Цены!$H$14,Цены!$K$14,IF(AQ73=Цены!$H$14,Цены!$K$14,IF(AQ73=Цены!$H$15,Цены!$K$15,IF(AQ73=Цены!$H$16,Цены!$K$16,IF(AQ73=Цены!$H$17,Цены!$K$17,IF(AQ73=Цены!$H$18,Цены!$K$18,IF(AQ73=Цены!$H$19,Цены!$K$19,IF(AQ73=Цены!$H$20,Цены!$K$20,IF(AQ73=Цены!$H$21,Цены!$K$21,IF(AQ73=Цены!$H$22,Цены!$K$22,IF(AQ73=Цены!$H$23,Цены!$K$23,IF(AQ73=Цены!$H$24,Цены!$K$24,IF(AQ73=Цены!$H$25,Цены!$K$25,IF(AQ73=Цены!$H$26,Цены!$K$26,IF(AQ73=Цены!$H$27,Цены!$K$27,IF(AQ73=Цены!$H$28,Цены!$K$28,IF(AQ73=Цены!$H$29,Цены!$K$29,IF(AQ73=Цены!$H$30,Цены!$K$30,IF(AQ73=Цены!$H$31,Цены!$K$31,IF(AQ73=Цены!$H$32,Цены!$K$32,IF(AQ73=Цены!$H$33,Цены!$K$33,IF(AQ73=Цены!$H$34,Цены!$K$34,IF(AQ73=Цены!$H$35,Цены!$K$35,IF(AQ73=Цены!$H$36,Цены!$K$36,IF(AQ73=Цены!$H$37,Цены!$K$37,IF(AQ73=Цены!$H$38,Цены!$K$38,IF(AQ73=Цены!$H$39,Цены!$K$39,IF(AQ73=Цены!$H$40,Цены!$K$40,IF(AQ73=Цены!$H$41,Цены!$K$41,IF(AQ73=Цены!$H$42,Цены!$K$42,IF(AQ73=Цены!$H$43,Цены!$K$43,IF(AQ73=Цены!$H$44,Цены!$K$44,IF(AQ73=Цены!$H$45,Цены!$K$45,IF(AQ73=Цены!$H$46,Цены!$K$46,IF(AQ73=Цены!$H$47,Цены!$K$47,IF(AQ73=Цены!$H$48,Цены!$K$48,IF(AQ73=Цены!$H$49,Цены!$K$49,IF(AQ73=Цены!$H$50,Цены!$K$50,IF(AQ73=Цены!$H$51,Цены!$K$51,IF(AQ73=Цены!$H$52,Цены!$K$52,IF(AQ73=Цены!$H$53,Цены!$K$53,IF(AQ73=Цены!$H$54,Цены!$K$54,IF(AQ73=Цены!$H$55,Цены!$K$55))))))))))))))))))))))))))))))))))))))))))))))))))))))</f>
        <v>552</v>
      </c>
      <c r="AV73" s="265"/>
      <c r="AW73" s="265"/>
      <c r="AX73" s="272"/>
      <c r="AY73" s="273"/>
      <c r="AZ73" s="273"/>
      <c r="BA73" s="268"/>
      <c r="BB73" s="274"/>
      <c r="BC73" s="275"/>
      <c r="BD73" s="262"/>
      <c r="BE73" s="174"/>
      <c r="BF73" s="106"/>
      <c r="BG73" s="103" t="b">
        <f>IF(BE73=Цены!$H$3,Цены!$L$3,IF(BE73=Цены!$H$4,Цены!$L$4,IF(BE73=Цены!$H$5,Цены!$L$5,IF(BE73=Цены!$H$6,Цены!$L$6,IF(BE73=Цены!$H$7,Цены!$L$7,IF(BE73=Цены!$H$8,Цены!$L$8,IF(BE73=Цены!$H$9,Цены!$L$9,IF(BE73=Цены!$H$10,Цены!$L$10,IF(BE73=Цены!$H$11,Цены!$L$11,IF(BE73=Цены!$H$12,Цены!$L$12,IF(BE73=Цены!$H$13,Цены!$L$13,IF(BE73=Цены!$H$14,Цены!$L$14,IF(BE73=Цены!$H$14,Цены!$L$14,IF(BE73=Цены!$H$15,Цены!$L$15,IF(BE73=Цены!$H$16,Цены!$L$16,IF(BE73=Цены!$H$17,Цены!$L$17,IF(BE73=Цены!$H$18,Цены!$L$18,IF(BE73=Цены!$H$19,Цены!$L$19,IF(BE73=Цены!$H$20,Цены!$L$20,IF(BE73=Цены!$H$21,Цены!$L$21,IF(BE73=Цены!$H$22,Цены!$L$22,IF(BE73=Цены!$H$23,Цены!$L$23,IF(BE73=Цены!$H$24,Цены!$L$24,IF(BE73=Цены!$H$25,Цены!$L$25,IF(BE73=Цены!$H$26,Цены!$L$26,IF(BE73=Цены!$H$27,Цены!$L$27,IF(BE73=Цены!$H$28,Цены!$L$28,IF(BE73=Цены!$H$29,Цены!$L$29,IF(BE73=Цены!$H$30,Цены!$L$30,IF(BE73=Цены!$H$31,Цены!$L$31,IF(BE73=Цены!$H$32,Цены!$L$32,IF(BE73=Цены!$H$33,Цены!$L$33,IF(BE73=Цены!$H$34,Цены!$L$34,IF(BE73=Цены!$H$35,Цены!$L$35,IF(BE73=Цены!$H$36,Цены!$L$36,IF(BE73=Цены!$H$37,Цены!$L$37,IF(BE73=Цены!$H$38,Цены!$L$38,IF(BE73=Цены!$H$39,Цены!$L$39,IF(BE73=Цены!$H$40,Цены!$L$40,IF(BE73=Цены!$H$41,Цены!$L$41,IF(BE73=Цены!$H$42,Цены!$L$42,IF(BE73=Цены!$H$43,Цены!$L$43,IF(BE73=Цены!$H$44,Цены!$L$44,IF(BE73=Цены!$H$45,Цены!$L$45,IF(BE73=Цены!$H$46,Цены!$L$46,IF(BE73=Цены!$H$47,Цены!$L$47,IF(BE73=Цены!$H$48,Цены!$L$48,IF(BE73=Цены!$H$49,Цены!$L$49,IF(BE73=Цены!$H$50,Цены!$L$50,IF(BE73=Цены!$H$51,Цены!$L$51,IF(BE73=Цены!$H$52,Цены!$L$52,IF(BE73=Цены!$H$53,Цены!$L$53,IF(BE73=Цены!$H$54,Цены!$L$54,IF(BE73=Цены!$H$55,Цены!$L$55))))))))))))))))))))))))))))))))))))))))))))))))))))))</f>
        <v>0</v>
      </c>
      <c r="BH73" s="280"/>
      <c r="BI73" s="104" t="b">
        <f>IF(BE73=Цены!$H$3,Цены!$K$3,IF(BE73=Цены!$H$4,Цены!$K$4,IF(BE73=Цены!$H$5,Цены!$K$5,IF(BE73=Цены!$H$6,Цены!$K$6,IF(BE73=Цены!$H$7,Цены!$K$7,IF(BE73=Цены!$H$8,Цены!$K$8,IF(BE73=Цены!$H$9,Цены!$K$9,IF(BE73=Цены!$H$10,Цены!$K$10,IF(BE73=Цены!$H$11,Цены!$K$11,IF(BE73=Цены!$H$12,Цены!$K$12,IF(BE73=Цены!$H$13,Цены!$K$13,IF(BE73=Цены!$H$14,Цены!$K$14,IF(BE73=Цены!$H$14,Цены!$K$14,IF(BE73=Цены!$H$15,Цены!$K$15,IF(BE73=Цены!$H$16,Цены!$K$16,IF(BE73=Цены!$H$17,Цены!$K$17,IF(BE73=Цены!$H$18,Цены!$K$18,IF(BE73=Цены!$H$19,Цены!$K$19,IF(BE73=Цены!$H$20,Цены!$K$20,IF(BE73=Цены!$H$21,Цены!$K$21,IF(BE73=Цены!$H$22,Цены!$K$22,IF(BE73=Цены!$H$23,Цены!$K$23,IF(BE73=Цены!$H$24,Цены!$K$24,IF(BE73=Цены!$H$25,Цены!$K$25,IF(BE73=Цены!$H$26,Цены!$K$26,IF(BE73=Цены!$H$27,Цены!$K$27,IF(BE73=Цены!$H$28,Цены!$K$28,IF(BE73=Цены!$H$29,Цены!$K$29,IF(BE73=Цены!$H$30,Цены!$K$30,IF(BE73=Цены!$H$31,Цены!$K$31,IF(BE73=Цены!$H$32,Цены!$K$32,IF(BE73=Цены!$H$33,Цены!$K$33,IF(BE73=Цены!$H$34,Цены!$K$34,IF(BE73=Цены!$H$35,Цены!$K$35,IF(BE73=Цены!$H$36,Цены!$K$36,IF(BE73=Цены!$H$37,Цены!$K$37,IF(BE73=Цены!$H$38,Цены!$K$38,IF(BE73=Цены!$H$39,Цены!$K$39,IF(BE73=Цены!$H$40,Цены!$K$40,IF(BE73=Цены!$H$41,Цены!$K$41,IF(BE73=Цены!$H$42,Цены!$K$42,IF(BE73=Цены!$H$43,Цены!$K$43,IF(BE73=Цены!$H$44,Цены!$K$44,IF(BE73=Цены!$H$45,Цены!$K$45,IF(BE73=Цены!$H$46,Цены!$K$46,IF(BE73=Цены!$H$47,Цены!$K$47,IF(BE73=Цены!$H$48,Цены!$K$48,IF(BE73=Цены!$H$49,Цены!$K$49,IF(BE73=Цены!$H$50,Цены!$K$50,IF(BE73=Цены!$H$51,Цены!$K$51,IF(BE73=Цены!$H$52,Цены!$K$52,IF(BE73=Цены!$H$53,Цены!$K$53,IF(BE73=Цены!$H$54,Цены!$K$54,IF(BE73=Цены!$H$55,Цены!$K$55))))))))))))))))))))))))))))))))))))))))))))))))))))))</f>
        <v>0</v>
      </c>
      <c r="BJ73" s="265"/>
      <c r="BK73" s="265"/>
      <c r="BL73" s="272"/>
      <c r="BM73" s="273"/>
      <c r="BN73" s="273"/>
      <c r="BO73" s="268"/>
      <c r="BP73" s="281"/>
      <c r="BQ73" s="275"/>
      <c r="BR73" s="174"/>
      <c r="BS73" s="108"/>
      <c r="BT73" s="109" t="b">
        <f>IF(BR73=Цены!$H$3,Цены!$L$3,IF(BR73=Цены!$H$4,Цены!$L$4,IF(BR73=Цены!$H$5,Цены!$L$5,IF(BR73=Цены!$H$6,Цены!$L$6,IF(BR73=Цены!$H$7,Цены!$L$7,IF(BR73=Цены!$H$8,Цены!$L$8,IF(BR73=Цены!$H$9,Цены!$L$9,IF(BR73=Цены!$H$10,Цены!$L$10,IF(BR73=Цены!$H$11,Цены!$L$11,IF(BR73=Цены!$H$12,Цены!$L$12,IF(BR73=Цены!$H$13,Цены!$L$13,IF(BR73=Цены!$H$14,Цены!$L$14,IF(BR73=Цены!$H$14,Цены!$L$14,IF(BR73=Цены!$H$15,Цены!$L$15,IF(BR73=Цены!$H$16,Цены!$L$16,IF(BR73=Цены!$H$17,Цены!$L$17,IF(BR73=Цены!$H$18,Цены!$L$18,IF(BR73=Цены!$H$19,Цены!$L$19,IF(BR73=Цены!$H$20,Цены!$L$20,IF(BR73=Цены!$H$21,Цены!$L$21,IF(BR73=Цены!$H$22,Цены!$L$22,IF(BR73=Цены!$H$23,Цены!$L$23,IF(BR73=Цены!$H$24,Цены!$L$24,IF(BR73=Цены!$H$25,Цены!$L$25,IF(BR73=Цены!$H$26,Цены!$L$26,IF(BR73=Цены!$H$27,Цены!$L$27,IF(BR73=Цены!$H$28,Цены!$L$28,IF(BR73=Цены!$H$29,Цены!$L$29,IF(BR73=Цены!$H$30,Цены!$L$30,IF(BR73=Цены!$H$31,Цены!$L$31,IF(BR73=Цены!$H$32,Цены!$L$32,IF(BR73=Цены!$H$33,Цены!$L$33,IF(BR73=Цены!$H$34,Цены!$L$34,IF(BR73=Цены!$H$35,Цены!$L$35,IF(BR73=Цены!$H$36,Цены!$L$36,IF(BR73=Цены!$H$37,Цены!$L$37,IF(BR73=Цены!$H$38,Цены!$L$38,IF(BR73=Цены!$H$39,Цены!$L$39,IF(BR73=Цены!$H$40,Цены!$L$40,IF(BR73=Цены!$H$41,Цены!$L$41,IF(BR73=Цены!$H$42,Цены!$L$42,IF(BR73=Цены!$H$43,Цены!$L$43,IF(BR73=Цены!$H$44,Цены!$L$44,IF(BR73=Цены!$H$45,Цены!$L$45,IF(BR73=Цены!$H$46,Цены!$L$46,IF(BR73=Цены!$H$47,Цены!$L$47,IF(BR73=Цены!$H$48,Цены!$L$48,IF(BR73=Цены!$H$49,Цены!$L$49,IF(BR73=Цены!$H$50,Цены!$L$50,IF(BR73=Цены!$H$51,Цены!$L$51,IF(BR73=Цены!$H$52,Цены!$L$52,IF(BR73=Цены!$H$53,Цены!$L$53,IF(BR73=Цены!$H$54,Цены!$L$54,IF(BR73=Цены!$H$55,Цены!$L$55))))))))))))))))))))))))))))))))))))))))))))))))))))))</f>
        <v>0</v>
      </c>
      <c r="BU73" s="284"/>
      <c r="BV73" s="110" t="b">
        <f>IF(BR73=Цены!$H$3,Цены!$K$3,IF(BR73=Цены!$H$4,Цены!$K$4,IF(BR73=Цены!$H$5,Цены!$K$5,IF(BR73=Цены!$H$6,Цены!$K$6,IF(BR73=Цены!$H$7,Цены!$K$7,IF(BR73=Цены!$H$8,Цены!$K$8,IF(BR73=Цены!$H$9,Цены!$K$9,IF(BR73=Цены!$H$10,Цены!$K$10,IF(BR73=Цены!$H$11,Цены!$K$11,IF(BR73=Цены!$H$12,Цены!$K$12,IF(BR73=Цены!$H$13,Цены!$K$13,IF(BR73=Цены!$H$14,Цены!$K$14,IF(BR73=Цены!$H$14,Цены!$K$14,IF(BR73=Цены!$H$15,Цены!$K$15,IF(BR73=Цены!$H$16,Цены!$K$16,IF(BR73=Цены!$H$17,Цены!$K$17,IF(BR73=Цены!$H$18,Цены!$K$18,IF(BR73=Цены!$H$19,Цены!$K$19,IF(BR73=Цены!$H$20,Цены!$K$20,IF(BR73=Цены!$H$21,Цены!$K$21,IF(BR73=Цены!$H$22,Цены!$K$22,IF(BR73=Цены!$H$23,Цены!$K$23,IF(BR73=Цены!$H$24,Цены!$K$24,IF(BR73=Цены!$H$25,Цены!$K$25,IF(BR73=Цены!$H$26,Цены!$K$26,IF(BR73=Цены!$H$27,Цены!$K$27,IF(BR73=Цены!$H$28,Цены!$K$28,IF(BR73=Цены!$H$29,Цены!$K$29,IF(BR73=Цены!$H$30,Цены!$K$30,IF(BR73=Цены!$H$31,Цены!$K$31,IF(BR73=Цены!$H$32,Цены!$K$32,IF(BR73=Цены!$H$33,Цены!$K$33,IF(BR73=Цены!$H$34,Цены!$K$34,IF(BR73=Цены!$H$35,Цены!$K$35,IF(BR73=Цены!$H$36,Цены!$K$36,IF(BR73=Цены!$H$37,Цены!$K$37,IF(BR73=Цены!$H$38,Цены!$K$38,IF(BR73=Цены!$H$39,Цены!$K$39,IF(BR73=Цены!$H$40,Цены!$K$40,IF(BR73=Цены!$H$41,Цены!$K$41,IF(BR73=Цены!$H$42,Цены!$K$42,IF(BR73=Цены!$H$43,Цены!$K$43,IF(BR73=Цены!$H$44,Цены!$K$44,IF(BR73=Цены!$H$45,Цены!$K$45,IF(BR73=Цены!$H$46,Цены!$K$46,IF(BR73=Цены!$H$47,Цены!$K$47,IF(BR73=Цены!$H$48,Цены!$K$48,IF(BR73=Цены!$H$49,Цены!$K$49,IF(BR73=Цены!$H$50,Цены!$K$50,IF(BR73=Цены!$H$51,Цены!$K$51,IF(BR73=Цены!$H$52,Цены!$K$52,IF(BR73=Цены!$H$53,Цены!$K$53,IF(BR73=Цены!$H$54,Цены!$K$54,IF(BR73=Цены!$H$55,Цены!$K$55))))))))))))))))))))))))))))))))))))))))))))))))))))))</f>
        <v>0</v>
      </c>
      <c r="BW73" s="265"/>
      <c r="BX73" s="265"/>
      <c r="BY73" s="272"/>
      <c r="BZ73" s="273"/>
      <c r="CA73" s="273"/>
      <c r="CB73" s="268"/>
      <c r="CC73" s="285"/>
      <c r="CD73" s="275"/>
      <c r="CE73" s="174" t="s">
        <v>125</v>
      </c>
      <c r="CF73" s="112">
        <v>1</v>
      </c>
      <c r="CG73" s="113">
        <f>IF(CE73=Цены!$H$3,Цены!$L$3,IF(CE73=Цены!$H$4,Цены!$L$4,IF(CE73=Цены!$H$5,Цены!$L$5,IF(CE73=Цены!$H$6,Цены!$L$6,IF(CE73=Цены!$H$7,Цены!$L$7,IF(CE73=Цены!$H$8,Цены!$L$8,IF(CE73=Цены!$H$9,Цены!$L$9,IF(CE73=Цены!$H$10,Цены!$L$10,IF(CE73=Цены!$H$11,Цены!$L$11,IF(CE73=Цены!$H$12,Цены!$L$12,IF(CE73=Цены!$H$13,Цены!$L$13,IF(CE73=Цены!$H$14,Цены!$L$14,IF(CE73=Цены!$H$14,Цены!$L$14,IF(CE73=Цены!$H$15,Цены!$L$15,IF(CE73=Цены!$H$16,Цены!$L$16,IF(CE73=Цены!$H$17,Цены!$L$17,IF(CE73=Цены!$H$18,Цены!$L$18,IF(CE73=Цены!$H$19,Цены!$L$19,IF(CE73=Цены!$H$20,Цены!$L$20,IF(CE73=Цены!$H$21,Цены!$L$21,IF(CE73=Цены!$H$22,Цены!$L$22,IF(CE73=Цены!$H$23,Цены!$L$23,IF(CE73=Цены!$H$24,Цены!$L$24,IF(CE73=Цены!$H$25,Цены!$L$25,IF(CE73=Цены!$H$26,Цены!$L$26,IF(CE73=Цены!$H$27,Цены!$L$27,IF(CE73=Цены!$H$28,Цены!$L$28,IF(CE73=Цены!$H$29,Цены!$L$29,IF(CE73=Цены!$H$30,Цены!$L$30,IF(CE73=Цены!$H$31,Цены!$L$31,IF(CE73=Цены!$H$32,Цены!$L$32,IF(CE73=Цены!$H$33,Цены!$L$33,IF(CE73=Цены!$H$34,Цены!$L$34,IF(CE73=Цены!$H$35,Цены!$L$35,IF(CE73=Цены!$H$36,Цены!$L$36,IF(CE73=Цены!$H$37,Цены!$L$37,IF(CE73=Цены!$H$38,Цены!$L$38,IF(CE73=Цены!$H$39,Цены!$L$39,IF(CE73=Цены!$H$40,Цены!$L$40,IF(CE73=Цены!$H$41,Цены!$L$41,IF(CE73=Цены!$H$42,Цены!$L$42,IF(CE73=Цены!$H$43,Цены!$L$43,IF(CE73=Цены!$H$44,Цены!$L$44,IF(CE73=Цены!$H$45,Цены!$L$45,IF(CE73=Цены!$H$46,Цены!$L$46,IF(CE73=Цены!$H$47,Цены!$L$47,IF(CE73=Цены!$H$48,Цены!$L$48,IF(CE73=Цены!$H$49,Цены!$L$49,IF(CE73=Цены!$H$50,Цены!$L$50,IF(CE73=Цены!$H$51,Цены!$L$51,IF(CE73=Цены!$H$52,Цены!$L$52,IF(CE73=Цены!$H$53,Цены!$L$53,IF(CE73=Цены!$H$54,Цены!$L$54,IF(CE73=Цены!$H$55,Цены!$L$55))))))))))))))))))))))))))))))))))))))))))))))))))))))</f>
        <v>0.39</v>
      </c>
      <c r="CH73" s="282"/>
      <c r="CI73" s="114">
        <f>IF(CE73=Цены!$H$3,Цены!$K$3,IF(CE73=Цены!$H$4,Цены!$K$4,IF(CE73=Цены!$H$5,Цены!$K$5,IF(CE73=Цены!$H$6,Цены!$K$6,IF(CE73=Цены!$H$7,Цены!$K$7,IF(CE73=Цены!$H$8,Цены!$K$8,IF(CE73=Цены!$H$9,Цены!$K$9,IF(CE73=Цены!$H$10,Цены!$K$10,IF(CE73=Цены!$H$11,Цены!$K$11,IF(CE73=Цены!$H$12,Цены!$K$12,IF(CE73=Цены!$H$13,Цены!$K$13,IF(CE73=Цены!$H$14,Цены!$K$14,IF(CE73=Цены!$H$14,Цены!$K$14,IF(CE73=Цены!$H$15,Цены!$K$15,IF(CE73=Цены!$H$16,Цены!$K$16,IF(CE73=Цены!$H$17,Цены!$K$17,IF(CE73=Цены!$H$18,Цены!$K$18,IF(CE73=Цены!$H$19,Цены!$K$19,IF(CE73=Цены!$H$20,Цены!$K$20,IF(CE73=Цены!$H$21,Цены!$K$21,IF(CE73=Цены!$H$22,Цены!$K$22,IF(CE73=Цены!$H$23,Цены!$K$23,IF(CE73=Цены!$H$24,Цены!$K$24,IF(CE73=Цены!$H$25,Цены!$K$25,IF(CE73=Цены!$H$26,Цены!$K$26,IF(CE73=Цены!$H$27,Цены!$K$27,IF(CE73=Цены!$H$28,Цены!$K$28,IF(CE73=Цены!$H$29,Цены!$K$29,IF(CE73=Цены!$H$30,Цены!$K$30,IF(CE73=Цены!$H$31,Цены!$K$31,IF(CE73=Цены!$H$32,Цены!$K$32,IF(CE73=Цены!$H$33,Цены!$K$33,IF(CE73=Цены!$H$34,Цены!$K$34,IF(CE73=Цены!$H$35,Цены!$K$35,IF(CE73=Цены!$H$36,Цены!$K$36,IF(CE73=Цены!$H$37,Цены!$K$37,IF(CE73=Цены!$H$38,Цены!$K$38,IF(CE73=Цены!$H$39,Цены!$K$39,IF(CE73=Цены!$H$40,Цены!$K$40,IF(CE73=Цены!$H$41,Цены!$K$41,IF(CE73=Цены!$H$42,Цены!$K$42,IF(CE73=Цены!$H$43,Цены!$K$43,IF(CE73=Цены!$H$44,Цены!$K$44,IF(CE73=Цены!$H$45,Цены!$K$45,IF(CE73=Цены!$H$46,Цены!$K$46,IF(CE73=Цены!$H$47,Цены!$K$47,IF(CE73=Цены!$H$48,Цены!$K$48,IF(CE73=Цены!$H$49,Цены!$K$49,IF(CE73=Цены!$H$50,Цены!$K$50,IF(CE73=Цены!$H$51,Цены!$K$51,IF(CE73=Цены!$H$52,Цены!$K$52,IF(CE73=Цены!$H$53,Цены!$K$53,IF(CE73=Цены!$H$54,Цены!$K$54,IF(CE73=Цены!$H$55,Цены!$K$55))))))))))))))))))))))))))))))))))))))))))))))))))))))</f>
        <v>822</v>
      </c>
      <c r="CJ73" s="265"/>
      <c r="CK73" s="265"/>
      <c r="CL73" s="272"/>
      <c r="CM73" s="273"/>
      <c r="CN73" s="273"/>
      <c r="CO73" s="268"/>
      <c r="CP73" s="283"/>
      <c r="CQ73" s="275"/>
    </row>
    <row r="74" spans="1:95" s="40" customFormat="1" ht="15.75" customHeight="1" thickBot="1" x14ac:dyDescent="0.3">
      <c r="A74" s="267"/>
      <c r="B74" s="265"/>
      <c r="C74" s="336"/>
      <c r="D74" s="183" t="s">
        <v>121</v>
      </c>
      <c r="E74" s="184">
        <v>3</v>
      </c>
      <c r="F74" s="46">
        <f>IF(D74=Цены!$H$3,Цены!$L$3,IF(D74=Цены!$H$4,Цены!$L$4,IF(D74=Цены!$H$5,Цены!$L$5,IF(D74=Цены!$H$6,Цены!$L$6,IF(D74=Цены!$H$7,Цены!$L$7,IF(D74=Цены!$H$8,Цены!$L$8,IF(D74=Цены!$H$9,Цены!$L$9,IF(D74=Цены!$H$10,Цены!$L$10,IF(D74=Цены!$H$11,Цены!$L$11,IF(D74=Цены!$H$12,Цены!$L$12,IF(D74=Цены!$H$13,Цены!$L$13,IF(D74=Цены!$H$14,Цены!$L$14,IF(D74=Цены!$H$14,Цены!$L$14,IF(D74=Цены!$H$15,Цены!$L$15,IF(D74=Цены!$H$16,Цены!$L$16,IF(D74=Цены!$H$17,Цены!$L$17,IF(D74=Цены!$H$18,Цены!$L$18,IF(D74=Цены!$H$19,Цены!$L$19,IF(D74=Цены!$H$20,Цены!$L$20,IF(D74=Цены!$H$21,Цены!$L$21,IF(D74=Цены!$H$22,Цены!$L$22,IF(D74=Цены!$H$23,Цены!$L$23,IF(D74=Цены!$H$24,Цены!$L$24,IF(D74=Цены!$H$25,Цены!$L$25,IF(D74=Цены!$H$26,Цены!$L$26,IF(D74=Цены!$H$27,Цены!$L$27,IF(D74=Цены!$H$28,Цены!$L$28,IF(D74=Цены!$H$29,Цены!$L$29,IF(D74=Цены!$H$30,Цены!$L$30,IF(D74=Цены!$H$31,Цены!$L$31,IF(D74=Цены!$H$32,Цены!$L$32,IF(D74=Цены!$H$33,Цены!$L$33,IF(D74=Цены!$H$34,Цены!$L$34,IF(D74=Цены!$H$35,Цены!$L$35,IF(D74=Цены!$H$36,Цены!$L$36,IF(D74=Цены!$H$37,Цены!$L$37,IF(D74=Цены!$H$38,Цены!$L$38,IF(D74=Цены!$H$39,Цены!$L$39,IF(D74=Цены!$H$40,Цены!$L$40,IF(D74=Цены!$H$41,Цены!$L$41,IF(D74=Цены!$H$42,Цены!$L$42,IF(D74=Цены!$H$43,Цены!$L$43,IF(D74=Цены!$H$44,Цены!$L$44,IF(D74=Цены!$H$45,Цены!$L$45,IF(D74=Цены!$H$46,Цены!$L$46,IF(D74=Цены!$H$47,Цены!$L$47,IF(D74=Цены!$H$48,Цены!$L$48,IF(D74=Цены!$H$49,Цены!$L$49,IF(D74=Цены!$H$50,Цены!$L$50,IF(D74=Цены!$H$51,Цены!$L$51,IF(D74=Цены!$H$52,Цены!$L$52,IF(D74=Цены!$H$53,Цены!$L$53,IF(D74=Цены!$H$54,Цены!$L$54,IF(D74=Цены!$H$55,Цены!$L$55))))))))))))))))))))))))))))))))))))))))))))))))))))))</f>
        <v>1.32E-2</v>
      </c>
      <c r="G74" s="339"/>
      <c r="H74" s="47">
        <f>IF(D74=Цены!$H$3,Цены!$K$3,IF(D74=Цены!$H$4,Цены!$K$4,IF(D74=Цены!$H$5,Цены!$K$5,IF(D74=Цены!$H$6,Цены!$K$6,IF(D74=Цены!$H$7,Цены!$K$7,IF(D74=Цены!$H$8,Цены!$K$8,IF(D74=Цены!$H$9,Цены!$K$9,IF(D74=Цены!$H$10,Цены!$K$10,IF(D74=Цены!$H$11,Цены!$K$11,IF(D74=Цены!$H$12,Цены!$K$12,IF(D74=Цены!$H$13,Цены!$K$13,IF(D74=Цены!$H$14,Цены!$K$14,IF(D74=Цены!$H$14,Цены!$K$14,IF(D74=Цены!$H$15,Цены!$K$15,IF(D74=Цены!$H$16,Цены!$K$16,IF(D74=Цены!$H$17,Цены!$K$17,IF(D74=Цены!$H$18,Цены!$K$18,IF(D74=Цены!$H$19,Цены!$K$19,IF(D74=Цены!$H$20,Цены!$K$20,IF(D74=Цены!$H$21,Цены!$K$21,IF(D74=Цены!$H$22,Цены!$K$22,IF(D74=Цены!$H$23,Цены!$K$23,IF(D74=Цены!$H$24,Цены!$K$24,IF(D74=Цены!$H$25,Цены!$K$25,IF(D74=Цены!$H$26,Цены!$K$26,IF(D74=Цены!$H$27,Цены!$K$27,IF(D74=Цены!$H$28,Цены!$K$28,IF(D74=Цены!$H$29,Цены!$K$29,IF(D74=Цены!$H$30,Цены!$K$30,IF(D74=Цены!$H$31,Цены!$K$31,IF(D74=Цены!$H$32,Цены!$K$32,IF(D74=Цены!$H$33,Цены!$K$33,IF(D74=Цены!$H$34,Цены!$K$34,IF(D74=Цены!$H$35,Цены!$K$35,IF(D74=Цены!$H$36,Цены!$K$36,IF(D74=Цены!$H$37,Цены!$K$37,IF(D74=Цены!$H$38,Цены!$K$38,IF(D74=Цены!$H$39,Цены!$K$39,IF(D74=Цены!$H$40,Цены!$K$40,IF(D74=Цены!$H$41,Цены!$K$41,IF(D74=Цены!$H$42,Цены!$K$42,IF(D74=Цены!$H$43,Цены!$K$43,IF(D74=Цены!$H$44,Цены!$K$44,IF(D74=Цены!$H$45,Цены!$K$45,IF(D74=Цены!$H$46,Цены!$K$46,IF(D74=Цены!$H$47,Цены!$K$47,IF(D74=Цены!$H$48,Цены!$K$48,IF(D74=Цены!$H$49,Цены!$K$49,IF(D74=Цены!$H$50,Цены!$K$50,IF(D74=Цены!$H$51,Цены!$K$51,IF(D74=Цены!$H$52,Цены!$K$52,IF(D74=Цены!$H$53,Цены!$K$53,IF(D74=Цены!$H$54,Цены!$K$54,IF(D74=Цены!$H$55,Цены!$K$55))))))))))))))))))))))))))))))))))))))))))))))))))))))</f>
        <v>54</v>
      </c>
      <c r="I74" s="265"/>
      <c r="J74" s="265"/>
      <c r="K74" s="272"/>
      <c r="L74" s="273"/>
      <c r="M74" s="273"/>
      <c r="N74" s="268"/>
      <c r="O74" s="332"/>
      <c r="P74" s="275"/>
      <c r="Q74" s="208"/>
      <c r="R74" s="37"/>
      <c r="S74" s="38" t="b">
        <f>IF(Q74=Цены!$H$3,Цены!$L$3,IF(Q74=Цены!$H$4,Цены!$L$4,IF(Q74=Цены!$H$5,Цены!$L$5,IF(Q74=Цены!$H$6,Цены!$L$6,IF(Q74=Цены!$H$7,Цены!$L$7,IF(Q74=Цены!$H$8,Цены!$L$8,IF(Q74=Цены!$H$9,Цены!$L$9,IF(Q74=Цены!$H$10,Цены!$L$10,IF(Q74=Цены!$H$11,Цены!$L$11,IF(Q74=Цены!$H$12,Цены!$L$12,IF(Q74=Цены!$H$13,Цены!$L$13,IF(Q74=Цены!$H$14,Цены!$L$14,IF(Q74=Цены!$H$14,Цены!$L$14,IF(Q74=Цены!$H$15,Цены!$L$15,IF(Q74=Цены!$H$16,Цены!$L$16,IF(Q74=Цены!$H$17,Цены!$L$17,IF(Q74=Цены!$H$18,Цены!$L$18,IF(Q74=Цены!$H$19,Цены!$L$19,IF(Q74=Цены!$H$20,Цены!$L$20,IF(Q74=Цены!$H$21,Цены!$L$21,IF(Q74=Цены!$H$22,Цены!$L$22,IF(Q74=Цены!$H$23,Цены!$L$23,IF(Q74=Цены!$H$24,Цены!$L$24,IF(Q74=Цены!$H$25,Цены!$L$25,IF(Q74=Цены!$H$26,Цены!$L$26,IF(Q74=Цены!$H$27,Цены!$L$27,IF(Q74=Цены!$H$28,Цены!$L$28,IF(Q74=Цены!$H$29,Цены!$L$29,IF(Q74=Цены!$H$30,Цены!$L$30,IF(Q74=Цены!$H$31,Цены!$L$31,IF(Q74=Цены!$H$32,Цены!$L$32,IF(Q74=Цены!$H$33,Цены!$L$33,IF(Q74=Цены!$H$34,Цены!$L$34,IF(Q74=Цены!$H$35,Цены!$L$35,IF(Q74=Цены!$H$36,Цены!$L$36,IF(Q74=Цены!$H$37,Цены!$L$37,IF(Q74=Цены!$H$38,Цены!$L$38,IF(Q74=Цены!$H$39,Цены!$L$39,IF(Q74=Цены!$H$40,Цены!$L$40,IF(Q74=Цены!$H$41,Цены!$L$41,IF(Q74=Цены!$H$42,Цены!$L$42,IF(Q74=Цены!$H$43,Цены!$L$43,IF(Q74=Цены!$H$44,Цены!$L$44,IF(Q74=Цены!$H$45,Цены!$L$45,IF(Q74=Цены!$H$46,Цены!$L$46,IF(Q74=Цены!$H$47,Цены!$L$47,IF(Q74=Цены!$H$48,Цены!$L$48,IF(Q74=Цены!$H$49,Цены!$L$49,IF(Q74=Цены!$H$50,Цены!$L$50,IF(Q74=Цены!$H$51,Цены!$L$51,IF(Q74=Цены!$H$52,Цены!$L$52,IF(Q74=Цены!$H$53,Цены!$L$53,IF(Q74=Цены!$H$54,Цены!$L$54,IF(Q74=Цены!$H$55,Цены!$L$55))))))))))))))))))))))))))))))))))))))))))))))))))))))</f>
        <v>0</v>
      </c>
      <c r="T74" s="322"/>
      <c r="U74" s="161" t="b">
        <f>IF(Q74=Цены!$H$3,Цены!$K$3,IF(Q74=Цены!$H$4,Цены!$K$4,IF(Q74=Цены!$H$5,Цены!$K$5,IF(Q74=Цены!$H$6,Цены!$K$6,IF(Q74=Цены!$H$7,Цены!$K$7,IF(Q74=Цены!$H$8,Цены!$K$8,IF(Q74=Цены!$H$9,Цены!$K$9,IF(Q74=Цены!$H$10,Цены!$K$10,IF(Q74=Цены!$H$11,Цены!$K$11,IF(Q74=Цены!$H$12,Цены!$K$12,IF(Q74=Цены!$H$13,Цены!$K$13,IF(Q74=Цены!$H$14,Цены!$K$14,IF(Q74=Цены!$H$14,Цены!$K$14,IF(Q74=Цены!$H$15,Цены!$K$15,IF(Q74=Цены!$H$16,Цены!$K$16,IF(Q74=Цены!$H$17,Цены!$K$17,IF(Q74=Цены!$H$18,Цены!$K$18,IF(Q74=Цены!$H$19,Цены!$K$19,IF(Q74=Цены!$H$20,Цены!$K$20,IF(Q74=Цены!$H$21,Цены!$K$21,IF(Q74=Цены!$H$22,Цены!$K$22,IF(Q74=Цены!$H$23,Цены!$K$23,IF(Q74=Цены!$H$24,Цены!$K$24,IF(Q74=Цены!$H$25,Цены!$K$25,IF(Q74=Цены!$H$26,Цены!$K$26,IF(Q74=Цены!$H$27,Цены!$K$27,IF(Q74=Цены!$H$28,Цены!$K$28,IF(Q74=Цены!$H$29,Цены!$K$29,IF(Q74=Цены!$H$30,Цены!$K$30,IF(Q74=Цены!$H$31,Цены!$K$31,IF(Q74=Цены!$H$32,Цены!$K$32,IF(Q74=Цены!$H$33,Цены!$K$33,IF(Q74=Цены!$H$34,Цены!$K$34,IF(Q74=Цены!$H$35,Цены!$K$35,IF(Q74=Цены!$H$36,Цены!$K$36,IF(Q74=Цены!$H$37,Цены!$K$37,IF(Q74=Цены!$H$38,Цены!$K$38,IF(Q74=Цены!$H$39,Цены!$K$39,IF(Q74=Цены!$H$40,Цены!$K$40,IF(Q74=Цены!$H$41,Цены!$K$41,IF(Q74=Цены!$H$42,Цены!$K$42,IF(Q74=Цены!$H$43,Цены!$K$43,IF(Q74=Цены!$H$44,Цены!$K$44,IF(Q74=Цены!$H$45,Цены!$K$45,IF(Q74=Цены!$H$46,Цены!$K$46,IF(Q74=Цены!$H$47,Цены!$K$47,IF(Q74=Цены!$H$48,Цены!$K$48,IF(Q74=Цены!$H$49,Цены!$K$49,IF(Q74=Цены!$H$50,Цены!$K$50,IF(Q74=Цены!$H$51,Цены!$K$51,IF(Q74=Цены!$H$52,Цены!$K$52,IF(Q74=Цены!$H$53,Цены!$K$53,IF(Q74=Цены!$H$54,Цены!$K$54,IF(Q74=Цены!$H$55,Цены!$K$55))))))))))))))))))))))))))))))))))))))))))))))))))))))</f>
        <v>0</v>
      </c>
      <c r="V74" s="265"/>
      <c r="W74" s="265"/>
      <c r="X74" s="272"/>
      <c r="Y74" s="273"/>
      <c r="Z74" s="273"/>
      <c r="AA74" s="321"/>
      <c r="AB74" s="323"/>
      <c r="AC74" s="275"/>
      <c r="AD74" s="212" t="s">
        <v>89</v>
      </c>
      <c r="AE74" s="67">
        <v>9</v>
      </c>
      <c r="AF74" s="68">
        <f>IF(AD74=Цены!$H$3,Цены!$L$3,IF(AD74=Цены!$H$4,Цены!$L$4,IF(AD74=Цены!$H$5,Цены!$L$5,IF(AD74=Цены!$H$6,Цены!$L$6,IF(AD74=Цены!$H$7,Цены!$L$7,IF(AD74=Цены!$H$8,Цены!$L$8,IF(AD74=Цены!$H$9,Цены!$L$9,IF(AD74=Цены!$H$10,Цены!$L$10,IF(AD74=Цены!$H$11,Цены!$L$11,IF(AD74=Цены!$H$12,Цены!$L$12,IF(AD74=Цены!$H$13,Цены!$L$13,IF(AD74=Цены!$H$14,Цены!$L$14,IF(AD74=Цены!$H$14,Цены!$L$14,IF(AD74=Цены!$H$15,Цены!$L$15,IF(AD74=Цены!$H$16,Цены!$L$16,IF(AD74=Цены!$H$17,Цены!$L$17,IF(AD74=Цены!$H$18,Цены!$L$18,IF(AD74=Цены!$H$19,Цены!$L$19,IF(AD74=Цены!$H$20,Цены!$L$20,IF(AD74=Цены!$H$21,Цены!$L$21,IF(AD74=Цены!$H$22,Цены!$L$22,IF(AD74=Цены!$H$23,Цены!$L$23,IF(AD74=Цены!$H$24,Цены!$L$24,IF(AD74=Цены!$H$25,Цены!$L$25,IF(AD74=Цены!$H$26,Цены!$L$26,IF(AD74=Цены!$H$27,Цены!$L$27,IF(AD74=Цены!$H$28,Цены!$L$28,IF(AD74=Цены!$H$29,Цены!$L$29,IF(AD74=Цены!$H$30,Цены!$L$30,IF(AD74=Цены!$H$31,Цены!$L$31,IF(AD74=Цены!$H$32,Цены!$L$32,IF(AD74=Цены!$H$33,Цены!$L$33,IF(AD74=Цены!$H$34,Цены!$L$34,IF(AD74=Цены!$H$35,Цены!$L$35,IF(AD74=Цены!$H$36,Цены!$L$36,IF(AD74=Цены!$H$37,Цены!$L$37,IF(AD74=Цены!$H$38,Цены!$L$38,IF(AD74=Цены!$H$39,Цены!$L$39,IF(AD74=Цены!$H$40,Цены!$L$40,IF(AD74=Цены!$H$41,Цены!$L$41,IF(AD74=Цены!$H$42,Цены!$L$42,IF(AD74=Цены!$H$43,Цены!$L$43,IF(AD74=Цены!$H$44,Цены!$L$44,IF(AD74=Цены!$H$45,Цены!$L$45,IF(AD74=Цены!$H$46,Цены!$L$46,IF(AD74=Цены!$H$47,Цены!$L$47,IF(AD74=Цены!$H$48,Цены!$L$48,IF(AD74=Цены!$H$49,Цены!$L$49,IF(AD74=Цены!$H$50,Цены!$L$50,IF(AD74=Цены!$H$51,Цены!$L$51,IF(AD74=Цены!$H$52,Цены!$L$52,IF(AD74=Цены!$H$53,Цены!$L$53,IF(AD74=Цены!$H$54,Цены!$L$54,IF(AD74=Цены!$H$55,Цены!$L$55))))))))))))))))))))))))))))))))))))))))))))))))))))))</f>
        <v>1.1499999999999999</v>
      </c>
      <c r="AG74" s="311"/>
      <c r="AH74" s="69">
        <f>IF(AD74=Цены!$H$3,Цены!$K$3,IF(AD74=Цены!$H$4,Цены!$K$4,IF(AD74=Цены!$H$5,Цены!$K$5,IF(AD74=Цены!$H$6,Цены!$K$6,IF(AD74=Цены!$H$7,Цены!$K$7,IF(AD74=Цены!$H$8,Цены!$K$8,IF(AD74=Цены!$H$9,Цены!$K$9,IF(AD74=Цены!$H$10,Цены!$K$10,IF(AD74=Цены!$H$11,Цены!$K$11,IF(AD74=Цены!$H$12,Цены!$K$12,IF(AD74=Цены!$H$13,Цены!$K$13,IF(AD74=Цены!$H$14,Цены!$K$14,IF(AD74=Цены!$H$14,Цены!$K$14,IF(AD74=Цены!$H$15,Цены!$K$15,IF(AD74=Цены!$H$16,Цены!$K$16,IF(AD74=Цены!$H$17,Цены!$K$17,IF(AD74=Цены!$H$18,Цены!$K$18,IF(AD74=Цены!$H$19,Цены!$K$19,IF(AD74=Цены!$H$20,Цены!$K$20,IF(AD74=Цены!$H$21,Цены!$K$21,IF(AD74=Цены!$H$22,Цены!$K$22,IF(AD74=Цены!$H$23,Цены!$K$23,IF(AD74=Цены!$H$24,Цены!$K$24,IF(AD74=Цены!$H$25,Цены!$K$25,IF(AD74=Цены!$H$26,Цены!$K$26,IF(AD74=Цены!$H$27,Цены!$K$27,IF(AD74=Цены!$H$28,Цены!$K$28,IF(AD74=Цены!$H$29,Цены!$K$29,IF(AD74=Цены!$H$30,Цены!$K$30,IF(AD74=Цены!$H$31,Цены!$K$31,IF(AD74=Цены!$H$32,Цены!$K$32,IF(AD74=Цены!$H$33,Цены!$K$33,IF(AD74=Цены!$H$34,Цены!$K$34,IF(AD74=Цены!$H$35,Цены!$K$35,IF(AD74=Цены!$H$36,Цены!$K$36,IF(AD74=Цены!$H$37,Цены!$K$37,IF(AD74=Цены!$H$38,Цены!$K$38,IF(AD74=Цены!$H$39,Цены!$K$39,IF(AD74=Цены!$H$40,Цены!$K$40,IF(AD74=Цены!$H$41,Цены!$K$41,IF(AD74=Цены!$H$42,Цены!$K$42,IF(AD74=Цены!$H$43,Цены!$K$43,IF(AD74=Цены!$H$44,Цены!$K$44,IF(AD74=Цены!$H$45,Цены!$K$45,IF(AD74=Цены!$H$46,Цены!$K$46,IF(AD74=Цены!$H$47,Цены!$K$47,IF(AD74=Цены!$H$48,Цены!$K$48,IF(AD74=Цены!$H$49,Цены!$K$49,IF(AD74=Цены!$H$50,Цены!$K$50,IF(AD74=Цены!$H$51,Цены!$K$51,IF(AD74=Цены!$H$52,Цены!$K$52,IF(AD74=Цены!$H$53,Цены!$K$53,IF(AD74=Цены!$H$54,Цены!$K$54,IF(AD74=Цены!$H$55,Цены!$K$55))))))))))))))))))))))))))))))))))))))))))))))))))))))</f>
        <v>400</v>
      </c>
      <c r="AI74" s="265"/>
      <c r="AJ74" s="265"/>
      <c r="AK74" s="272"/>
      <c r="AL74" s="273"/>
      <c r="AM74" s="273"/>
      <c r="AN74" s="268"/>
      <c r="AO74" s="312"/>
      <c r="AP74" s="275"/>
      <c r="AQ74" s="211" t="s">
        <v>179</v>
      </c>
      <c r="AR74" s="131"/>
      <c r="AS74" s="80">
        <f>IF(AQ74=Цены!$H$3,Цены!$L$3,IF(AQ74=Цены!$H$4,Цены!$L$4,IF(AQ74=Цены!$H$5,Цены!$L$5,IF(AQ74=Цены!$H$6,Цены!$L$6,IF(AQ74=Цены!$H$7,Цены!$L$7,IF(AQ74=Цены!$H$8,Цены!$L$8,IF(AQ74=Цены!$H$9,Цены!$L$9,IF(AQ74=Цены!$H$10,Цены!$L$10,IF(AQ74=Цены!$H$11,Цены!$L$11,IF(AQ74=Цены!$H$12,Цены!$L$12,IF(AQ74=Цены!$H$13,Цены!$L$13,IF(AQ74=Цены!$H$14,Цены!$L$14,IF(AQ74=Цены!$H$14,Цены!$L$14,IF(AQ74=Цены!$H$15,Цены!$L$15,IF(AQ74=Цены!$H$16,Цены!$L$16,IF(AQ74=Цены!$H$17,Цены!$L$17,IF(AQ74=Цены!$H$18,Цены!$L$18,IF(AQ74=Цены!$H$19,Цены!$L$19,IF(AQ74=Цены!$H$20,Цены!$L$20,IF(AQ74=Цены!$H$21,Цены!$L$21,IF(AQ74=Цены!$H$22,Цены!$L$22,IF(AQ74=Цены!$H$23,Цены!$L$23,IF(AQ74=Цены!$H$24,Цены!$L$24,IF(AQ74=Цены!$H$25,Цены!$L$25,IF(AQ74=Цены!$H$26,Цены!$L$26,IF(AQ74=Цены!$H$27,Цены!$L$27,IF(AQ74=Цены!$H$28,Цены!$L$28,IF(AQ74=Цены!$H$29,Цены!$L$29,IF(AQ74=Цены!$H$30,Цены!$L$30,IF(AQ74=Цены!$H$31,Цены!$L$31,IF(AQ74=Цены!$H$32,Цены!$L$32,IF(AQ74=Цены!$H$33,Цены!$L$33,IF(AQ74=Цены!$H$34,Цены!$L$34,IF(AQ74=Цены!$H$35,Цены!$L$35,IF(AQ74=Цены!$H$36,Цены!$L$36,IF(AQ74=Цены!$H$37,Цены!$L$37,IF(AQ74=Цены!$H$38,Цены!$L$38,IF(AQ74=Цены!$H$39,Цены!$L$39,IF(AQ74=Цены!$H$40,Цены!$L$40,IF(AQ74=Цены!$H$41,Цены!$L$41,IF(AQ74=Цены!$H$42,Цены!$L$42,IF(AQ74=Цены!$H$43,Цены!$L$43,IF(AQ74=Цены!$H$44,Цены!$L$44,IF(AQ74=Цены!$H$45,Цены!$L$45,IF(AQ74=Цены!$H$46,Цены!$L$46,IF(AQ74=Цены!$H$47,Цены!$L$47,IF(AQ74=Цены!$H$48,Цены!$L$48,IF(AQ74=Цены!$H$49,Цены!$L$49,IF(AQ74=Цены!$H$50,Цены!$L$50,IF(AQ74=Цены!$H$51,Цены!$L$51,IF(AQ74=Цены!$H$52,Цены!$L$52,IF(AQ74=Цены!$H$53,Цены!$L$53,IF(AQ74=Цены!$H$54,Цены!$L$54,IF(AQ74=Цены!$H$55,Цены!$L$55))))))))))))))))))))))))))))))))))))))))))))))))))))))</f>
        <v>0</v>
      </c>
      <c r="AT74" s="271"/>
      <c r="AU74" s="81">
        <f>IF(AQ74=Цены!$H$3,Цены!$K$3,IF(AQ74=Цены!$H$4,Цены!$K$4,IF(AQ74=Цены!$H$5,Цены!$K$5,IF(AQ74=Цены!$H$6,Цены!$K$6,IF(AQ74=Цены!$H$7,Цены!$K$7,IF(AQ74=Цены!$H$8,Цены!$K$8,IF(AQ74=Цены!$H$9,Цены!$K$9,IF(AQ74=Цены!$H$10,Цены!$K$10,IF(AQ74=Цены!$H$11,Цены!$K$11,IF(AQ74=Цены!$H$12,Цены!$K$12,IF(AQ74=Цены!$H$13,Цены!$K$13,IF(AQ74=Цены!$H$14,Цены!$K$14,IF(AQ74=Цены!$H$14,Цены!$K$14,IF(AQ74=Цены!$H$15,Цены!$K$15,IF(AQ74=Цены!$H$16,Цены!$K$16,IF(AQ74=Цены!$H$17,Цены!$K$17,IF(AQ74=Цены!$H$18,Цены!$K$18,IF(AQ74=Цены!$H$19,Цены!$K$19,IF(AQ74=Цены!$H$20,Цены!$K$20,IF(AQ74=Цены!$H$21,Цены!$K$21,IF(AQ74=Цены!$H$22,Цены!$K$22,IF(AQ74=Цены!$H$23,Цены!$K$23,IF(AQ74=Цены!$H$24,Цены!$K$24,IF(AQ74=Цены!$H$25,Цены!$K$25,IF(AQ74=Цены!$H$26,Цены!$K$26,IF(AQ74=Цены!$H$27,Цены!$K$27,IF(AQ74=Цены!$H$28,Цены!$K$28,IF(AQ74=Цены!$H$29,Цены!$K$29,IF(AQ74=Цены!$H$30,Цены!$K$30,IF(AQ74=Цены!$H$31,Цены!$K$31,IF(AQ74=Цены!$H$32,Цены!$K$32,IF(AQ74=Цены!$H$33,Цены!$K$33,IF(AQ74=Цены!$H$34,Цены!$K$34,IF(AQ74=Цены!$H$35,Цены!$K$35,IF(AQ74=Цены!$H$36,Цены!$K$36,IF(AQ74=Цены!$H$37,Цены!$K$37,IF(AQ74=Цены!$H$38,Цены!$K$38,IF(AQ74=Цены!$H$39,Цены!$K$39,IF(AQ74=Цены!$H$40,Цены!$K$40,IF(AQ74=Цены!$H$41,Цены!$K$41,IF(AQ74=Цены!$H$42,Цены!$K$42,IF(AQ74=Цены!$H$43,Цены!$K$43,IF(AQ74=Цены!$H$44,Цены!$K$44,IF(AQ74=Цены!$H$45,Цены!$K$45,IF(AQ74=Цены!$H$46,Цены!$K$46,IF(AQ74=Цены!$H$47,Цены!$K$47,IF(AQ74=Цены!$H$48,Цены!$K$48,IF(AQ74=Цены!$H$49,Цены!$K$49,IF(AQ74=Цены!$H$50,Цены!$K$50,IF(AQ74=Цены!$H$51,Цены!$K$51,IF(AQ74=Цены!$H$52,Цены!$K$52,IF(AQ74=Цены!$H$53,Цены!$K$53,IF(AQ74=Цены!$H$54,Цены!$K$54,IF(AQ74=Цены!$H$55,Цены!$K$55))))))))))))))))))))))))))))))))))))))))))))))))))))))</f>
        <v>432</v>
      </c>
      <c r="AV74" s="265"/>
      <c r="AW74" s="265"/>
      <c r="AX74" s="272"/>
      <c r="AY74" s="273"/>
      <c r="AZ74" s="273"/>
      <c r="BA74" s="268"/>
      <c r="BB74" s="274"/>
      <c r="BC74" s="275"/>
      <c r="BD74" s="263"/>
      <c r="BE74" s="211"/>
      <c r="BF74" s="106"/>
      <c r="BG74" s="103" t="b">
        <f>IF(BE74=Цены!$H$3,Цены!$L$3,IF(BE74=Цены!$H$4,Цены!$L$4,IF(BE74=Цены!$H$5,Цены!$L$5,IF(BE74=Цены!$H$6,Цены!$L$6,IF(BE74=Цены!$H$7,Цены!$L$7,IF(BE74=Цены!$H$8,Цены!$L$8,IF(BE74=Цены!$H$9,Цены!$L$9,IF(BE74=Цены!$H$10,Цены!$L$10,IF(BE74=Цены!$H$11,Цены!$L$11,IF(BE74=Цены!$H$12,Цены!$L$12,IF(BE74=Цены!$H$13,Цены!$L$13,IF(BE74=Цены!$H$14,Цены!$L$14,IF(BE74=Цены!$H$14,Цены!$L$14,IF(BE74=Цены!$H$15,Цены!$L$15,IF(BE74=Цены!$H$16,Цены!$L$16,IF(BE74=Цены!$H$17,Цены!$L$17,IF(BE74=Цены!$H$18,Цены!$L$18,IF(BE74=Цены!$H$19,Цены!$L$19,IF(BE74=Цены!$H$20,Цены!$L$20,IF(BE74=Цены!$H$21,Цены!$L$21,IF(BE74=Цены!$H$22,Цены!$L$22,IF(BE74=Цены!$H$23,Цены!$L$23,IF(BE74=Цены!$H$24,Цены!$L$24,IF(BE74=Цены!$H$25,Цены!$L$25,IF(BE74=Цены!$H$26,Цены!$L$26,IF(BE74=Цены!$H$27,Цены!$L$27,IF(BE74=Цены!$H$28,Цены!$L$28,IF(BE74=Цены!$H$29,Цены!$L$29,IF(BE74=Цены!$H$30,Цены!$L$30,IF(BE74=Цены!$H$31,Цены!$L$31,IF(BE74=Цены!$H$32,Цены!$L$32,IF(BE74=Цены!$H$33,Цены!$L$33,IF(BE74=Цены!$H$34,Цены!$L$34,IF(BE74=Цены!$H$35,Цены!$L$35,IF(BE74=Цены!$H$36,Цены!$L$36,IF(BE74=Цены!$H$37,Цены!$L$37,IF(BE74=Цены!$H$38,Цены!$L$38,IF(BE74=Цены!$H$39,Цены!$L$39,IF(BE74=Цены!$H$40,Цены!$L$40,IF(BE74=Цены!$H$41,Цены!$L$41,IF(BE74=Цены!$H$42,Цены!$L$42,IF(BE74=Цены!$H$43,Цены!$L$43,IF(BE74=Цены!$H$44,Цены!$L$44,IF(BE74=Цены!$H$45,Цены!$L$45,IF(BE74=Цены!$H$46,Цены!$L$46,IF(BE74=Цены!$H$47,Цены!$L$47,IF(BE74=Цены!$H$48,Цены!$L$48,IF(BE74=Цены!$H$49,Цены!$L$49,IF(BE74=Цены!$H$50,Цены!$L$50,IF(BE74=Цены!$H$51,Цены!$L$51,IF(BE74=Цены!$H$52,Цены!$L$52,IF(BE74=Цены!$H$53,Цены!$L$53,IF(BE74=Цены!$H$54,Цены!$L$54,IF(BE74=Цены!$H$55,Цены!$L$55))))))))))))))))))))))))))))))))))))))))))))))))))))))</f>
        <v>0</v>
      </c>
      <c r="BH74" s="280"/>
      <c r="BI74" s="104" t="b">
        <f>IF(BE74=Цены!$H$3,Цены!$K$3,IF(BE74=Цены!$H$4,Цены!$K$4,IF(BE74=Цены!$H$5,Цены!$K$5,IF(BE74=Цены!$H$6,Цены!$K$6,IF(BE74=Цены!$H$7,Цены!$K$7,IF(BE74=Цены!$H$8,Цены!$K$8,IF(BE74=Цены!$H$9,Цены!$K$9,IF(BE74=Цены!$H$10,Цены!$K$10,IF(BE74=Цены!$H$11,Цены!$K$11,IF(BE74=Цены!$H$12,Цены!$K$12,IF(BE74=Цены!$H$13,Цены!$K$13,IF(BE74=Цены!$H$14,Цены!$K$14,IF(BE74=Цены!$H$14,Цены!$K$14,IF(BE74=Цены!$H$15,Цены!$K$15,IF(BE74=Цены!$H$16,Цены!$K$16,IF(BE74=Цены!$H$17,Цены!$K$17,IF(BE74=Цены!$H$18,Цены!$K$18,IF(BE74=Цены!$H$19,Цены!$K$19,IF(BE74=Цены!$H$20,Цены!$K$20,IF(BE74=Цены!$H$21,Цены!$K$21,IF(BE74=Цены!$H$22,Цены!$K$22,IF(BE74=Цены!$H$23,Цены!$K$23,IF(BE74=Цены!$H$24,Цены!$K$24,IF(BE74=Цены!$H$25,Цены!$K$25,IF(BE74=Цены!$H$26,Цены!$K$26,IF(BE74=Цены!$H$27,Цены!$K$27,IF(BE74=Цены!$H$28,Цены!$K$28,IF(BE74=Цены!$H$29,Цены!$K$29,IF(BE74=Цены!$H$30,Цены!$K$30,IF(BE74=Цены!$H$31,Цены!$K$31,IF(BE74=Цены!$H$32,Цены!$K$32,IF(BE74=Цены!$H$33,Цены!$K$33,IF(BE74=Цены!$H$34,Цены!$K$34,IF(BE74=Цены!$H$35,Цены!$K$35,IF(BE74=Цены!$H$36,Цены!$K$36,IF(BE74=Цены!$H$37,Цены!$K$37,IF(BE74=Цены!$H$38,Цены!$K$38,IF(BE74=Цены!$H$39,Цены!$K$39,IF(BE74=Цены!$H$40,Цены!$K$40,IF(BE74=Цены!$H$41,Цены!$K$41,IF(BE74=Цены!$H$42,Цены!$K$42,IF(BE74=Цены!$H$43,Цены!$K$43,IF(BE74=Цены!$H$44,Цены!$K$44,IF(BE74=Цены!$H$45,Цены!$K$45,IF(BE74=Цены!$H$46,Цены!$K$46,IF(BE74=Цены!$H$47,Цены!$K$47,IF(BE74=Цены!$H$48,Цены!$K$48,IF(BE74=Цены!$H$49,Цены!$K$49,IF(BE74=Цены!$H$50,Цены!$K$50,IF(BE74=Цены!$H$51,Цены!$K$51,IF(BE74=Цены!$H$52,Цены!$K$52,IF(BE74=Цены!$H$53,Цены!$K$53,IF(BE74=Цены!$H$54,Цены!$K$54,IF(BE74=Цены!$H$55,Цены!$K$55))))))))))))))))))))))))))))))))))))))))))))))))))))))</f>
        <v>0</v>
      </c>
      <c r="BJ74" s="265"/>
      <c r="BK74" s="265"/>
      <c r="BL74" s="272"/>
      <c r="BM74" s="273"/>
      <c r="BN74" s="273"/>
      <c r="BO74" s="268"/>
      <c r="BP74" s="281"/>
      <c r="BQ74" s="275"/>
      <c r="BR74" s="211"/>
      <c r="BS74" s="108"/>
      <c r="BT74" s="109" t="b">
        <f>IF(BR74=Цены!$H$3,Цены!$L$3,IF(BR74=Цены!$H$4,Цены!$L$4,IF(BR74=Цены!$H$5,Цены!$L$5,IF(BR74=Цены!$H$6,Цены!$L$6,IF(BR74=Цены!$H$7,Цены!$L$7,IF(BR74=Цены!$H$8,Цены!$L$8,IF(BR74=Цены!$H$9,Цены!$L$9,IF(BR74=Цены!$H$10,Цены!$L$10,IF(BR74=Цены!$H$11,Цены!$L$11,IF(BR74=Цены!$H$12,Цены!$L$12,IF(BR74=Цены!$H$13,Цены!$L$13,IF(BR74=Цены!$H$14,Цены!$L$14,IF(BR74=Цены!$H$14,Цены!$L$14,IF(BR74=Цены!$H$15,Цены!$L$15,IF(BR74=Цены!$H$16,Цены!$L$16,IF(BR74=Цены!$H$17,Цены!$L$17,IF(BR74=Цены!$H$18,Цены!$L$18,IF(BR74=Цены!$H$19,Цены!$L$19,IF(BR74=Цены!$H$20,Цены!$L$20,IF(BR74=Цены!$H$21,Цены!$L$21,IF(BR74=Цены!$H$22,Цены!$L$22,IF(BR74=Цены!$H$23,Цены!$L$23,IF(BR74=Цены!$H$24,Цены!$L$24,IF(BR74=Цены!$H$25,Цены!$L$25,IF(BR74=Цены!$H$26,Цены!$L$26,IF(BR74=Цены!$H$27,Цены!$L$27,IF(BR74=Цены!$H$28,Цены!$L$28,IF(BR74=Цены!$H$29,Цены!$L$29,IF(BR74=Цены!$H$30,Цены!$L$30,IF(BR74=Цены!$H$31,Цены!$L$31,IF(BR74=Цены!$H$32,Цены!$L$32,IF(BR74=Цены!$H$33,Цены!$L$33,IF(BR74=Цены!$H$34,Цены!$L$34,IF(BR74=Цены!$H$35,Цены!$L$35,IF(BR74=Цены!$H$36,Цены!$L$36,IF(BR74=Цены!$H$37,Цены!$L$37,IF(BR74=Цены!$H$38,Цены!$L$38,IF(BR74=Цены!$H$39,Цены!$L$39,IF(BR74=Цены!$H$40,Цены!$L$40,IF(BR74=Цены!$H$41,Цены!$L$41,IF(BR74=Цены!$H$42,Цены!$L$42,IF(BR74=Цены!$H$43,Цены!$L$43,IF(BR74=Цены!$H$44,Цены!$L$44,IF(BR74=Цены!$H$45,Цены!$L$45,IF(BR74=Цены!$H$46,Цены!$L$46,IF(BR74=Цены!$H$47,Цены!$L$47,IF(BR74=Цены!$H$48,Цены!$L$48,IF(BR74=Цены!$H$49,Цены!$L$49,IF(BR74=Цены!$H$50,Цены!$L$50,IF(BR74=Цены!$H$51,Цены!$L$51,IF(BR74=Цены!$H$52,Цены!$L$52,IF(BR74=Цены!$H$53,Цены!$L$53,IF(BR74=Цены!$H$54,Цены!$L$54,IF(BR74=Цены!$H$55,Цены!$L$55))))))))))))))))))))))))))))))))))))))))))))))))))))))</f>
        <v>0</v>
      </c>
      <c r="BU74" s="284"/>
      <c r="BV74" s="110" t="b">
        <f>IF(BR74=Цены!$H$3,Цены!$K$3,IF(BR74=Цены!$H$4,Цены!$K$4,IF(BR74=Цены!$H$5,Цены!$K$5,IF(BR74=Цены!$H$6,Цены!$K$6,IF(BR74=Цены!$H$7,Цены!$K$7,IF(BR74=Цены!$H$8,Цены!$K$8,IF(BR74=Цены!$H$9,Цены!$K$9,IF(BR74=Цены!$H$10,Цены!$K$10,IF(BR74=Цены!$H$11,Цены!$K$11,IF(BR74=Цены!$H$12,Цены!$K$12,IF(BR74=Цены!$H$13,Цены!$K$13,IF(BR74=Цены!$H$14,Цены!$K$14,IF(BR74=Цены!$H$14,Цены!$K$14,IF(BR74=Цены!$H$15,Цены!$K$15,IF(BR74=Цены!$H$16,Цены!$K$16,IF(BR74=Цены!$H$17,Цены!$K$17,IF(BR74=Цены!$H$18,Цены!$K$18,IF(BR74=Цены!$H$19,Цены!$K$19,IF(BR74=Цены!$H$20,Цены!$K$20,IF(BR74=Цены!$H$21,Цены!$K$21,IF(BR74=Цены!$H$22,Цены!$K$22,IF(BR74=Цены!$H$23,Цены!$K$23,IF(BR74=Цены!$H$24,Цены!$K$24,IF(BR74=Цены!$H$25,Цены!$K$25,IF(BR74=Цены!$H$26,Цены!$K$26,IF(BR74=Цены!$H$27,Цены!$K$27,IF(BR74=Цены!$H$28,Цены!$K$28,IF(BR74=Цены!$H$29,Цены!$K$29,IF(BR74=Цены!$H$30,Цены!$K$30,IF(BR74=Цены!$H$31,Цены!$K$31,IF(BR74=Цены!$H$32,Цены!$K$32,IF(BR74=Цены!$H$33,Цены!$K$33,IF(BR74=Цены!$H$34,Цены!$K$34,IF(BR74=Цены!$H$35,Цены!$K$35,IF(BR74=Цены!$H$36,Цены!$K$36,IF(BR74=Цены!$H$37,Цены!$K$37,IF(BR74=Цены!$H$38,Цены!$K$38,IF(BR74=Цены!$H$39,Цены!$K$39,IF(BR74=Цены!$H$40,Цены!$K$40,IF(BR74=Цены!$H$41,Цены!$K$41,IF(BR74=Цены!$H$42,Цены!$K$42,IF(BR74=Цены!$H$43,Цены!$K$43,IF(BR74=Цены!$H$44,Цены!$K$44,IF(BR74=Цены!$H$45,Цены!$K$45,IF(BR74=Цены!$H$46,Цены!$K$46,IF(BR74=Цены!$H$47,Цены!$K$47,IF(BR74=Цены!$H$48,Цены!$K$48,IF(BR74=Цены!$H$49,Цены!$K$49,IF(BR74=Цены!$H$50,Цены!$K$50,IF(BR74=Цены!$H$51,Цены!$K$51,IF(BR74=Цены!$H$52,Цены!$K$52,IF(BR74=Цены!$H$53,Цены!$K$53,IF(BR74=Цены!$H$54,Цены!$K$54,IF(BR74=Цены!$H$55,Цены!$K$55))))))))))))))))))))))))))))))))))))))))))))))))))))))</f>
        <v>0</v>
      </c>
      <c r="BW74" s="265"/>
      <c r="BX74" s="265"/>
      <c r="BY74" s="272"/>
      <c r="BZ74" s="273"/>
      <c r="CA74" s="273"/>
      <c r="CB74" s="268"/>
      <c r="CC74" s="285"/>
      <c r="CD74" s="275"/>
      <c r="CE74" s="183" t="s">
        <v>121</v>
      </c>
      <c r="CF74" s="112">
        <v>2</v>
      </c>
      <c r="CG74" s="113">
        <f>IF(CE74=Цены!$H$3,Цены!$L$3,IF(CE74=Цены!$H$4,Цены!$L$4,IF(CE74=Цены!$H$5,Цены!$L$5,IF(CE74=Цены!$H$6,Цены!$L$6,IF(CE74=Цены!$H$7,Цены!$L$7,IF(CE74=Цены!$H$8,Цены!$L$8,IF(CE74=Цены!$H$9,Цены!$L$9,IF(CE74=Цены!$H$10,Цены!$L$10,IF(CE74=Цены!$H$11,Цены!$L$11,IF(CE74=Цены!$H$12,Цены!$L$12,IF(CE74=Цены!$H$13,Цены!$L$13,IF(CE74=Цены!$H$14,Цены!$L$14,IF(CE74=Цены!$H$14,Цены!$L$14,IF(CE74=Цены!$H$15,Цены!$L$15,IF(CE74=Цены!$H$16,Цены!$L$16,IF(CE74=Цены!$H$17,Цены!$L$17,IF(CE74=Цены!$H$18,Цены!$L$18,IF(CE74=Цены!$H$19,Цены!$L$19,IF(CE74=Цены!$H$20,Цены!$L$20,IF(CE74=Цены!$H$21,Цены!$L$21,IF(CE74=Цены!$H$22,Цены!$L$22,IF(CE74=Цены!$H$23,Цены!$L$23,IF(CE74=Цены!$H$24,Цены!$L$24,IF(CE74=Цены!$H$25,Цены!$L$25,IF(CE74=Цены!$H$26,Цены!$L$26,IF(CE74=Цены!$H$27,Цены!$L$27,IF(CE74=Цены!$H$28,Цены!$L$28,IF(CE74=Цены!$H$29,Цены!$L$29,IF(CE74=Цены!$H$30,Цены!$L$30,IF(CE74=Цены!$H$31,Цены!$L$31,IF(CE74=Цены!$H$32,Цены!$L$32,IF(CE74=Цены!$H$33,Цены!$L$33,IF(CE74=Цены!$H$34,Цены!$L$34,IF(CE74=Цены!$H$35,Цены!$L$35,IF(CE74=Цены!$H$36,Цены!$L$36,IF(CE74=Цены!$H$37,Цены!$L$37,IF(CE74=Цены!$H$38,Цены!$L$38,IF(CE74=Цены!$H$39,Цены!$L$39,IF(CE74=Цены!$H$40,Цены!$L$40,IF(CE74=Цены!$H$41,Цены!$L$41,IF(CE74=Цены!$H$42,Цены!$L$42,IF(CE74=Цены!$H$43,Цены!$L$43,IF(CE74=Цены!$H$44,Цены!$L$44,IF(CE74=Цены!$H$45,Цены!$L$45,IF(CE74=Цены!$H$46,Цены!$L$46,IF(CE74=Цены!$H$47,Цены!$L$47,IF(CE74=Цены!$H$48,Цены!$L$48,IF(CE74=Цены!$H$49,Цены!$L$49,IF(CE74=Цены!$H$50,Цены!$L$50,IF(CE74=Цены!$H$51,Цены!$L$51,IF(CE74=Цены!$H$52,Цены!$L$52,IF(CE74=Цены!$H$53,Цены!$L$53,IF(CE74=Цены!$H$54,Цены!$L$54,IF(CE74=Цены!$H$55,Цены!$L$55))))))))))))))))))))))))))))))))))))))))))))))))))))))</f>
        <v>1.32E-2</v>
      </c>
      <c r="CH74" s="282"/>
      <c r="CI74" s="114">
        <f>IF(CE74=Цены!$H$3,Цены!$K$3,IF(CE74=Цены!$H$4,Цены!$K$4,IF(CE74=Цены!$H$5,Цены!$K$5,IF(CE74=Цены!$H$6,Цены!$K$6,IF(CE74=Цены!$H$7,Цены!$K$7,IF(CE74=Цены!$H$8,Цены!$K$8,IF(CE74=Цены!$H$9,Цены!$K$9,IF(CE74=Цены!$H$10,Цены!$K$10,IF(CE74=Цены!$H$11,Цены!$K$11,IF(CE74=Цены!$H$12,Цены!$K$12,IF(CE74=Цены!$H$13,Цены!$K$13,IF(CE74=Цены!$H$14,Цены!$K$14,IF(CE74=Цены!$H$14,Цены!$K$14,IF(CE74=Цены!$H$15,Цены!$K$15,IF(CE74=Цены!$H$16,Цены!$K$16,IF(CE74=Цены!$H$17,Цены!$K$17,IF(CE74=Цены!$H$18,Цены!$K$18,IF(CE74=Цены!$H$19,Цены!$K$19,IF(CE74=Цены!$H$20,Цены!$K$20,IF(CE74=Цены!$H$21,Цены!$K$21,IF(CE74=Цены!$H$22,Цены!$K$22,IF(CE74=Цены!$H$23,Цены!$K$23,IF(CE74=Цены!$H$24,Цены!$K$24,IF(CE74=Цены!$H$25,Цены!$K$25,IF(CE74=Цены!$H$26,Цены!$K$26,IF(CE74=Цены!$H$27,Цены!$K$27,IF(CE74=Цены!$H$28,Цены!$K$28,IF(CE74=Цены!$H$29,Цены!$K$29,IF(CE74=Цены!$H$30,Цены!$K$30,IF(CE74=Цены!$H$31,Цены!$K$31,IF(CE74=Цены!$H$32,Цены!$K$32,IF(CE74=Цены!$H$33,Цены!$K$33,IF(CE74=Цены!$H$34,Цены!$K$34,IF(CE74=Цены!$H$35,Цены!$K$35,IF(CE74=Цены!$H$36,Цены!$K$36,IF(CE74=Цены!$H$37,Цены!$K$37,IF(CE74=Цены!$H$38,Цены!$K$38,IF(CE74=Цены!$H$39,Цены!$K$39,IF(CE74=Цены!$H$40,Цены!$K$40,IF(CE74=Цены!$H$41,Цены!$K$41,IF(CE74=Цены!$H$42,Цены!$K$42,IF(CE74=Цены!$H$43,Цены!$K$43,IF(CE74=Цены!$H$44,Цены!$K$44,IF(CE74=Цены!$H$45,Цены!$K$45,IF(CE74=Цены!$H$46,Цены!$K$46,IF(CE74=Цены!$H$47,Цены!$K$47,IF(CE74=Цены!$H$48,Цены!$K$48,IF(CE74=Цены!$H$49,Цены!$K$49,IF(CE74=Цены!$H$50,Цены!$K$50,IF(CE74=Цены!$H$51,Цены!$K$51,IF(CE74=Цены!$H$52,Цены!$K$52,IF(CE74=Цены!$H$53,Цены!$K$53,IF(CE74=Цены!$H$54,Цены!$K$54,IF(CE74=Цены!$H$55,Цены!$K$55))))))))))))))))))))))))))))))))))))))))))))))))))))))</f>
        <v>54</v>
      </c>
      <c r="CJ74" s="265"/>
      <c r="CK74" s="265"/>
      <c r="CL74" s="272"/>
      <c r="CM74" s="273"/>
      <c r="CN74" s="273"/>
      <c r="CO74" s="268"/>
      <c r="CP74" s="283"/>
      <c r="CQ74" s="275"/>
    </row>
    <row r="75" spans="1:95" x14ac:dyDescent="0.25">
      <c r="A75" s="352" t="s">
        <v>173</v>
      </c>
      <c r="B75" s="265" t="s">
        <v>112</v>
      </c>
      <c r="C75" s="265" t="s">
        <v>113</v>
      </c>
      <c r="D75" s="175" t="s">
        <v>166</v>
      </c>
      <c r="E75" s="167">
        <v>9</v>
      </c>
      <c r="F75" s="27">
        <f>IF(D75=Цены!$H$3,Цены!$L$3,IF(D75=Цены!$H$4,Цены!$L$4,IF(D75=Цены!$H$5,Цены!$L$5,IF(D75=Цены!$H$6,Цены!$L$6,IF(D75=Цены!$H$7,Цены!$L$7,IF(D75=Цены!$H$8,Цены!$L$8,IF(D75=Цены!$H$9,Цены!$L$9,IF(D75=Цены!$H$10,Цены!$L$10,IF(D75=Цены!$H$11,Цены!$L$11,IF(D75=Цены!$H$12,Цены!$L$12,IF(D75=Цены!$H$13,Цены!$L$13,IF(D75=Цены!$H$14,Цены!$L$14,IF(D75=Цены!$H$14,Цены!$L$14,IF(D75=Цены!$H$15,Цены!$L$15,IF(D75=Цены!$H$16,Цены!$L$16,IF(D75=Цены!$H$17,Цены!$L$17,IF(D75=Цены!$H$18,Цены!$L$18,IF(D75=Цены!$H$19,Цены!$L$19,IF(D75=Цены!$H$20,Цены!$L$20,IF(D75=Цены!$H$21,Цены!$L$21,IF(D75=Цены!$H$22,Цены!$L$22,IF(D75=Цены!$H$23,Цены!$L$23,IF(D75=Цены!$H$24,Цены!$L$24,IF(D75=Цены!$H$25,Цены!$L$25,IF(D75=Цены!$H$26,Цены!$L$26,IF(D75=Цены!$H$27,Цены!$L$27,IF(D75=Цены!$H$28,Цены!$L$28,IF(D75=Цены!$H$29,Цены!$L$29,IF(D75=Цены!$H$30,Цены!$L$30,IF(D75=Цены!$H$31,Цены!$L$31,IF(D75=Цены!$H$32,Цены!$L$32,IF(D75=Цены!$H$33,Цены!$L$33,IF(D75=Цены!$H$34,Цены!$L$34,IF(D75=Цены!$H$35,Цены!$L$35,IF(D75=Цены!$H$36,Цены!$L$36,IF(D75=Цены!$H$37,Цены!$L$37,IF(D75=Цены!$H$38,Цены!$L$38,IF(D75=Цены!$H$39,Цены!$L$39,IF(D75=Цены!$H$40,Цены!$L$40,IF(D75=Цены!$H$41,Цены!$L$41,IF(D75=Цены!$H$42,Цены!$L$42,IF(D75=Цены!$H$43,Цены!$L$43,IF(D75=Цены!$H$44,Цены!$L$44,IF(D75=Цены!$H$45,Цены!$L$45,IF(D75=Цены!$H$46,Цены!$L$46,IF(D75=Цены!$H$47,Цены!$L$47,IF(D75=Цены!$H$48,Цены!$L$48,IF(D75=Цены!$H$49,Цены!$L$49,IF(D75=Цены!$H$50,Цены!$L$50,IF(D75=Цены!$H$51,Цены!$L$51,IF(D75=Цены!$H$52,Цены!$L$52,IF(D75=Цены!$H$53,Цены!$L$53,IF(D75=Цены!$H$54,Цены!$L$54,IF(D75=Цены!$H$55,Цены!$L$55))))))))))))))))))))))))))))))))))))))))))))))))))))))</f>
        <v>1.23</v>
      </c>
      <c r="G75" s="309">
        <f>E75*F75+E76*F76+E77*F77+E78*F78</f>
        <v>13.036400000000002</v>
      </c>
      <c r="H75" s="28">
        <f>IF(D75=Цены!$H$3,Цены!$K$3,IF(D75=Цены!$H$4,Цены!$K$4,IF(D75=Цены!$H$5,Цены!$K$5,IF(D75=Цены!$H$6,Цены!$K$6,IF(D75=Цены!$H$7,Цены!$K$7,IF(D75=Цены!$H$8,Цены!$K$8,IF(D75=Цены!$H$9,Цены!$K$9,IF(D75=Цены!$H$10,Цены!$K$10,IF(D75=Цены!$H$11,Цены!$K$11,IF(D75=Цены!$H$12,Цены!$K$12,IF(D75=Цены!$H$13,Цены!$K$13,IF(D75=Цены!$H$14,Цены!$K$14,IF(D75=Цены!$H$14,Цены!$K$14,IF(D75=Цены!$H$15,Цены!$K$15,IF(D75=Цены!$H$16,Цены!$K$16,IF(D75=Цены!$H$17,Цены!$K$17,IF(D75=Цены!$H$18,Цены!$K$18,IF(D75=Цены!$H$19,Цены!$K$19,IF(D75=Цены!$H$20,Цены!$K$20,IF(D75=Цены!$H$21,Цены!$K$21,IF(D75=Цены!$H$22,Цены!$K$22,IF(D75=Цены!$H$23,Цены!$K$23,IF(D75=Цены!$H$24,Цены!$K$24,IF(D75=Цены!$H$25,Цены!$K$25,IF(D75=Цены!$H$26,Цены!$K$26,IF(D75=Цены!$H$27,Цены!$K$27,IF(D75=Цены!$H$28,Цены!$K$28,IF(D75=Цены!$H$29,Цены!$K$29,IF(D75=Цены!$H$30,Цены!$K$30,IF(D75=Цены!$H$31,Цены!$K$31,IF(D75=Цены!$H$32,Цены!$K$32,IF(D75=Цены!$H$33,Цены!$K$33,IF(D75=Цены!$H$34,Цены!$K$34,IF(D75=Цены!$H$35,Цены!$K$35,IF(D75=Цены!$H$36,Цены!$K$36,IF(D75=Цены!$H$37,Цены!$K$37,IF(D75=Цены!$H$38,Цены!$K$38,IF(D75=Цены!$H$39,Цены!$K$39,IF(D75=Цены!$H$40,Цены!$K$40,IF(D75=Цены!$H$41,Цены!$K$41,IF(D75=Цены!$H$42,Цены!$K$42,IF(D75=Цены!$H$43,Цены!$K$43,IF(D75=Цены!$H$44,Цены!$K$44,IF(D75=Цены!$H$45,Цены!$K$45,IF(D75=Цены!$H$46,Цены!$K$46,IF(D75=Цены!$H$47,Цены!$K$47,IF(D75=Цены!$H$48,Цены!$K$48,IF(D75=Цены!$H$49,Цены!$K$49,IF(D75=Цены!$H$50,Цены!$K$50,IF(D75=Цены!$H$51,Цены!$K$51,IF(D75=Цены!$H$52,Цены!$K$52,IF(D75=Цены!$H$53,Цены!$K$53,IF(D75=Цены!$H$54,Цены!$K$54,IF(D75=Цены!$H$55,Цены!$K$55))))))))))))))))))))))))))))))))))))))))))))))))))))))</f>
        <v>255</v>
      </c>
      <c r="I75" s="265">
        <v>4</v>
      </c>
      <c r="J75" s="265">
        <v>800</v>
      </c>
      <c r="K75" s="266">
        <f t="shared" ref="K75" si="144">E75*H75+E76*H76+E77*H77+E78*H78</f>
        <v>5795</v>
      </c>
      <c r="L75" s="267">
        <v>8000</v>
      </c>
      <c r="M75" s="266">
        <f t="shared" ref="M75" si="145">K75+L75</f>
        <v>13795</v>
      </c>
      <c r="N75" s="268">
        <v>8000</v>
      </c>
      <c r="O75" s="310">
        <f>N75/M75*100</f>
        <v>57.992026096411742</v>
      </c>
      <c r="P75" s="270">
        <f>MROUND(M75+N75,500)</f>
        <v>22000</v>
      </c>
      <c r="Q75" s="172" t="s">
        <v>165</v>
      </c>
      <c r="R75" s="30">
        <v>10</v>
      </c>
      <c r="S75" s="27">
        <f>IF(Q75=Цены!$H$3,Цены!$L$3,IF(Q75=Цены!$H$4,Цены!$L$4,IF(Q75=Цены!$H$5,Цены!$L$5,IF(Q75=Цены!$H$6,Цены!$L$6,IF(Q75=Цены!$H$7,Цены!$L$7,IF(Q75=Цены!$H$8,Цены!$L$8,IF(Q75=Цены!$H$9,Цены!$L$9,IF(Q75=Цены!$H$10,Цены!$L$10,IF(Q75=Цены!$H$11,Цены!$L$11,IF(Q75=Цены!$H$12,Цены!$L$12,IF(Q75=Цены!$H$13,Цены!$L$13,IF(Q75=Цены!$H$14,Цены!$L$14,IF(Q75=Цены!$H$14,Цены!$L$14,IF(Q75=Цены!$H$15,Цены!$L$15,IF(Q75=Цены!$H$16,Цены!$L$16,IF(Q75=Цены!$H$17,Цены!$L$17,IF(Q75=Цены!$H$18,Цены!$L$18,IF(Q75=Цены!$H$19,Цены!$L$19,IF(Q75=Цены!$H$20,Цены!$L$20,IF(Q75=Цены!$H$21,Цены!$L$21,IF(Q75=Цены!$H$22,Цены!$L$22,IF(Q75=Цены!$H$23,Цены!$L$23,IF(Q75=Цены!$H$24,Цены!$L$24,IF(Q75=Цены!$H$25,Цены!$L$25,IF(Q75=Цены!$H$26,Цены!$L$26,IF(Q75=Цены!$H$27,Цены!$L$27,IF(Q75=Цены!$H$28,Цены!$L$28,IF(Q75=Цены!$H$29,Цены!$L$29,IF(Q75=Цены!$H$30,Цены!$L$30,IF(Q75=Цены!$H$31,Цены!$L$31,IF(Q75=Цены!$H$32,Цены!$L$32,IF(Q75=Цены!$H$33,Цены!$L$33,IF(Q75=Цены!$H$34,Цены!$L$34,IF(Q75=Цены!$H$35,Цены!$L$35,IF(Q75=Цены!$H$36,Цены!$L$36,IF(Q75=Цены!$H$37,Цены!$L$37,IF(Q75=Цены!$H$38,Цены!$L$38,IF(Q75=Цены!$H$39,Цены!$L$39,IF(Q75=Цены!$H$40,Цены!$L$40,IF(Q75=Цены!$H$41,Цены!$L$41,IF(Q75=Цены!$H$42,Цены!$L$42,IF(Q75=Цены!$H$43,Цены!$L$43,IF(Q75=Цены!$H$44,Цены!$L$44,IF(Q75=Цены!$H$45,Цены!$L$45,IF(Q75=Цены!$H$46,Цены!$L$46,IF(Q75=Цены!$H$47,Цены!$L$47,IF(Q75=Цены!$H$48,Цены!$L$48,IF(Q75=Цены!$H$49,Цены!$L$49,IF(Q75=Цены!$H$50,Цены!$L$50,IF(Q75=Цены!$H$51,Цены!$L$51,IF(Q75=Цены!$H$52,Цены!$L$52,IF(Q75=Цены!$H$53,Цены!$L$53,IF(Q75=Цены!$H$54,Цены!$L$54,IF(Q75=Цены!$H$55,Цены!$L$55))))))))))))))))))))))))))))))))))))))))))))))))))))))</f>
        <v>1.85</v>
      </c>
      <c r="T75" s="309">
        <f>R75*S75+R76*S76+R77*S77+R78*S78</f>
        <v>21.7</v>
      </c>
      <c r="U75" s="162">
        <f>IF(Q75=Цены!$H$3,Цены!$K$3,IF(Q75=Цены!$H$4,Цены!$K$4,IF(Q75=Цены!$H$5,Цены!$K$5,IF(Q75=Цены!$H$6,Цены!$K$6,IF(Q75=Цены!$H$7,Цены!$K$7,IF(Q75=Цены!$H$8,Цены!$K$8,IF(Q75=Цены!$H$9,Цены!$K$9,IF(Q75=Цены!$H$10,Цены!$K$10,IF(Q75=Цены!$H$11,Цены!$K$11,IF(Q75=Цены!$H$12,Цены!$K$12,IF(Q75=Цены!$H$13,Цены!$K$13,IF(Q75=Цены!$H$14,Цены!$K$14,IF(Q75=Цены!$H$14,Цены!$K$14,IF(Q75=Цены!$H$15,Цены!$K$15,IF(Q75=Цены!$H$16,Цены!$K$16,IF(Q75=Цены!$H$17,Цены!$K$17,IF(Q75=Цены!$H$18,Цены!$K$18,IF(Q75=Цены!$H$19,Цены!$K$19,IF(Q75=Цены!$H$20,Цены!$K$20,IF(Q75=Цены!$H$21,Цены!$K$21,IF(Q75=Цены!$H$22,Цены!$K$22,IF(Q75=Цены!$H$23,Цены!$K$23,IF(Q75=Цены!$H$24,Цены!$K$24,IF(Q75=Цены!$H$25,Цены!$K$25,IF(Q75=Цены!$H$26,Цены!$K$26,IF(Q75=Цены!$H$27,Цены!$K$27,IF(Q75=Цены!$H$28,Цены!$K$28,IF(Q75=Цены!$H$29,Цены!$K$29,IF(Q75=Цены!$H$30,Цены!$K$30,IF(Q75=Цены!$H$31,Цены!$K$31,IF(Q75=Цены!$H$32,Цены!$K$32,IF(Q75=Цены!$H$33,Цены!$K$33,IF(Q75=Цены!$H$34,Цены!$K$34,IF(Q75=Цены!$H$35,Цены!$K$35,IF(Q75=Цены!$H$36,Цены!$K$36,IF(Q75=Цены!$H$37,Цены!$K$37,IF(Q75=Цены!$H$38,Цены!$K$38,IF(Q75=Цены!$H$39,Цены!$K$39,IF(Q75=Цены!$H$40,Цены!$K$40,IF(Q75=Цены!$H$41,Цены!$K$41,IF(Q75=Цены!$H$42,Цены!$K$42,IF(Q75=Цены!$H$43,Цены!$K$43,IF(Q75=Цены!$H$44,Цены!$K$44,IF(Q75=Цены!$H$45,Цены!$K$45,IF(Q75=Цены!$H$46,Цены!$K$46,IF(Q75=Цены!$H$47,Цены!$K$47,IF(Q75=Цены!$H$48,Цены!$K$48,IF(Q75=Цены!$H$49,Цены!$K$49,IF(Q75=Цены!$H$50,Цены!$K$50,IF(Q75=Цены!$H$51,Цены!$K$51,IF(Q75=Цены!$H$52,Цены!$K$52,IF(Q75=Цены!$H$53,Цены!$K$53,IF(Q75=Цены!$H$54,Цены!$K$54,IF(Q75=Цены!$H$55,Цены!$K$55))))))))))))))))))))))))))))))))))))))))))))))))))))))</f>
        <v>318</v>
      </c>
      <c r="V75" s="265">
        <v>4</v>
      </c>
      <c r="W75" s="265">
        <v>800</v>
      </c>
      <c r="X75" s="266">
        <f>R75*U75+R76*U76+R77*U77+R78*U78</f>
        <v>4740</v>
      </c>
      <c r="Y75" s="267">
        <v>5000</v>
      </c>
      <c r="Z75" s="266">
        <f>X75+Y75</f>
        <v>9740</v>
      </c>
      <c r="AA75" s="319">
        <v>5000</v>
      </c>
      <c r="AB75" s="310">
        <f>AA75/Z75*100</f>
        <v>51.334702258726892</v>
      </c>
      <c r="AC75" s="270">
        <f>MROUND(Z75+AA75,500)</f>
        <v>14500</v>
      </c>
      <c r="AD75" s="172" t="s">
        <v>165</v>
      </c>
      <c r="AE75" s="30">
        <v>10</v>
      </c>
      <c r="AF75" s="27">
        <f>IF(AD75=Цены!$H$3,Цены!$L$3,IF(AD75=Цены!$H$4,Цены!$L$4,IF(AD75=Цены!$H$5,Цены!$L$5,IF(AD75=Цены!$H$6,Цены!$L$6,IF(AD75=Цены!$H$7,Цены!$L$7,IF(AD75=Цены!$H$8,Цены!$L$8,IF(AD75=Цены!$H$9,Цены!$L$9,IF(AD75=Цены!$H$10,Цены!$L$10,IF(AD75=Цены!$H$11,Цены!$L$11,IF(AD75=Цены!$H$12,Цены!$L$12,IF(AD75=Цены!$H$13,Цены!$L$13,IF(AD75=Цены!$H$14,Цены!$L$14,IF(AD75=Цены!$H$14,Цены!$L$14,IF(AD75=Цены!$H$15,Цены!$L$15,IF(AD75=Цены!$H$16,Цены!$L$16,IF(AD75=Цены!$H$17,Цены!$L$17,IF(AD75=Цены!$H$18,Цены!$L$18,IF(AD75=Цены!$H$19,Цены!$L$19,IF(AD75=Цены!$H$20,Цены!$L$20,IF(AD75=Цены!$H$21,Цены!$L$21,IF(AD75=Цены!$H$22,Цены!$L$22,IF(AD75=Цены!$H$23,Цены!$L$23,IF(AD75=Цены!$H$24,Цены!$L$24,IF(AD75=Цены!$H$25,Цены!$L$25,IF(AD75=Цены!$H$26,Цены!$L$26,IF(AD75=Цены!$H$27,Цены!$L$27,IF(AD75=Цены!$H$28,Цены!$L$28,IF(AD75=Цены!$H$29,Цены!$L$29,IF(AD75=Цены!$H$30,Цены!$L$30,IF(AD75=Цены!$H$31,Цены!$L$31,IF(AD75=Цены!$H$32,Цены!$L$32,IF(AD75=Цены!$H$33,Цены!$L$33,IF(AD75=Цены!$H$34,Цены!$L$34,IF(AD75=Цены!$H$35,Цены!$L$35,IF(AD75=Цены!$H$36,Цены!$L$36,IF(AD75=Цены!$H$37,Цены!$L$37,IF(AD75=Цены!$H$38,Цены!$L$38,IF(AD75=Цены!$H$39,Цены!$L$39,IF(AD75=Цены!$H$40,Цены!$L$40,IF(AD75=Цены!$H$41,Цены!$L$41,IF(AD75=Цены!$H$42,Цены!$L$42,IF(AD75=Цены!$H$43,Цены!$L$43,IF(AD75=Цены!$H$44,Цены!$L$44,IF(AD75=Цены!$H$45,Цены!$L$45,IF(AD75=Цены!$H$46,Цены!$L$46,IF(AD75=Цены!$H$47,Цены!$L$47,IF(AD75=Цены!$H$48,Цены!$L$48,IF(AD75=Цены!$H$49,Цены!$L$49,IF(AD75=Цены!$H$50,Цены!$L$50,IF(AD75=Цены!$H$51,Цены!$L$51,IF(AD75=Цены!$H$52,Цены!$L$52,IF(AD75=Цены!$H$53,Цены!$L$53,IF(AD75=Цены!$H$54,Цены!$L$54,IF(AD75=Цены!$H$55,Цены!$L$55))))))))))))))))))))))))))))))))))))))))))))))))))))))</f>
        <v>1.85</v>
      </c>
      <c r="AG75" s="309">
        <f>AE75*AF75+AE76*AF76+AE77*AF77+AE78*AF78</f>
        <v>38.24</v>
      </c>
      <c r="AH75" s="28">
        <f>IF(AD75=Цены!$H$3,Цены!$K$3,IF(AD75=Цены!$H$4,Цены!$K$4,IF(AD75=Цены!$H$5,Цены!$K$5,IF(AD75=Цены!$H$6,Цены!$K$6,IF(AD75=Цены!$H$7,Цены!$K$7,IF(AD75=Цены!$H$8,Цены!$K$8,IF(AD75=Цены!$H$9,Цены!$K$9,IF(AD75=Цены!$H$10,Цены!$K$10,IF(AD75=Цены!$H$11,Цены!$K$11,IF(AD75=Цены!$H$12,Цены!$K$12,IF(AD75=Цены!$H$13,Цены!$K$13,IF(AD75=Цены!$H$14,Цены!$K$14,IF(AD75=Цены!$H$14,Цены!$K$14,IF(AD75=Цены!$H$15,Цены!$K$15,IF(AD75=Цены!$H$16,Цены!$K$16,IF(AD75=Цены!$H$17,Цены!$K$17,IF(AD75=Цены!$H$18,Цены!$K$18,IF(AD75=Цены!$H$19,Цены!$K$19,IF(AD75=Цены!$H$20,Цены!$K$20,IF(AD75=Цены!$H$21,Цены!$K$21,IF(AD75=Цены!$H$22,Цены!$K$22,IF(AD75=Цены!$H$23,Цены!$K$23,IF(AD75=Цены!$H$24,Цены!$K$24,IF(AD75=Цены!$H$25,Цены!$K$25,IF(AD75=Цены!$H$26,Цены!$K$26,IF(AD75=Цены!$H$27,Цены!$K$27,IF(AD75=Цены!$H$28,Цены!$K$28,IF(AD75=Цены!$H$29,Цены!$K$29,IF(AD75=Цены!$H$30,Цены!$K$30,IF(AD75=Цены!$H$31,Цены!$K$31,IF(AD75=Цены!$H$32,Цены!$K$32,IF(AD75=Цены!$H$33,Цены!$K$33,IF(AD75=Цены!$H$34,Цены!$K$34,IF(AD75=Цены!$H$35,Цены!$K$35,IF(AD75=Цены!$H$36,Цены!$K$36,IF(AD75=Цены!$H$37,Цены!$K$37,IF(AD75=Цены!$H$38,Цены!$K$38,IF(AD75=Цены!$H$39,Цены!$K$39,IF(AD75=Цены!$H$40,Цены!$K$40,IF(AD75=Цены!$H$41,Цены!$K$41,IF(AD75=Цены!$H$42,Цены!$K$42,IF(AD75=Цены!$H$43,Цены!$K$43,IF(AD75=Цены!$H$44,Цены!$K$44,IF(AD75=Цены!$H$45,Цены!$K$45,IF(AD75=Цены!$H$46,Цены!$K$46,IF(AD75=Цены!$H$47,Цены!$K$47,IF(AD75=Цены!$H$48,Цены!$K$48,IF(AD75=Цены!$H$49,Цены!$K$49,IF(AD75=Цены!$H$50,Цены!$K$50,IF(AD75=Цены!$H$51,Цены!$K$51,IF(AD75=Цены!$H$52,Цены!$K$52,IF(AD75=Цены!$H$53,Цены!$K$53,IF(AD75=Цены!$H$54,Цены!$K$54,IF(AD75=Цены!$H$55,Цены!$K$55))))))))))))))))))))))))))))))))))))))))))))))))))))))</f>
        <v>318</v>
      </c>
      <c r="AI75" s="265">
        <v>7</v>
      </c>
      <c r="AJ75" s="265">
        <v>800</v>
      </c>
      <c r="AK75" s="266">
        <f>AE75*AH75+AE76*AH76+AE77*AH77+AE78*AH78</f>
        <v>9684</v>
      </c>
      <c r="AL75" s="267">
        <v>10000</v>
      </c>
      <c r="AM75" s="266">
        <f>AK75+AL75</f>
        <v>19684</v>
      </c>
      <c r="AN75" s="268">
        <v>11000</v>
      </c>
      <c r="AO75" s="310">
        <f>AN75/AM75*100</f>
        <v>55.882950619792723</v>
      </c>
      <c r="AP75" s="270">
        <f>MROUND(AM75+AN75,500)</f>
        <v>30500</v>
      </c>
      <c r="AQ75" s="209" t="s">
        <v>165</v>
      </c>
      <c r="AR75" s="129">
        <v>5</v>
      </c>
      <c r="AS75" s="33">
        <f>IF(AQ75=Цены!$H$3,Цены!$L$3,IF(AQ75=Цены!$H$4,Цены!$L$4,IF(AQ75=Цены!$H$5,Цены!$L$5,IF(AQ75=Цены!$H$6,Цены!$L$6,IF(AQ75=Цены!$H$7,Цены!$L$7,IF(AQ75=Цены!$H$8,Цены!$L$8,IF(AQ75=Цены!$H$9,Цены!$L$9,IF(AQ75=Цены!$H$10,Цены!$L$10,IF(AQ75=Цены!$H$11,Цены!$L$11,IF(AQ75=Цены!$H$12,Цены!$L$12,IF(AQ75=Цены!$H$13,Цены!$L$13,IF(AQ75=Цены!$H$14,Цены!$L$14,IF(AQ75=Цены!$H$14,Цены!$L$14,IF(AQ75=Цены!$H$15,Цены!$L$15,IF(AQ75=Цены!$H$16,Цены!$L$16,IF(AQ75=Цены!$H$17,Цены!$L$17,IF(AQ75=Цены!$H$18,Цены!$L$18,IF(AQ75=Цены!$H$19,Цены!$L$19,IF(AQ75=Цены!$H$20,Цены!$L$20,IF(AQ75=Цены!$H$21,Цены!$L$21,IF(AQ75=Цены!$H$22,Цены!$L$22,IF(AQ75=Цены!$H$23,Цены!$L$23,IF(AQ75=Цены!$H$24,Цены!$L$24,IF(AQ75=Цены!$H$25,Цены!$L$25,IF(AQ75=Цены!$H$26,Цены!$L$26,IF(AQ75=Цены!$H$27,Цены!$L$27,IF(AQ75=Цены!$H$28,Цены!$L$28,IF(AQ75=Цены!$H$29,Цены!$L$29,IF(AQ75=Цены!$H$30,Цены!$L$30,IF(AQ75=Цены!$H$31,Цены!$L$31,IF(AQ75=Цены!$H$32,Цены!$L$32,IF(AQ75=Цены!$H$33,Цены!$L$33,IF(AQ75=Цены!$H$34,Цены!$L$34,IF(AQ75=Цены!$H$35,Цены!$L$35,IF(AQ75=Цены!$H$36,Цены!$L$36,IF(AQ75=Цены!$H$37,Цены!$L$37,IF(AQ75=Цены!$H$38,Цены!$L$38,IF(AQ75=Цены!$H$39,Цены!$L$39,IF(AQ75=Цены!$H$40,Цены!$L$40,IF(AQ75=Цены!$H$41,Цены!$L$41,IF(AQ75=Цены!$H$42,Цены!$L$42,IF(AQ75=Цены!$H$43,Цены!$L$43,IF(AQ75=Цены!$H$44,Цены!$L$44,IF(AQ75=Цены!$H$45,Цены!$L$45,IF(AQ75=Цены!$H$46,Цены!$L$46,IF(AQ75=Цены!$H$47,Цены!$L$47,IF(AQ75=Цены!$H$48,Цены!$L$48,IF(AQ75=Цены!$H$49,Цены!$L$49,IF(AQ75=Цены!$H$50,Цены!$L$50,IF(AQ75=Цены!$H$51,Цены!$L$51,IF(AQ75=Цены!$H$52,Цены!$L$52,IF(AQ75=Цены!$H$53,Цены!$L$53,IF(AQ75=Цены!$H$54,Цены!$L$54,IF(AQ75=Цены!$H$55,Цены!$L$55))))))))))))))))))))))))))))))))))))))))))))))))))))))</f>
        <v>1.85</v>
      </c>
      <c r="AT75" s="276">
        <f>AR75*AS75+AR76*AS76+AR77*AS77+AR78*AS78</f>
        <v>10.01</v>
      </c>
      <c r="AU75" s="34">
        <f>IF(AQ75=Цены!$H$3,Цены!$K$3,IF(AQ75=Цены!$H$4,Цены!$K$4,IF(AQ75=Цены!$H$5,Цены!$K$5,IF(AQ75=Цены!$H$6,Цены!$K$6,IF(AQ75=Цены!$H$7,Цены!$K$7,IF(AQ75=Цены!$H$8,Цены!$K$8,IF(AQ75=Цены!$H$9,Цены!$K$9,IF(AQ75=Цены!$H$10,Цены!$K$10,IF(AQ75=Цены!$H$11,Цены!$K$11,IF(AQ75=Цены!$H$12,Цены!$K$12,IF(AQ75=Цены!$H$13,Цены!$K$13,IF(AQ75=Цены!$H$14,Цены!$K$14,IF(AQ75=Цены!$H$14,Цены!$K$14,IF(AQ75=Цены!$H$15,Цены!$K$15,IF(AQ75=Цены!$H$16,Цены!$K$16,IF(AQ75=Цены!$H$17,Цены!$K$17,IF(AQ75=Цены!$H$18,Цены!$K$18,IF(AQ75=Цены!$H$19,Цены!$K$19,IF(AQ75=Цены!$H$20,Цены!$K$20,IF(AQ75=Цены!$H$21,Цены!$K$21,IF(AQ75=Цены!$H$22,Цены!$K$22,IF(AQ75=Цены!$H$23,Цены!$K$23,IF(AQ75=Цены!$H$24,Цены!$K$24,IF(AQ75=Цены!$H$25,Цены!$K$25,IF(AQ75=Цены!$H$26,Цены!$K$26,IF(AQ75=Цены!$H$27,Цены!$K$27,IF(AQ75=Цены!$H$28,Цены!$K$28,IF(AQ75=Цены!$H$29,Цены!$K$29,IF(AQ75=Цены!$H$30,Цены!$K$30,IF(AQ75=Цены!$H$31,Цены!$K$31,IF(AQ75=Цены!$H$32,Цены!$K$32,IF(AQ75=Цены!$H$33,Цены!$K$33,IF(AQ75=Цены!$H$34,Цены!$K$34,IF(AQ75=Цены!$H$35,Цены!$K$35,IF(AQ75=Цены!$H$36,Цены!$K$36,IF(AQ75=Цены!$H$37,Цены!$K$37,IF(AQ75=Цены!$H$38,Цены!$K$38,IF(AQ75=Цены!$H$39,Цены!$K$39,IF(AQ75=Цены!$H$40,Цены!$K$40,IF(AQ75=Цены!$H$41,Цены!$K$41,IF(AQ75=Цены!$H$42,Цены!$K$42,IF(AQ75=Цены!$H$43,Цены!$K$43,IF(AQ75=Цены!$H$44,Цены!$K$44,IF(AQ75=Цены!$H$45,Цены!$K$45,IF(AQ75=Цены!$H$46,Цены!$K$46,IF(AQ75=Цены!$H$47,Цены!$K$47,IF(AQ75=Цены!$H$48,Цены!$K$48,IF(AQ75=Цены!$H$49,Цены!$K$49,IF(AQ75=Цены!$H$50,Цены!$K$50,IF(AQ75=Цены!$H$51,Цены!$K$51,IF(AQ75=Цены!$H$52,Цены!$K$52,IF(AQ75=Цены!$H$53,Цены!$K$53,IF(AQ75=Цены!$H$54,Цены!$K$54,IF(AQ75=Цены!$H$55,Цены!$K$55))))))))))))))))))))))))))))))))))))))))))))))))))))))</f>
        <v>318</v>
      </c>
      <c r="AV75" s="265">
        <v>6</v>
      </c>
      <c r="AW75" s="265">
        <v>800</v>
      </c>
      <c r="AX75" s="266">
        <f>AR75*AU75+AR76*AU76+AR77*AU77+AR78*AU78</f>
        <v>3382</v>
      </c>
      <c r="AY75" s="267">
        <v>6000</v>
      </c>
      <c r="AZ75" s="266">
        <f>AX75+AY75</f>
        <v>9382</v>
      </c>
      <c r="BA75" s="268">
        <v>6000</v>
      </c>
      <c r="BB75" s="269">
        <f>BA75/AZ75*100</f>
        <v>63.95224898742272</v>
      </c>
      <c r="BC75" s="270">
        <f>MROUND(AZ75+BA75,500)</f>
        <v>15500</v>
      </c>
      <c r="BD75" s="258">
        <f t="shared" ref="BD75" si="146">BC75+CQ75</f>
        <v>22500</v>
      </c>
      <c r="BE75" s="209" t="s">
        <v>166</v>
      </c>
      <c r="BF75" s="71">
        <v>6</v>
      </c>
      <c r="BG75" s="33">
        <f>IF(BE75=Цены!$H$3,Цены!$L$3,IF(BE75=Цены!$H$4,Цены!$L$4,IF(BE75=Цены!$H$5,Цены!$L$5,IF(BE75=Цены!$H$6,Цены!$L$6,IF(BE75=Цены!$H$7,Цены!$L$7,IF(BE75=Цены!$H$8,Цены!$L$8,IF(BE75=Цены!$H$9,Цены!$L$9,IF(BE75=Цены!$H$10,Цены!$L$10,IF(BE75=Цены!$H$11,Цены!$L$11,IF(BE75=Цены!$H$12,Цены!$L$12,IF(BE75=Цены!$H$13,Цены!$L$13,IF(BE75=Цены!$H$14,Цены!$L$14,IF(BE75=Цены!$H$14,Цены!$L$14,IF(BE75=Цены!$H$15,Цены!$L$15,IF(BE75=Цены!$H$16,Цены!$L$16,IF(BE75=Цены!$H$17,Цены!$L$17,IF(BE75=Цены!$H$18,Цены!$L$18,IF(BE75=Цены!$H$19,Цены!$L$19,IF(BE75=Цены!$H$20,Цены!$L$20,IF(BE75=Цены!$H$21,Цены!$L$21,IF(BE75=Цены!$H$22,Цены!$L$22,IF(BE75=Цены!$H$23,Цены!$L$23,IF(BE75=Цены!$H$24,Цены!$L$24,IF(BE75=Цены!$H$25,Цены!$L$25,IF(BE75=Цены!$H$26,Цены!$L$26,IF(BE75=Цены!$H$27,Цены!$L$27,IF(BE75=Цены!$H$28,Цены!$L$28,IF(BE75=Цены!$H$29,Цены!$L$29,IF(BE75=Цены!$H$30,Цены!$L$30,IF(BE75=Цены!$H$31,Цены!$L$31,IF(BE75=Цены!$H$32,Цены!$L$32,IF(BE75=Цены!$H$33,Цены!$L$33,IF(BE75=Цены!$H$34,Цены!$L$34,IF(BE75=Цены!$H$35,Цены!$L$35,IF(BE75=Цены!$H$36,Цены!$L$36,IF(BE75=Цены!$H$37,Цены!$L$37,IF(BE75=Цены!$H$38,Цены!$L$38,IF(BE75=Цены!$H$39,Цены!$L$39,IF(BE75=Цены!$H$40,Цены!$L$40,IF(BE75=Цены!$H$41,Цены!$L$41,IF(BE75=Цены!$H$42,Цены!$L$42,IF(BE75=Цены!$H$43,Цены!$L$43,IF(BE75=Цены!$H$44,Цены!$L$44,IF(BE75=Цены!$H$45,Цены!$L$45,IF(BE75=Цены!$H$46,Цены!$L$46,IF(BE75=Цены!$H$47,Цены!$L$47,IF(BE75=Цены!$H$48,Цены!$L$48,IF(BE75=Цены!$H$49,Цены!$L$49,IF(BE75=Цены!$H$50,Цены!$L$50,IF(BE75=Цены!$H$51,Цены!$L$51,IF(BE75=Цены!$H$52,Цены!$L$52,IF(BE75=Цены!$H$53,Цены!$L$53,IF(BE75=Цены!$H$54,Цены!$L$54,IF(BE75=Цены!$H$55,Цены!$L$55))))))))))))))))))))))))))))))))))))))))))))))))))))))</f>
        <v>1.23</v>
      </c>
      <c r="BH75" s="276">
        <f>BF75*BG75+BF76*BG76+BF77*BG77+BF78*BG78</f>
        <v>8.14</v>
      </c>
      <c r="BI75" s="34">
        <f>IF(BE75=Цены!$H$3,Цены!$K$3,IF(BE75=Цены!$H$4,Цены!$K$4,IF(BE75=Цены!$H$5,Цены!$K$5,IF(BE75=Цены!$H$6,Цены!$K$6,IF(BE75=Цены!$H$7,Цены!$K$7,IF(BE75=Цены!$H$8,Цены!$K$8,IF(BE75=Цены!$H$9,Цены!$K$9,IF(BE75=Цены!$H$10,Цены!$K$10,IF(BE75=Цены!$H$11,Цены!$K$11,IF(BE75=Цены!$H$12,Цены!$K$12,IF(BE75=Цены!$H$13,Цены!$K$13,IF(BE75=Цены!$H$14,Цены!$K$14,IF(BE75=Цены!$H$14,Цены!$K$14,IF(BE75=Цены!$H$15,Цены!$K$15,IF(BE75=Цены!$H$16,Цены!$K$16,IF(BE75=Цены!$H$17,Цены!$K$17,IF(BE75=Цены!$H$18,Цены!$K$18,IF(BE75=Цены!$H$19,Цены!$K$19,IF(BE75=Цены!$H$20,Цены!$K$20,IF(BE75=Цены!$H$21,Цены!$K$21,IF(BE75=Цены!$H$22,Цены!$K$22,IF(BE75=Цены!$H$23,Цены!$K$23,IF(BE75=Цены!$H$24,Цены!$K$24,IF(BE75=Цены!$H$25,Цены!$K$25,IF(BE75=Цены!$H$26,Цены!$K$26,IF(BE75=Цены!$H$27,Цены!$K$27,IF(BE75=Цены!$H$28,Цены!$K$28,IF(BE75=Цены!$H$29,Цены!$K$29,IF(BE75=Цены!$H$30,Цены!$K$30,IF(BE75=Цены!$H$31,Цены!$K$31,IF(BE75=Цены!$H$32,Цены!$K$32,IF(BE75=Цены!$H$33,Цены!$K$33,IF(BE75=Цены!$H$34,Цены!$K$34,IF(BE75=Цены!$H$35,Цены!$K$35,IF(BE75=Цены!$H$36,Цены!$K$36,IF(BE75=Цены!$H$37,Цены!$K$37,IF(BE75=Цены!$H$38,Цены!$K$38,IF(BE75=Цены!$H$39,Цены!$K$39,IF(BE75=Цены!$H$40,Цены!$K$40,IF(BE75=Цены!$H$41,Цены!$K$41,IF(BE75=Цены!$H$42,Цены!$K$42,IF(BE75=Цены!$H$43,Цены!$K$43,IF(BE75=Цены!$H$44,Цены!$K$44,IF(BE75=Цены!$H$45,Цены!$K$45,IF(BE75=Цены!$H$46,Цены!$K$46,IF(BE75=Цены!$H$47,Цены!$K$47,IF(BE75=Цены!$H$48,Цены!$K$48,IF(BE75=Цены!$H$49,Цены!$K$49,IF(BE75=Цены!$H$50,Цены!$K$50,IF(BE75=Цены!$H$51,Цены!$K$51,IF(BE75=Цены!$H$52,Цены!$K$52,IF(BE75=Цены!$H$53,Цены!$K$53,IF(BE75=Цены!$H$54,Цены!$K$54,IF(BE75=Цены!$H$55,Цены!$K$55))))))))))))))))))))))))))))))))))))))))))))))))))))))</f>
        <v>255</v>
      </c>
      <c r="BJ75" s="265">
        <v>5</v>
      </c>
      <c r="BK75" s="265">
        <v>800</v>
      </c>
      <c r="BL75" s="266">
        <f>BF75*BI75+BF76*BI76+BF77*BI77+BF78*BI78</f>
        <v>3322</v>
      </c>
      <c r="BM75" s="267">
        <v>6000</v>
      </c>
      <c r="BN75" s="266">
        <f>BL75+BM75</f>
        <v>9322</v>
      </c>
      <c r="BO75" s="268">
        <v>6000</v>
      </c>
      <c r="BP75" s="269">
        <f>BO75/BN75*100</f>
        <v>64.363870414074228</v>
      </c>
      <c r="BQ75" s="270">
        <f>MROUND(BN75+BO75,500)</f>
        <v>15500</v>
      </c>
      <c r="BR75" s="216" t="s">
        <v>166</v>
      </c>
      <c r="BS75" s="43">
        <v>3</v>
      </c>
      <c r="BT75" s="33">
        <f>IF(BR75=Цены!$H$3,Цены!$L$3,IF(BR75=Цены!$H$4,Цены!$L$4,IF(BR75=Цены!$H$5,Цены!$L$5,IF(BR75=Цены!$H$6,Цены!$L$6,IF(BR75=Цены!$H$7,Цены!$L$7,IF(BR75=Цены!$H$8,Цены!$L$8,IF(BR75=Цены!$H$9,Цены!$L$9,IF(BR75=Цены!$H$10,Цены!$L$10,IF(BR75=Цены!$H$11,Цены!$L$11,IF(BR75=Цены!$H$12,Цены!$L$12,IF(BR75=Цены!$H$13,Цены!$L$13,IF(BR75=Цены!$H$14,Цены!$L$14,IF(BR75=Цены!$H$14,Цены!$L$14,IF(BR75=Цены!$H$15,Цены!$L$15,IF(BR75=Цены!$H$16,Цены!$L$16,IF(BR75=Цены!$H$17,Цены!$L$17,IF(BR75=Цены!$H$18,Цены!$L$18,IF(BR75=Цены!$H$19,Цены!$L$19,IF(BR75=Цены!$H$20,Цены!$L$20,IF(BR75=Цены!$H$21,Цены!$L$21,IF(BR75=Цены!$H$22,Цены!$L$22,IF(BR75=Цены!$H$23,Цены!$L$23,IF(BR75=Цены!$H$24,Цены!$L$24,IF(BR75=Цены!$H$25,Цены!$L$25,IF(BR75=Цены!$H$26,Цены!$L$26,IF(BR75=Цены!$H$27,Цены!$L$27,IF(BR75=Цены!$H$28,Цены!$L$28,IF(BR75=Цены!$H$29,Цены!$L$29,IF(BR75=Цены!$H$30,Цены!$L$30,IF(BR75=Цены!$H$31,Цены!$L$31,IF(BR75=Цены!$H$32,Цены!$L$32,IF(BR75=Цены!$H$33,Цены!$L$33,IF(BR75=Цены!$H$34,Цены!$L$34,IF(BR75=Цены!$H$35,Цены!$L$35,IF(BR75=Цены!$H$36,Цены!$L$36,IF(BR75=Цены!$H$37,Цены!$L$37,IF(BR75=Цены!$H$38,Цены!$L$38,IF(BR75=Цены!$H$39,Цены!$L$39,IF(BR75=Цены!$H$40,Цены!$L$40,IF(BR75=Цены!$H$41,Цены!$L$41,IF(BR75=Цены!$H$42,Цены!$L$42,IF(BR75=Цены!$H$43,Цены!$L$43,IF(BR75=Цены!$H$44,Цены!$L$44,IF(BR75=Цены!$H$45,Цены!$L$45,IF(BR75=Цены!$H$46,Цены!$L$46,IF(BR75=Цены!$H$47,Цены!$L$47,IF(BR75=Цены!$H$48,Цены!$L$48,IF(BR75=Цены!$H$49,Цены!$L$49,IF(BR75=Цены!$H$50,Цены!$L$50,IF(BR75=Цены!$H$51,Цены!$L$51,IF(BR75=Цены!$H$52,Цены!$L$52,IF(BR75=Цены!$H$53,Цены!$L$53,IF(BR75=Цены!$H$54,Цены!$L$54,IF(BR75=Цены!$H$55,Цены!$L$55))))))))))))))))))))))))))))))))))))))))))))))))))))))</f>
        <v>1.23</v>
      </c>
      <c r="BU75" s="276">
        <f>BS75*BT75+BS76*BT76+BS77*BT77+BS78*BT78</f>
        <v>5.49</v>
      </c>
      <c r="BV75" s="34">
        <f>IF(BR75=Цены!$H$3,Цены!$K$3,IF(BR75=Цены!$H$4,Цены!$K$4,IF(BR75=Цены!$H$5,Цены!$K$5,IF(BR75=Цены!$H$6,Цены!$K$6,IF(BR75=Цены!$H$7,Цены!$K$7,IF(BR75=Цены!$H$8,Цены!$K$8,IF(BR75=Цены!$H$9,Цены!$K$9,IF(BR75=Цены!$H$10,Цены!$K$10,IF(BR75=Цены!$H$11,Цены!$K$11,IF(BR75=Цены!$H$12,Цены!$K$12,IF(BR75=Цены!$H$13,Цены!$K$13,IF(BR75=Цены!$H$14,Цены!$K$14,IF(BR75=Цены!$H$14,Цены!$K$14,IF(BR75=Цены!$H$15,Цены!$K$15,IF(BR75=Цены!$H$16,Цены!$K$16,IF(BR75=Цены!$H$17,Цены!$K$17,IF(BR75=Цены!$H$18,Цены!$K$18,IF(BR75=Цены!$H$19,Цены!$K$19,IF(BR75=Цены!$H$20,Цены!$K$20,IF(BR75=Цены!$H$21,Цены!$K$21,IF(BR75=Цены!$H$22,Цены!$K$22,IF(BR75=Цены!$H$23,Цены!$K$23,IF(BR75=Цены!$H$24,Цены!$K$24,IF(BR75=Цены!$H$25,Цены!$K$25,IF(BR75=Цены!$H$26,Цены!$K$26,IF(BR75=Цены!$H$27,Цены!$K$27,IF(BR75=Цены!$H$28,Цены!$K$28,IF(BR75=Цены!$H$29,Цены!$K$29,IF(BR75=Цены!$H$30,Цены!$K$30,IF(BR75=Цены!$H$31,Цены!$K$31,IF(BR75=Цены!$H$32,Цены!$K$32,IF(BR75=Цены!$H$33,Цены!$K$33,IF(BR75=Цены!$H$34,Цены!$K$34,IF(BR75=Цены!$H$35,Цены!$K$35,IF(BR75=Цены!$H$36,Цены!$K$36,IF(BR75=Цены!$H$37,Цены!$K$37,IF(BR75=Цены!$H$38,Цены!$K$38,IF(BR75=Цены!$H$39,Цены!$K$39,IF(BR75=Цены!$H$40,Цены!$K$40,IF(BR75=Цены!$H$41,Цены!$K$41,IF(BR75=Цены!$H$42,Цены!$K$42,IF(BR75=Цены!$H$43,Цены!$K$43,IF(BR75=Цены!$H$44,Цены!$K$44,IF(BR75=Цены!$H$45,Цены!$K$45,IF(BR75=Цены!$H$46,Цены!$K$46,IF(BR75=Цены!$H$47,Цены!$K$47,IF(BR75=Цены!$H$48,Цены!$K$48,IF(BR75=Цены!$H$49,Цены!$K$49,IF(BR75=Цены!$H$50,Цены!$K$50,IF(BR75=Цены!$H$51,Цены!$K$51,IF(BR75=Цены!$H$52,Цены!$K$52,IF(BR75=Цены!$H$53,Цены!$K$53,IF(BR75=Цены!$H$54,Цены!$K$54,IF(BR75=Цены!$H$55,Цены!$K$55))))))))))))))))))))))))))))))))))))))))))))))))))))))</f>
        <v>255</v>
      </c>
      <c r="BW75" s="265">
        <v>1</v>
      </c>
      <c r="BX75" s="265">
        <v>800</v>
      </c>
      <c r="BY75" s="266">
        <f>BS75*BV75+BS76*BV76+BS77*BV77+BS78*BV78</f>
        <v>1263</v>
      </c>
      <c r="BZ75" s="267">
        <v>1000</v>
      </c>
      <c r="CA75" s="266">
        <f>BY75+BZ75</f>
        <v>2263</v>
      </c>
      <c r="CB75" s="268">
        <v>2000</v>
      </c>
      <c r="CC75" s="269">
        <f>CB75/CA75*100</f>
        <v>88.378258948298722</v>
      </c>
      <c r="CD75" s="270">
        <f>MROUND(CA75+CB75,500)</f>
        <v>4500</v>
      </c>
      <c r="CE75" s="171" t="s">
        <v>166</v>
      </c>
      <c r="CF75" s="43">
        <v>3</v>
      </c>
      <c r="CG75" s="33">
        <f>IF(CE75=Цены!$H$3,Цены!$L$3,IF(CE75=Цены!$H$4,Цены!$L$4,IF(CE75=Цены!$H$5,Цены!$L$5,IF(CE75=Цены!$H$6,Цены!$L$6,IF(CE75=Цены!$H$7,Цены!$L$7,IF(CE75=Цены!$H$8,Цены!$L$8,IF(CE75=Цены!$H$9,Цены!$L$9,IF(CE75=Цены!$H$10,Цены!$L$10,IF(CE75=Цены!$H$11,Цены!$L$11,IF(CE75=Цены!$H$12,Цены!$L$12,IF(CE75=Цены!$H$13,Цены!$L$13,IF(CE75=Цены!$H$14,Цены!$L$14,IF(CE75=Цены!$H$14,Цены!$L$14,IF(CE75=Цены!$H$15,Цены!$L$15,IF(CE75=Цены!$H$16,Цены!$L$16,IF(CE75=Цены!$H$17,Цены!$L$17,IF(CE75=Цены!$H$18,Цены!$L$18,IF(CE75=Цены!$H$19,Цены!$L$19,IF(CE75=Цены!$H$20,Цены!$L$20,IF(CE75=Цены!$H$21,Цены!$L$21,IF(CE75=Цены!$H$22,Цены!$L$22,IF(CE75=Цены!$H$23,Цены!$L$23,IF(CE75=Цены!$H$24,Цены!$L$24,IF(CE75=Цены!$H$25,Цены!$L$25,IF(CE75=Цены!$H$26,Цены!$L$26,IF(CE75=Цены!$H$27,Цены!$L$27,IF(CE75=Цены!$H$28,Цены!$L$28,IF(CE75=Цены!$H$29,Цены!$L$29,IF(CE75=Цены!$H$30,Цены!$L$30,IF(CE75=Цены!$H$31,Цены!$L$31,IF(CE75=Цены!$H$32,Цены!$L$32,IF(CE75=Цены!$H$33,Цены!$L$33,IF(CE75=Цены!$H$34,Цены!$L$34,IF(CE75=Цены!$H$35,Цены!$L$35,IF(CE75=Цены!$H$36,Цены!$L$36,IF(CE75=Цены!$H$37,Цены!$L$37,IF(CE75=Цены!$H$38,Цены!$L$38,IF(CE75=Цены!$H$39,Цены!$L$39,IF(CE75=Цены!$H$40,Цены!$L$40,IF(CE75=Цены!$H$41,Цены!$L$41,IF(CE75=Цены!$H$42,Цены!$L$42,IF(CE75=Цены!$H$43,Цены!$L$43,IF(CE75=Цены!$H$44,Цены!$L$44,IF(CE75=Цены!$H$45,Цены!$L$45,IF(CE75=Цены!$H$46,Цены!$L$46,IF(CE75=Цены!$H$47,Цены!$L$47,IF(CE75=Цены!$H$48,Цены!$L$48,IF(CE75=Цены!$H$49,Цены!$L$49,IF(CE75=Цены!$H$50,Цены!$L$50,IF(CE75=Цены!$H$51,Цены!$L$51,IF(CE75=Цены!$H$52,Цены!$L$52,IF(CE75=Цены!$H$53,Цены!$L$53,IF(CE75=Цены!$H$54,Цены!$L$54,IF(CE75=Цены!$H$55,Цены!$L$55))))))))))))))))))))))))))))))))))))))))))))))))))))))</f>
        <v>1.23</v>
      </c>
      <c r="CH75" s="276">
        <f>CF75*CG75+CF76*CG76+CF77*CG77+CF78*CG78</f>
        <v>4.6863999999999999</v>
      </c>
      <c r="CI75" s="34">
        <f>IF(CE75=Цены!$H$3,Цены!$K$3,IF(CE75=Цены!$H$4,Цены!$K$4,IF(CE75=Цены!$H$5,Цены!$K$5,IF(CE75=Цены!$H$6,Цены!$K$6,IF(CE75=Цены!$H$7,Цены!$K$7,IF(CE75=Цены!$H$8,Цены!$K$8,IF(CE75=Цены!$H$9,Цены!$K$9,IF(CE75=Цены!$H$10,Цены!$K$10,IF(CE75=Цены!$H$11,Цены!$K$11,IF(CE75=Цены!$H$12,Цены!$K$12,IF(CE75=Цены!$H$13,Цены!$K$13,IF(CE75=Цены!$H$14,Цены!$K$14,IF(CE75=Цены!$H$14,Цены!$K$14,IF(CE75=Цены!$H$15,Цены!$K$15,IF(CE75=Цены!$H$16,Цены!$K$16,IF(CE75=Цены!$H$17,Цены!$K$17,IF(CE75=Цены!$H$18,Цены!$K$18,IF(CE75=Цены!$H$19,Цены!$K$19,IF(CE75=Цены!$H$20,Цены!$K$20,IF(CE75=Цены!$H$21,Цены!$K$21,IF(CE75=Цены!$H$22,Цены!$K$22,IF(CE75=Цены!$H$23,Цены!$K$23,IF(CE75=Цены!$H$24,Цены!$K$24,IF(CE75=Цены!$H$25,Цены!$K$25,IF(CE75=Цены!$H$26,Цены!$K$26,IF(CE75=Цены!$H$27,Цены!$K$27,IF(CE75=Цены!$H$28,Цены!$K$28,IF(CE75=Цены!$H$29,Цены!$K$29,IF(CE75=Цены!$H$30,Цены!$K$30,IF(CE75=Цены!$H$31,Цены!$K$31,IF(CE75=Цены!$H$32,Цены!$K$32,IF(CE75=Цены!$H$33,Цены!$K$33,IF(CE75=Цены!$H$34,Цены!$K$34,IF(CE75=Цены!$H$35,Цены!$K$35,IF(CE75=Цены!$H$36,Цены!$K$36,IF(CE75=Цены!$H$37,Цены!$K$37,IF(CE75=Цены!$H$38,Цены!$K$38,IF(CE75=Цены!$H$39,Цены!$K$39,IF(CE75=Цены!$H$40,Цены!$K$40,IF(CE75=Цены!$H$41,Цены!$K$41,IF(CE75=Цены!$H$42,Цены!$K$42,IF(CE75=Цены!$H$43,Цены!$K$43,IF(CE75=Цены!$H$44,Цены!$K$44,IF(CE75=Цены!$H$45,Цены!$K$45,IF(CE75=Цены!$H$46,Цены!$K$46,IF(CE75=Цены!$H$47,Цены!$K$47,IF(CE75=Цены!$H$48,Цены!$K$48,IF(CE75=Цены!$H$49,Цены!$K$49,IF(CE75=Цены!$H$50,Цены!$K$50,IF(CE75=Цены!$H$51,Цены!$K$51,IF(CE75=Цены!$H$52,Цены!$K$52,IF(CE75=Цены!$H$53,Цены!$K$53,IF(CE75=Цены!$H$54,Цены!$K$54,IF(CE75=Цены!$H$55,Цены!$K$55))))))))))))))))))))))))))))))))))))))))))))))))))))))</f>
        <v>255</v>
      </c>
      <c r="CJ75" s="265">
        <v>2</v>
      </c>
      <c r="CK75" s="265">
        <v>800</v>
      </c>
      <c r="CL75" s="266">
        <f>CF75*CI75+CF76*CI76+CF77*CI77+CF78*CI78</f>
        <v>2569</v>
      </c>
      <c r="CM75" s="267">
        <v>2000</v>
      </c>
      <c r="CN75" s="266">
        <f>CL75+CM75</f>
        <v>4569</v>
      </c>
      <c r="CO75" s="268">
        <v>2500</v>
      </c>
      <c r="CP75" s="269">
        <f>CO75/CN75*100</f>
        <v>54.71656817684395</v>
      </c>
      <c r="CQ75" s="270">
        <f>MROUND(CN75+CO75,500)</f>
        <v>7000</v>
      </c>
    </row>
    <row r="76" spans="1:95" x14ac:dyDescent="0.25">
      <c r="A76" s="353"/>
      <c r="B76" s="265"/>
      <c r="C76" s="265"/>
      <c r="D76" s="172" t="s">
        <v>91</v>
      </c>
      <c r="E76" s="167">
        <v>2</v>
      </c>
      <c r="F76" s="27">
        <f>IF(D76=Цены!$H$3,Цены!$L$3,IF(D76=Цены!$H$4,Цены!$L$4,IF(D76=Цены!$H$5,Цены!$L$5,IF(D76=Цены!$H$6,Цены!$L$6,IF(D76=Цены!$H$7,Цены!$L$7,IF(D76=Цены!$H$8,Цены!$L$8,IF(D76=Цены!$H$9,Цены!$L$9,IF(D76=Цены!$H$10,Цены!$L$10,IF(D76=Цены!$H$11,Цены!$L$11,IF(D76=Цены!$H$12,Цены!$L$12,IF(D76=Цены!$H$13,Цены!$L$13,IF(D76=Цены!$H$14,Цены!$L$14,IF(D76=Цены!$H$14,Цены!$L$14,IF(D76=Цены!$H$15,Цены!$L$15,IF(D76=Цены!$H$16,Цены!$L$16,IF(D76=Цены!$H$17,Цены!$L$17,IF(D76=Цены!$H$18,Цены!$L$18,IF(D76=Цены!$H$19,Цены!$L$19,IF(D76=Цены!$H$20,Цены!$L$20,IF(D76=Цены!$H$21,Цены!$L$21,IF(D76=Цены!$H$22,Цены!$L$22,IF(D76=Цены!$H$23,Цены!$L$23,IF(D76=Цены!$H$24,Цены!$L$24,IF(D76=Цены!$H$25,Цены!$L$25,IF(D76=Цены!$H$26,Цены!$L$26,IF(D76=Цены!$H$27,Цены!$L$27,IF(D76=Цены!$H$28,Цены!$L$28,IF(D76=Цены!$H$29,Цены!$L$29,IF(D76=Цены!$H$30,Цены!$L$30,IF(D76=Цены!$H$31,Цены!$L$31,IF(D76=Цены!$H$32,Цены!$L$32,IF(D76=Цены!$H$33,Цены!$L$33,IF(D76=Цены!$H$34,Цены!$L$34,IF(D76=Цены!$H$35,Цены!$L$35,IF(D76=Цены!$H$36,Цены!$L$36,IF(D76=Цены!$H$37,Цены!$L$37,IF(D76=Цены!$H$38,Цены!$L$38,IF(D76=Цены!$H$39,Цены!$L$39,IF(D76=Цены!$H$40,Цены!$L$40,IF(D76=Цены!$H$41,Цены!$L$41,IF(D76=Цены!$H$42,Цены!$L$42,IF(D76=Цены!$H$43,Цены!$L$43,IF(D76=Цены!$H$44,Цены!$L$44,IF(D76=Цены!$H$45,Цены!$L$45,IF(D76=Цены!$H$46,Цены!$L$46,IF(D76=Цены!$H$47,Цены!$L$47,IF(D76=Цены!$H$48,Цены!$L$48,IF(D76=Цены!$H$49,Цены!$L$49,IF(D76=Цены!$H$50,Цены!$L$50,IF(D76=Цены!$H$51,Цены!$L$51,IF(D76=Цены!$H$52,Цены!$L$52,IF(D76=Цены!$H$53,Цены!$L$53,IF(D76=Цены!$H$54,Цены!$L$54,IF(D76=Цены!$H$55,Цены!$L$55))))))))))))))))))))))))))))))))))))))))))))))))))))))</f>
        <v>0.19</v>
      </c>
      <c r="G76" s="309"/>
      <c r="H76" s="28">
        <f>IF(D76=Цены!$H$3,Цены!$K$3,IF(D76=Цены!$H$4,Цены!$K$4,IF(D76=Цены!$H$5,Цены!$K$5,IF(D76=Цены!$H$6,Цены!$K$6,IF(D76=Цены!$H$7,Цены!$K$7,IF(D76=Цены!$H$8,Цены!$K$8,IF(D76=Цены!$H$9,Цены!$K$9,IF(D76=Цены!$H$10,Цены!$K$10,IF(D76=Цены!$H$11,Цены!$K$11,IF(D76=Цены!$H$12,Цены!$K$12,IF(D76=Цены!$H$13,Цены!$K$13,IF(D76=Цены!$H$14,Цены!$K$14,IF(D76=Цены!$H$14,Цены!$K$14,IF(D76=Цены!$H$15,Цены!$K$15,IF(D76=Цены!$H$16,Цены!$K$16,IF(D76=Цены!$H$17,Цены!$K$17,IF(D76=Цены!$H$18,Цены!$K$18,IF(D76=Цены!$H$19,Цены!$K$19,IF(D76=Цены!$H$20,Цены!$K$20,IF(D76=Цены!$H$21,Цены!$K$21,IF(D76=Цены!$H$22,Цены!$K$22,IF(D76=Цены!$H$23,Цены!$K$23,IF(D76=Цены!$H$24,Цены!$K$24,IF(D76=Цены!$H$25,Цены!$K$25,IF(D76=Цены!$H$26,Цены!$K$26,IF(D76=Цены!$H$27,Цены!$K$27,IF(D76=Цены!$H$28,Цены!$K$28,IF(D76=Цены!$H$29,Цены!$K$29,IF(D76=Цены!$H$30,Цены!$K$30,IF(D76=Цены!$H$31,Цены!$K$31,IF(D76=Цены!$H$32,Цены!$K$32,IF(D76=Цены!$H$33,Цены!$K$33,IF(D76=Цены!$H$34,Цены!$K$34,IF(D76=Цены!$H$35,Цены!$K$35,IF(D76=Цены!$H$36,Цены!$K$36,IF(D76=Цены!$H$37,Цены!$K$37,IF(D76=Цены!$H$38,Цены!$K$38,IF(D76=Цены!$H$39,Цены!$K$39,IF(D76=Цены!$H$40,Цены!$K$40,IF(D76=Цены!$H$41,Цены!$K$41,IF(D76=Цены!$H$42,Цены!$K$42,IF(D76=Цены!$H$43,Цены!$K$43,IF(D76=Цены!$H$44,Цены!$K$44,IF(D76=Цены!$H$45,Цены!$K$45,IF(D76=Цены!$H$46,Цены!$K$46,IF(D76=Цены!$H$47,Цены!$K$47,IF(D76=Цены!$H$48,Цены!$K$48,IF(D76=Цены!$H$49,Цены!$K$49,IF(D76=Цены!$H$50,Цены!$K$50,IF(D76=Цены!$H$51,Цены!$K$51,IF(D76=Цены!$H$52,Цены!$K$52,IF(D76=Цены!$H$53,Цены!$K$53,IF(D76=Цены!$H$54,Цены!$K$54,IF(D76=Цены!$H$55,Цены!$K$55))))))))))))))))))))))))))))))))))))))))))))))))))))))</f>
        <v>448</v>
      </c>
      <c r="I76" s="265"/>
      <c r="J76" s="265"/>
      <c r="K76" s="266"/>
      <c r="L76" s="267"/>
      <c r="M76" s="267"/>
      <c r="N76" s="268"/>
      <c r="O76" s="310"/>
      <c r="P76" s="270"/>
      <c r="Q76" s="209" t="s">
        <v>80</v>
      </c>
      <c r="R76" s="30">
        <v>5</v>
      </c>
      <c r="S76" s="27">
        <f>IF(Q76=Цены!$H$3,Цены!$L$3,IF(Q76=Цены!$H$4,Цены!$L$4,IF(Q76=Цены!$H$5,Цены!$L$5,IF(Q76=Цены!$H$6,Цены!$L$6,IF(Q76=Цены!$H$7,Цены!$L$7,IF(Q76=Цены!$H$8,Цены!$L$8,IF(Q76=Цены!$H$9,Цены!$L$9,IF(Q76=Цены!$H$10,Цены!$L$10,IF(Q76=Цены!$H$11,Цены!$L$11,IF(Q76=Цены!$H$12,Цены!$L$12,IF(Q76=Цены!$H$13,Цены!$L$13,IF(Q76=Цены!$H$14,Цены!$L$14,IF(Q76=Цены!$H$14,Цены!$L$14,IF(Q76=Цены!$H$15,Цены!$L$15,IF(Q76=Цены!$H$16,Цены!$L$16,IF(Q76=Цены!$H$17,Цены!$L$17,IF(Q76=Цены!$H$18,Цены!$L$18,IF(Q76=Цены!$H$19,Цены!$L$19,IF(Q76=Цены!$H$20,Цены!$L$20,IF(Q76=Цены!$H$21,Цены!$L$21,IF(Q76=Цены!$H$22,Цены!$L$22,IF(Q76=Цены!$H$23,Цены!$L$23,IF(Q76=Цены!$H$24,Цены!$L$24,IF(Q76=Цены!$H$25,Цены!$L$25,IF(Q76=Цены!$H$26,Цены!$L$26,IF(Q76=Цены!$H$27,Цены!$L$27,IF(Q76=Цены!$H$28,Цены!$L$28,IF(Q76=Цены!$H$29,Цены!$L$29,IF(Q76=Цены!$H$30,Цены!$L$30,IF(Q76=Цены!$H$31,Цены!$L$31,IF(Q76=Цены!$H$32,Цены!$L$32,IF(Q76=Цены!$H$33,Цены!$L$33,IF(Q76=Цены!$H$34,Цены!$L$34,IF(Q76=Цены!$H$35,Цены!$L$35,IF(Q76=Цены!$H$36,Цены!$L$36,IF(Q76=Цены!$H$37,Цены!$L$37,IF(Q76=Цены!$H$38,Цены!$L$38,IF(Q76=Цены!$H$39,Цены!$L$39,IF(Q76=Цены!$H$40,Цены!$L$40,IF(Q76=Цены!$H$41,Цены!$L$41,IF(Q76=Цены!$H$42,Цены!$L$42,IF(Q76=Цены!$H$43,Цены!$L$43,IF(Q76=Цены!$H$44,Цены!$L$44,IF(Q76=Цены!$H$45,Цены!$L$45,IF(Q76=Цены!$H$46,Цены!$L$46,IF(Q76=Цены!$H$47,Цены!$L$47,IF(Q76=Цены!$H$48,Цены!$L$48,IF(Q76=Цены!$H$49,Цены!$L$49,IF(Q76=Цены!$H$50,Цены!$L$50,IF(Q76=Цены!$H$51,Цены!$L$51,IF(Q76=Цены!$H$52,Цены!$L$52,IF(Q76=Цены!$H$53,Цены!$L$53,IF(Q76=Цены!$H$54,Цены!$L$54,IF(Q76=Цены!$H$55,Цены!$L$55))))))))))))))))))))))))))))))))))))))))))))))))))))))</f>
        <v>0.64</v>
      </c>
      <c r="T76" s="309"/>
      <c r="U76" s="162">
        <f>IF(Q76=Цены!$H$3,Цены!$K$3,IF(Q76=Цены!$H$4,Цены!$K$4,IF(Q76=Цены!$H$5,Цены!$K$5,IF(Q76=Цены!$H$6,Цены!$K$6,IF(Q76=Цены!$H$7,Цены!$K$7,IF(Q76=Цены!$H$8,Цены!$K$8,IF(Q76=Цены!$H$9,Цены!$K$9,IF(Q76=Цены!$H$10,Цены!$K$10,IF(Q76=Цены!$H$11,Цены!$K$11,IF(Q76=Цены!$H$12,Цены!$K$12,IF(Q76=Цены!$H$13,Цены!$K$13,IF(Q76=Цены!$H$14,Цены!$K$14,IF(Q76=Цены!$H$14,Цены!$K$14,IF(Q76=Цены!$H$15,Цены!$K$15,IF(Q76=Цены!$H$16,Цены!$K$16,IF(Q76=Цены!$H$17,Цены!$K$17,IF(Q76=Цены!$H$18,Цены!$K$18,IF(Q76=Цены!$H$19,Цены!$K$19,IF(Q76=Цены!$H$20,Цены!$K$20,IF(Q76=Цены!$H$21,Цены!$K$21,IF(Q76=Цены!$H$22,Цены!$K$22,IF(Q76=Цены!$H$23,Цены!$K$23,IF(Q76=Цены!$H$24,Цены!$K$24,IF(Q76=Цены!$H$25,Цены!$K$25,IF(Q76=Цены!$H$26,Цены!$K$26,IF(Q76=Цены!$H$27,Цены!$K$27,IF(Q76=Цены!$H$28,Цены!$K$28,IF(Q76=Цены!$H$29,Цены!$K$29,IF(Q76=Цены!$H$30,Цены!$K$30,IF(Q76=Цены!$H$31,Цены!$K$31,IF(Q76=Цены!$H$32,Цены!$K$32,IF(Q76=Цены!$H$33,Цены!$K$33,IF(Q76=Цены!$H$34,Цены!$K$34,IF(Q76=Цены!$H$35,Цены!$K$35,IF(Q76=Цены!$H$36,Цены!$K$36,IF(Q76=Цены!$H$37,Цены!$K$37,IF(Q76=Цены!$H$38,Цены!$K$38,IF(Q76=Цены!$H$39,Цены!$K$39,IF(Q76=Цены!$H$40,Цены!$K$40,IF(Q76=Цены!$H$41,Цены!$K$41,IF(Q76=Цены!$H$42,Цены!$K$42,IF(Q76=Цены!$H$43,Цены!$K$43,IF(Q76=Цены!$H$44,Цены!$K$44,IF(Q76=Цены!$H$45,Цены!$K$45,IF(Q76=Цены!$H$46,Цены!$K$46,IF(Q76=Цены!$H$47,Цены!$K$47,IF(Q76=Цены!$H$48,Цены!$K$48,IF(Q76=Цены!$H$49,Цены!$K$49,IF(Q76=Цены!$H$50,Цены!$K$50,IF(Q76=Цены!$H$51,Цены!$K$51,IF(Q76=Цены!$H$52,Цены!$K$52,IF(Q76=Цены!$H$53,Цены!$K$53,IF(Q76=Цены!$H$54,Цены!$K$54,IF(Q76=Цены!$H$55,Цены!$K$55))))))))))))))))))))))))))))))))))))))))))))))))))))))</f>
        <v>312</v>
      </c>
      <c r="V76" s="265"/>
      <c r="W76" s="265"/>
      <c r="X76" s="266"/>
      <c r="Y76" s="267"/>
      <c r="Z76" s="267"/>
      <c r="AA76" s="320"/>
      <c r="AB76" s="310"/>
      <c r="AC76" s="270"/>
      <c r="AD76" s="172" t="s">
        <v>70</v>
      </c>
      <c r="AE76" s="30">
        <v>4</v>
      </c>
      <c r="AF76" s="27">
        <f>IF(AD76=Цены!$H$3,Цены!$L$3,IF(AD76=Цены!$H$4,Цены!$L$4,IF(AD76=Цены!$H$5,Цены!$L$5,IF(AD76=Цены!$H$6,Цены!$L$6,IF(AD76=Цены!$H$7,Цены!$L$7,IF(AD76=Цены!$H$8,Цены!$L$8,IF(AD76=Цены!$H$9,Цены!$L$9,IF(AD76=Цены!$H$10,Цены!$L$10,IF(AD76=Цены!$H$11,Цены!$L$11,IF(AD76=Цены!$H$12,Цены!$L$12,IF(AD76=Цены!$H$13,Цены!$L$13,IF(AD76=Цены!$H$14,Цены!$L$14,IF(AD76=Цены!$H$14,Цены!$L$14,IF(AD76=Цены!$H$15,Цены!$L$15,IF(AD76=Цены!$H$16,Цены!$L$16,IF(AD76=Цены!$H$17,Цены!$L$17,IF(AD76=Цены!$H$18,Цены!$L$18,IF(AD76=Цены!$H$19,Цены!$L$19,IF(AD76=Цены!$H$20,Цены!$L$20,IF(AD76=Цены!$H$21,Цены!$L$21,IF(AD76=Цены!$H$22,Цены!$L$22,IF(AD76=Цены!$H$23,Цены!$L$23,IF(AD76=Цены!$H$24,Цены!$L$24,IF(AD76=Цены!$H$25,Цены!$L$25,IF(AD76=Цены!$H$26,Цены!$L$26,IF(AD76=Цены!$H$27,Цены!$L$27,IF(AD76=Цены!$H$28,Цены!$L$28,IF(AD76=Цены!$H$29,Цены!$L$29,IF(AD76=Цены!$H$30,Цены!$L$30,IF(AD76=Цены!$H$31,Цены!$L$31,IF(AD76=Цены!$H$32,Цены!$L$32,IF(AD76=Цены!$H$33,Цены!$L$33,IF(AD76=Цены!$H$34,Цены!$L$34,IF(AD76=Цены!$H$35,Цены!$L$35,IF(AD76=Цены!$H$36,Цены!$L$36,IF(AD76=Цены!$H$37,Цены!$L$37,IF(AD76=Цены!$H$38,Цены!$L$38,IF(AD76=Цены!$H$39,Цены!$L$39,IF(AD76=Цены!$H$40,Цены!$L$40,IF(AD76=Цены!$H$41,Цены!$L$41,IF(AD76=Цены!$H$42,Цены!$L$42,IF(AD76=Цены!$H$43,Цены!$L$43,IF(AD76=Цены!$H$44,Цены!$L$44,IF(AD76=Цены!$H$45,Цены!$L$45,IF(AD76=Цены!$H$46,Цены!$L$46,IF(AD76=Цены!$H$47,Цены!$L$47,IF(AD76=Цены!$H$48,Цены!$L$48,IF(AD76=Цены!$H$49,Цены!$L$49,IF(AD76=Цены!$H$50,Цены!$L$50,IF(AD76=Цены!$H$51,Цены!$L$51,IF(AD76=Цены!$H$52,Цены!$L$52,IF(AD76=Цены!$H$53,Цены!$L$53,IF(AD76=Цены!$H$54,Цены!$L$54,IF(AD76=Цены!$H$55,Цены!$L$55))))))))))))))))))))))))))))))))))))))))))))))))))))))</f>
        <v>2.4</v>
      </c>
      <c r="AG76" s="309"/>
      <c r="AH76" s="28">
        <f>IF(AD76=Цены!$H$3,Цены!$K$3,IF(AD76=Цены!$H$4,Цены!$K$4,IF(AD76=Цены!$H$5,Цены!$K$5,IF(AD76=Цены!$H$6,Цены!$K$6,IF(AD76=Цены!$H$7,Цены!$K$7,IF(AD76=Цены!$H$8,Цены!$K$8,IF(AD76=Цены!$H$9,Цены!$K$9,IF(AD76=Цены!$H$10,Цены!$K$10,IF(AD76=Цены!$H$11,Цены!$K$11,IF(AD76=Цены!$H$12,Цены!$K$12,IF(AD76=Цены!$H$13,Цены!$K$13,IF(AD76=Цены!$H$14,Цены!$K$14,IF(AD76=Цены!$H$14,Цены!$K$14,IF(AD76=Цены!$H$15,Цены!$K$15,IF(AD76=Цены!$H$16,Цены!$K$16,IF(AD76=Цены!$H$17,Цены!$K$17,IF(AD76=Цены!$H$18,Цены!$K$18,IF(AD76=Цены!$H$19,Цены!$K$19,IF(AD76=Цены!$H$20,Цены!$K$20,IF(AD76=Цены!$H$21,Цены!$K$21,IF(AD76=Цены!$H$22,Цены!$K$22,IF(AD76=Цены!$H$23,Цены!$K$23,IF(AD76=Цены!$H$24,Цены!$K$24,IF(AD76=Цены!$H$25,Цены!$K$25,IF(AD76=Цены!$H$26,Цены!$K$26,IF(AD76=Цены!$H$27,Цены!$K$27,IF(AD76=Цены!$H$28,Цены!$K$28,IF(AD76=Цены!$H$29,Цены!$K$29,IF(AD76=Цены!$H$30,Цены!$K$30,IF(AD76=Цены!$H$31,Цены!$K$31,IF(AD76=Цены!$H$32,Цены!$K$32,IF(AD76=Цены!$H$33,Цены!$K$33,IF(AD76=Цены!$H$34,Цены!$K$34,IF(AD76=Цены!$H$35,Цены!$K$35,IF(AD76=Цены!$H$36,Цены!$K$36,IF(AD76=Цены!$H$37,Цены!$K$37,IF(AD76=Цены!$H$38,Цены!$K$38,IF(AD76=Цены!$H$39,Цены!$K$39,IF(AD76=Цены!$H$40,Цены!$K$40,IF(AD76=Цены!$H$41,Цены!$K$41,IF(AD76=Цены!$H$42,Цены!$K$42,IF(AD76=Цены!$H$43,Цены!$K$43,IF(AD76=Цены!$H$44,Цены!$K$44,IF(AD76=Цены!$H$45,Цены!$K$45,IF(AD76=Цены!$H$46,Цены!$K$46,IF(AD76=Цены!$H$47,Цены!$K$47,IF(AD76=Цены!$H$48,Цены!$K$48,IF(AD76=Цены!$H$49,Цены!$K$49,IF(AD76=Цены!$H$50,Цены!$K$50,IF(AD76=Цены!$H$51,Цены!$K$51,IF(AD76=Цены!$H$52,Цены!$K$52,IF(AD76=Цены!$H$53,Цены!$K$53,IF(AD76=Цены!$H$54,Цены!$K$54,IF(AD76=Цены!$H$55,Цены!$K$55))))))))))))))))))))))))))))))))))))))))))))))))))))))</f>
        <v>469</v>
      </c>
      <c r="AI76" s="265"/>
      <c r="AJ76" s="265"/>
      <c r="AK76" s="266"/>
      <c r="AL76" s="267"/>
      <c r="AM76" s="267"/>
      <c r="AN76" s="268"/>
      <c r="AO76" s="310"/>
      <c r="AP76" s="270"/>
      <c r="AQ76" s="209" t="s">
        <v>144</v>
      </c>
      <c r="AR76" s="129">
        <v>4</v>
      </c>
      <c r="AS76" s="33">
        <f>IF(AQ76=Цены!$H$3,Цены!$L$3,IF(AQ76=Цены!$H$4,Цены!$L$4,IF(AQ76=Цены!$H$5,Цены!$L$5,IF(AQ76=Цены!$H$6,Цены!$L$6,IF(AQ76=Цены!$H$7,Цены!$L$7,IF(AQ76=Цены!$H$8,Цены!$L$8,IF(AQ76=Цены!$H$9,Цены!$L$9,IF(AQ76=Цены!$H$10,Цены!$L$10,IF(AQ76=Цены!$H$11,Цены!$L$11,IF(AQ76=Цены!$H$12,Цены!$L$12,IF(AQ76=Цены!$H$13,Цены!$L$13,IF(AQ76=Цены!$H$14,Цены!$L$14,IF(AQ76=Цены!$H$14,Цены!$L$14,IF(AQ76=Цены!$H$15,Цены!$L$15,IF(AQ76=Цены!$H$16,Цены!$L$16,IF(AQ76=Цены!$H$17,Цены!$L$17,IF(AQ76=Цены!$H$18,Цены!$L$18,IF(AQ76=Цены!$H$19,Цены!$L$19,IF(AQ76=Цены!$H$20,Цены!$L$20,IF(AQ76=Цены!$H$21,Цены!$L$21,IF(AQ76=Цены!$H$22,Цены!$L$22,IF(AQ76=Цены!$H$23,Цены!$L$23,IF(AQ76=Цены!$H$24,Цены!$L$24,IF(AQ76=Цены!$H$25,Цены!$L$25,IF(AQ76=Цены!$H$26,Цены!$L$26,IF(AQ76=Цены!$H$27,Цены!$L$27,IF(AQ76=Цены!$H$28,Цены!$L$28,IF(AQ76=Цены!$H$29,Цены!$L$29,IF(AQ76=Цены!$H$30,Цены!$L$30,IF(AQ76=Цены!$H$31,Цены!$L$31,IF(AQ76=Цены!$H$32,Цены!$L$32,IF(AQ76=Цены!$H$33,Цены!$L$33,IF(AQ76=Цены!$H$34,Цены!$L$34,IF(AQ76=Цены!$H$35,Цены!$L$35,IF(AQ76=Цены!$H$36,Цены!$L$36,IF(AQ76=Цены!$H$37,Цены!$L$37,IF(AQ76=Цены!$H$38,Цены!$L$38,IF(AQ76=Цены!$H$39,Цены!$L$39,IF(AQ76=Цены!$H$40,Цены!$L$40,IF(AQ76=Цены!$H$41,Цены!$L$41,IF(AQ76=Цены!$H$42,Цены!$L$42,IF(AQ76=Цены!$H$43,Цены!$L$43,IF(AQ76=Цены!$H$44,Цены!$L$44,IF(AQ76=Цены!$H$45,Цены!$L$45,IF(AQ76=Цены!$H$46,Цены!$L$46,IF(AQ76=Цены!$H$47,Цены!$L$47,IF(AQ76=Цены!$H$48,Цены!$L$48,IF(AQ76=Цены!$H$49,Цены!$L$49,IF(AQ76=Цены!$H$50,Цены!$L$50,IF(AQ76=Цены!$H$51,Цены!$L$51,IF(AQ76=Цены!$H$52,Цены!$L$52,IF(AQ76=Цены!$H$53,Цены!$L$53,IF(AQ76=Цены!$H$54,Цены!$L$54,IF(AQ76=Цены!$H$55,Цены!$L$55))))))))))))))))))))))))))))))))))))))))))))))))))))))</f>
        <v>0.19</v>
      </c>
      <c r="AT76" s="276"/>
      <c r="AU76" s="34">
        <f>IF(AQ76=Цены!$H$3,Цены!$K$3,IF(AQ76=Цены!$H$4,Цены!$K$4,IF(AQ76=Цены!$H$5,Цены!$K$5,IF(AQ76=Цены!$H$6,Цены!$K$6,IF(AQ76=Цены!$H$7,Цены!$K$7,IF(AQ76=Цены!$H$8,Цены!$K$8,IF(AQ76=Цены!$H$9,Цены!$K$9,IF(AQ76=Цены!$H$10,Цены!$K$10,IF(AQ76=Цены!$H$11,Цены!$K$11,IF(AQ76=Цены!$H$12,Цены!$K$12,IF(AQ76=Цены!$H$13,Цены!$K$13,IF(AQ76=Цены!$H$14,Цены!$K$14,IF(AQ76=Цены!$H$14,Цены!$K$14,IF(AQ76=Цены!$H$15,Цены!$K$15,IF(AQ76=Цены!$H$16,Цены!$K$16,IF(AQ76=Цены!$H$17,Цены!$K$17,IF(AQ76=Цены!$H$18,Цены!$K$18,IF(AQ76=Цены!$H$19,Цены!$K$19,IF(AQ76=Цены!$H$20,Цены!$K$20,IF(AQ76=Цены!$H$21,Цены!$K$21,IF(AQ76=Цены!$H$22,Цены!$K$22,IF(AQ76=Цены!$H$23,Цены!$K$23,IF(AQ76=Цены!$H$24,Цены!$K$24,IF(AQ76=Цены!$H$25,Цены!$K$25,IF(AQ76=Цены!$H$26,Цены!$K$26,IF(AQ76=Цены!$H$27,Цены!$K$27,IF(AQ76=Цены!$H$28,Цены!$K$28,IF(AQ76=Цены!$H$29,Цены!$K$29,IF(AQ76=Цены!$H$30,Цены!$K$30,IF(AQ76=Цены!$H$31,Цены!$K$31,IF(AQ76=Цены!$H$32,Цены!$K$32,IF(AQ76=Цены!$H$33,Цены!$K$33,IF(AQ76=Цены!$H$34,Цены!$K$34,IF(AQ76=Цены!$H$35,Цены!$K$35,IF(AQ76=Цены!$H$36,Цены!$K$36,IF(AQ76=Цены!$H$37,Цены!$K$37,IF(AQ76=Цены!$H$38,Цены!$K$38,IF(AQ76=Цены!$H$39,Цены!$K$39,IF(AQ76=Цены!$H$40,Цены!$K$40,IF(AQ76=Цены!$H$41,Цены!$K$41,IF(AQ76=Цены!$H$42,Цены!$K$42,IF(AQ76=Цены!$H$43,Цены!$K$43,IF(AQ76=Цены!$H$44,Цены!$K$44,IF(AQ76=Цены!$H$45,Цены!$K$45,IF(AQ76=Цены!$H$46,Цены!$K$46,IF(AQ76=Цены!$H$47,Цены!$K$47,IF(AQ76=Цены!$H$48,Цены!$K$48,IF(AQ76=Цены!$H$49,Цены!$K$49,IF(AQ76=Цены!$H$50,Цены!$K$50,IF(AQ76=Цены!$H$51,Цены!$K$51,IF(AQ76=Цены!$H$52,Цены!$K$52,IF(AQ76=Цены!$H$53,Цены!$K$53,IF(AQ76=Цены!$H$54,Цены!$K$54,IF(AQ76=Цены!$H$55,Цены!$K$55))))))))))))))))))))))))))))))))))))))))))))))))))))))</f>
        <v>448</v>
      </c>
      <c r="AV76" s="265"/>
      <c r="AW76" s="265"/>
      <c r="AX76" s="266"/>
      <c r="AY76" s="267"/>
      <c r="AZ76" s="267"/>
      <c r="BA76" s="268"/>
      <c r="BB76" s="269"/>
      <c r="BC76" s="270"/>
      <c r="BD76" s="259"/>
      <c r="BE76" s="209" t="s">
        <v>144</v>
      </c>
      <c r="BF76" s="71">
        <v>4</v>
      </c>
      <c r="BG76" s="33">
        <f>IF(BE76=Цены!$H$3,Цены!$L$3,IF(BE76=Цены!$H$4,Цены!$L$4,IF(BE76=Цены!$H$5,Цены!$L$5,IF(BE76=Цены!$H$6,Цены!$L$6,IF(BE76=Цены!$H$7,Цены!$L$7,IF(BE76=Цены!$H$8,Цены!$L$8,IF(BE76=Цены!$H$9,Цены!$L$9,IF(BE76=Цены!$H$10,Цены!$L$10,IF(BE76=Цены!$H$11,Цены!$L$11,IF(BE76=Цены!$H$12,Цены!$L$12,IF(BE76=Цены!$H$13,Цены!$L$13,IF(BE76=Цены!$H$14,Цены!$L$14,IF(BE76=Цены!$H$14,Цены!$L$14,IF(BE76=Цены!$H$15,Цены!$L$15,IF(BE76=Цены!$H$16,Цены!$L$16,IF(BE76=Цены!$H$17,Цены!$L$17,IF(BE76=Цены!$H$18,Цены!$L$18,IF(BE76=Цены!$H$19,Цены!$L$19,IF(BE76=Цены!$H$20,Цены!$L$20,IF(BE76=Цены!$H$21,Цены!$L$21,IF(BE76=Цены!$H$22,Цены!$L$22,IF(BE76=Цены!$H$23,Цены!$L$23,IF(BE76=Цены!$H$24,Цены!$L$24,IF(BE76=Цены!$H$25,Цены!$L$25,IF(BE76=Цены!$H$26,Цены!$L$26,IF(BE76=Цены!$H$27,Цены!$L$27,IF(BE76=Цены!$H$28,Цены!$L$28,IF(BE76=Цены!$H$29,Цены!$L$29,IF(BE76=Цены!$H$30,Цены!$L$30,IF(BE76=Цены!$H$31,Цены!$L$31,IF(BE76=Цены!$H$32,Цены!$L$32,IF(BE76=Цены!$H$33,Цены!$L$33,IF(BE76=Цены!$H$34,Цены!$L$34,IF(BE76=Цены!$H$35,Цены!$L$35,IF(BE76=Цены!$H$36,Цены!$L$36,IF(BE76=Цены!$H$37,Цены!$L$37,IF(BE76=Цены!$H$38,Цены!$L$38,IF(BE76=Цены!$H$39,Цены!$L$39,IF(BE76=Цены!$H$40,Цены!$L$40,IF(BE76=Цены!$H$41,Цены!$L$41,IF(BE76=Цены!$H$42,Цены!$L$42,IF(BE76=Цены!$H$43,Цены!$L$43,IF(BE76=Цены!$H$44,Цены!$L$44,IF(BE76=Цены!$H$45,Цены!$L$45,IF(BE76=Цены!$H$46,Цены!$L$46,IF(BE76=Цены!$H$47,Цены!$L$47,IF(BE76=Цены!$H$48,Цены!$L$48,IF(BE76=Цены!$H$49,Цены!$L$49,IF(BE76=Цены!$H$50,Цены!$L$50,IF(BE76=Цены!$H$51,Цены!$L$51,IF(BE76=Цены!$H$52,Цены!$L$52,IF(BE76=Цены!$H$53,Цены!$L$53,IF(BE76=Цены!$H$54,Цены!$L$54,IF(BE76=Цены!$H$55,Цены!$L$55))))))))))))))))))))))))))))))))))))))))))))))))))))))</f>
        <v>0.19</v>
      </c>
      <c r="BH76" s="276"/>
      <c r="BI76" s="34">
        <f>IF(BE76=Цены!$H$3,Цены!$K$3,IF(BE76=Цены!$H$4,Цены!$K$4,IF(BE76=Цены!$H$5,Цены!$K$5,IF(BE76=Цены!$H$6,Цены!$K$6,IF(BE76=Цены!$H$7,Цены!$K$7,IF(BE76=Цены!$H$8,Цены!$K$8,IF(BE76=Цены!$H$9,Цены!$K$9,IF(BE76=Цены!$H$10,Цены!$K$10,IF(BE76=Цены!$H$11,Цены!$K$11,IF(BE76=Цены!$H$12,Цены!$K$12,IF(BE76=Цены!$H$13,Цены!$K$13,IF(BE76=Цены!$H$14,Цены!$K$14,IF(BE76=Цены!$H$14,Цены!$K$14,IF(BE76=Цены!$H$15,Цены!$K$15,IF(BE76=Цены!$H$16,Цены!$K$16,IF(BE76=Цены!$H$17,Цены!$K$17,IF(BE76=Цены!$H$18,Цены!$K$18,IF(BE76=Цены!$H$19,Цены!$K$19,IF(BE76=Цены!$H$20,Цены!$K$20,IF(BE76=Цены!$H$21,Цены!$K$21,IF(BE76=Цены!$H$22,Цены!$K$22,IF(BE76=Цены!$H$23,Цены!$K$23,IF(BE76=Цены!$H$24,Цены!$K$24,IF(BE76=Цены!$H$25,Цены!$K$25,IF(BE76=Цены!$H$26,Цены!$K$26,IF(BE76=Цены!$H$27,Цены!$K$27,IF(BE76=Цены!$H$28,Цены!$K$28,IF(BE76=Цены!$H$29,Цены!$K$29,IF(BE76=Цены!$H$30,Цены!$K$30,IF(BE76=Цены!$H$31,Цены!$K$31,IF(BE76=Цены!$H$32,Цены!$K$32,IF(BE76=Цены!$H$33,Цены!$K$33,IF(BE76=Цены!$H$34,Цены!$K$34,IF(BE76=Цены!$H$35,Цены!$K$35,IF(BE76=Цены!$H$36,Цены!$K$36,IF(BE76=Цены!$H$37,Цены!$K$37,IF(BE76=Цены!$H$38,Цены!$K$38,IF(BE76=Цены!$H$39,Цены!$K$39,IF(BE76=Цены!$H$40,Цены!$K$40,IF(BE76=Цены!$H$41,Цены!$K$41,IF(BE76=Цены!$H$42,Цены!$K$42,IF(BE76=Цены!$H$43,Цены!$K$43,IF(BE76=Цены!$H$44,Цены!$K$44,IF(BE76=Цены!$H$45,Цены!$K$45,IF(BE76=Цены!$H$46,Цены!$K$46,IF(BE76=Цены!$H$47,Цены!$K$47,IF(BE76=Цены!$H$48,Цены!$K$48,IF(BE76=Цены!$H$49,Цены!$K$49,IF(BE76=Цены!$H$50,Цены!$K$50,IF(BE76=Цены!$H$51,Цены!$K$51,IF(BE76=Цены!$H$52,Цены!$K$52,IF(BE76=Цены!$H$53,Цены!$K$53,IF(BE76=Цены!$H$54,Цены!$K$54,IF(BE76=Цены!$H$55,Цены!$K$55))))))))))))))))))))))))))))))))))))))))))))))))))))))</f>
        <v>448</v>
      </c>
      <c r="BJ76" s="265"/>
      <c r="BK76" s="265"/>
      <c r="BL76" s="266"/>
      <c r="BM76" s="267"/>
      <c r="BN76" s="267"/>
      <c r="BO76" s="268"/>
      <c r="BP76" s="269"/>
      <c r="BQ76" s="270"/>
      <c r="BR76" s="213" t="s">
        <v>122</v>
      </c>
      <c r="BS76" s="43">
        <v>3</v>
      </c>
      <c r="BT76" s="33">
        <f>IF(BR76=Цены!$H$3,Цены!$L$3,IF(BR76=Цены!$H$4,Цены!$L$4,IF(BR76=Цены!$H$5,Цены!$L$5,IF(BR76=Цены!$H$6,Цены!$L$6,IF(BR76=Цены!$H$7,Цены!$L$7,IF(BR76=Цены!$H$8,Цены!$L$8,IF(BR76=Цены!$H$9,Цены!$L$9,IF(BR76=Цены!$H$10,Цены!$L$10,IF(BR76=Цены!$H$11,Цены!$L$11,IF(BR76=Цены!$H$12,Цены!$L$12,IF(BR76=Цены!$H$13,Цены!$L$13,IF(BR76=Цены!$H$14,Цены!$L$14,IF(BR76=Цены!$H$14,Цены!$L$14,IF(BR76=Цены!$H$15,Цены!$L$15,IF(BR76=Цены!$H$16,Цены!$L$16,IF(BR76=Цены!$H$17,Цены!$L$17,IF(BR76=Цены!$H$18,Цены!$L$18,IF(BR76=Цены!$H$19,Цены!$L$19,IF(BR76=Цены!$H$20,Цены!$L$20,IF(BR76=Цены!$H$21,Цены!$L$21,IF(BR76=Цены!$H$22,Цены!$L$22,IF(BR76=Цены!$H$23,Цены!$L$23,IF(BR76=Цены!$H$24,Цены!$L$24,IF(BR76=Цены!$H$25,Цены!$L$25,IF(BR76=Цены!$H$26,Цены!$L$26,IF(BR76=Цены!$H$27,Цены!$L$27,IF(BR76=Цены!$H$28,Цены!$L$28,IF(BR76=Цены!$H$29,Цены!$L$29,IF(BR76=Цены!$H$30,Цены!$L$30,IF(BR76=Цены!$H$31,Цены!$L$31,IF(BR76=Цены!$H$32,Цены!$L$32,IF(BR76=Цены!$H$33,Цены!$L$33,IF(BR76=Цены!$H$34,Цены!$L$34,IF(BR76=Цены!$H$35,Цены!$L$35,IF(BR76=Цены!$H$36,Цены!$L$36,IF(BR76=Цены!$H$37,Цены!$L$37,IF(BR76=Цены!$H$38,Цены!$L$38,IF(BR76=Цены!$H$39,Цены!$L$39,IF(BR76=Цены!$H$40,Цены!$L$40,IF(BR76=Цены!$H$41,Цены!$L$41,IF(BR76=Цены!$H$42,Цены!$L$42,IF(BR76=Цены!$H$43,Цены!$L$43,IF(BR76=Цены!$H$44,Цены!$L$44,IF(BR76=Цены!$H$45,Цены!$L$45,IF(BR76=Цены!$H$46,Цены!$L$46,IF(BR76=Цены!$H$47,Цены!$L$47,IF(BR76=Цены!$H$48,Цены!$L$48,IF(BR76=Цены!$H$49,Цены!$L$49,IF(BR76=Цены!$H$50,Цены!$L$50,IF(BR76=Цены!$H$51,Цены!$L$51,IF(BR76=Цены!$H$52,Цены!$L$52,IF(BR76=Цены!$H$53,Цены!$L$53,IF(BR76=Цены!$H$54,Цены!$L$54,IF(BR76=Цены!$H$55,Цены!$L$55))))))))))))))))))))))))))))))))))))))))))))))))))))))</f>
        <v>0.6</v>
      </c>
      <c r="BU76" s="276"/>
      <c r="BV76" s="34">
        <f>IF(BR76=Цены!$H$3,Цены!$K$3,IF(BR76=Цены!$H$4,Цены!$K$4,IF(BR76=Цены!$H$5,Цены!$K$5,IF(BR76=Цены!$H$6,Цены!$K$6,IF(BR76=Цены!$H$7,Цены!$K$7,IF(BR76=Цены!$H$8,Цены!$K$8,IF(BR76=Цены!$H$9,Цены!$K$9,IF(BR76=Цены!$H$10,Цены!$K$10,IF(BR76=Цены!$H$11,Цены!$K$11,IF(BR76=Цены!$H$12,Цены!$K$12,IF(BR76=Цены!$H$13,Цены!$K$13,IF(BR76=Цены!$H$14,Цены!$K$14,IF(BR76=Цены!$H$14,Цены!$K$14,IF(BR76=Цены!$H$15,Цены!$K$15,IF(BR76=Цены!$H$16,Цены!$K$16,IF(BR76=Цены!$H$17,Цены!$K$17,IF(BR76=Цены!$H$18,Цены!$K$18,IF(BR76=Цены!$H$19,Цены!$K$19,IF(BR76=Цены!$H$20,Цены!$K$20,IF(BR76=Цены!$H$21,Цены!$K$21,IF(BR76=Цены!$H$22,Цены!$K$22,IF(BR76=Цены!$H$23,Цены!$K$23,IF(BR76=Цены!$H$24,Цены!$K$24,IF(BR76=Цены!$H$25,Цены!$K$25,IF(BR76=Цены!$H$26,Цены!$K$26,IF(BR76=Цены!$H$27,Цены!$K$27,IF(BR76=Цены!$H$28,Цены!$K$28,IF(BR76=Цены!$H$29,Цены!$K$29,IF(BR76=Цены!$H$30,Цены!$K$30,IF(BR76=Цены!$H$31,Цены!$K$31,IF(BR76=Цены!$H$32,Цены!$K$32,IF(BR76=Цены!$H$33,Цены!$K$33,IF(BR76=Цены!$H$34,Цены!$K$34,IF(BR76=Цены!$H$35,Цены!$K$35,IF(BR76=Цены!$H$36,Цены!$K$36,IF(BR76=Цены!$H$37,Цены!$K$37,IF(BR76=Цены!$H$38,Цены!$K$38,IF(BR76=Цены!$H$39,Цены!$K$39,IF(BR76=Цены!$H$40,Цены!$K$40,IF(BR76=Цены!$H$41,Цены!$K$41,IF(BR76=Цены!$H$42,Цены!$K$42,IF(BR76=Цены!$H$43,Цены!$K$43,IF(BR76=Цены!$H$44,Цены!$K$44,IF(BR76=Цены!$H$45,Цены!$K$45,IF(BR76=Цены!$H$46,Цены!$K$46,IF(BR76=Цены!$H$47,Цены!$K$47,IF(BR76=Цены!$H$48,Цены!$K$48,IF(BR76=Цены!$H$49,Цены!$K$49,IF(BR76=Цены!$H$50,Цены!$K$50,IF(BR76=Цены!$H$51,Цены!$K$51,IF(BR76=Цены!$H$52,Цены!$K$52,IF(BR76=Цены!$H$53,Цены!$K$53,IF(BR76=Цены!$H$54,Цены!$K$54,IF(BR76=Цены!$H$55,Цены!$K$55))))))))))))))))))))))))))))))))))))))))))))))))))))))</f>
        <v>166</v>
      </c>
      <c r="BW76" s="265"/>
      <c r="BX76" s="265"/>
      <c r="BY76" s="266"/>
      <c r="BZ76" s="267"/>
      <c r="CA76" s="267"/>
      <c r="CB76" s="268"/>
      <c r="CC76" s="269"/>
      <c r="CD76" s="270"/>
      <c r="CE76" s="171" t="s">
        <v>91</v>
      </c>
      <c r="CF76" s="43">
        <v>1</v>
      </c>
      <c r="CG76" s="33">
        <f>IF(CE76=Цены!$H$3,Цены!$L$3,IF(CE76=Цены!$H$4,Цены!$L$4,IF(CE76=Цены!$H$5,Цены!$L$5,IF(CE76=Цены!$H$6,Цены!$L$6,IF(CE76=Цены!$H$7,Цены!$L$7,IF(CE76=Цены!$H$8,Цены!$L$8,IF(CE76=Цены!$H$9,Цены!$L$9,IF(CE76=Цены!$H$10,Цены!$L$10,IF(CE76=Цены!$H$11,Цены!$L$11,IF(CE76=Цены!$H$12,Цены!$L$12,IF(CE76=Цены!$H$13,Цены!$L$13,IF(CE76=Цены!$H$14,Цены!$L$14,IF(CE76=Цены!$H$14,Цены!$L$14,IF(CE76=Цены!$H$15,Цены!$L$15,IF(CE76=Цены!$H$16,Цены!$L$16,IF(CE76=Цены!$H$17,Цены!$L$17,IF(CE76=Цены!$H$18,Цены!$L$18,IF(CE76=Цены!$H$19,Цены!$L$19,IF(CE76=Цены!$H$20,Цены!$L$20,IF(CE76=Цены!$H$21,Цены!$L$21,IF(CE76=Цены!$H$22,Цены!$L$22,IF(CE76=Цены!$H$23,Цены!$L$23,IF(CE76=Цены!$H$24,Цены!$L$24,IF(CE76=Цены!$H$25,Цены!$L$25,IF(CE76=Цены!$H$26,Цены!$L$26,IF(CE76=Цены!$H$27,Цены!$L$27,IF(CE76=Цены!$H$28,Цены!$L$28,IF(CE76=Цены!$H$29,Цены!$L$29,IF(CE76=Цены!$H$30,Цены!$L$30,IF(CE76=Цены!$H$31,Цены!$L$31,IF(CE76=Цены!$H$32,Цены!$L$32,IF(CE76=Цены!$H$33,Цены!$L$33,IF(CE76=Цены!$H$34,Цены!$L$34,IF(CE76=Цены!$H$35,Цены!$L$35,IF(CE76=Цены!$H$36,Цены!$L$36,IF(CE76=Цены!$H$37,Цены!$L$37,IF(CE76=Цены!$H$38,Цены!$L$38,IF(CE76=Цены!$H$39,Цены!$L$39,IF(CE76=Цены!$H$40,Цены!$L$40,IF(CE76=Цены!$H$41,Цены!$L$41,IF(CE76=Цены!$H$42,Цены!$L$42,IF(CE76=Цены!$H$43,Цены!$L$43,IF(CE76=Цены!$H$44,Цены!$L$44,IF(CE76=Цены!$H$45,Цены!$L$45,IF(CE76=Цены!$H$46,Цены!$L$46,IF(CE76=Цены!$H$47,Цены!$L$47,IF(CE76=Цены!$H$48,Цены!$L$48,IF(CE76=Цены!$H$49,Цены!$L$49,IF(CE76=Цены!$H$50,Цены!$L$50,IF(CE76=Цены!$H$51,Цены!$L$51,IF(CE76=Цены!$H$52,Цены!$L$52,IF(CE76=Цены!$H$53,Цены!$L$53,IF(CE76=Цены!$H$54,Цены!$L$54,IF(CE76=Цены!$H$55,Цены!$L$55))))))))))))))))))))))))))))))))))))))))))))))))))))))</f>
        <v>0.19</v>
      </c>
      <c r="CH76" s="276"/>
      <c r="CI76" s="34">
        <f>IF(CE76=Цены!$H$3,Цены!$K$3,IF(CE76=Цены!$H$4,Цены!$K$4,IF(CE76=Цены!$H$5,Цены!$K$5,IF(CE76=Цены!$H$6,Цены!$K$6,IF(CE76=Цены!$H$7,Цены!$K$7,IF(CE76=Цены!$H$8,Цены!$K$8,IF(CE76=Цены!$H$9,Цены!$K$9,IF(CE76=Цены!$H$10,Цены!$K$10,IF(CE76=Цены!$H$11,Цены!$K$11,IF(CE76=Цены!$H$12,Цены!$K$12,IF(CE76=Цены!$H$13,Цены!$K$13,IF(CE76=Цены!$H$14,Цены!$K$14,IF(CE76=Цены!$H$14,Цены!$K$14,IF(CE76=Цены!$H$15,Цены!$K$15,IF(CE76=Цены!$H$16,Цены!$K$16,IF(CE76=Цены!$H$17,Цены!$K$17,IF(CE76=Цены!$H$18,Цены!$K$18,IF(CE76=Цены!$H$19,Цены!$K$19,IF(CE76=Цены!$H$20,Цены!$K$20,IF(CE76=Цены!$H$21,Цены!$K$21,IF(CE76=Цены!$H$22,Цены!$K$22,IF(CE76=Цены!$H$23,Цены!$K$23,IF(CE76=Цены!$H$24,Цены!$K$24,IF(CE76=Цены!$H$25,Цены!$K$25,IF(CE76=Цены!$H$26,Цены!$K$26,IF(CE76=Цены!$H$27,Цены!$K$27,IF(CE76=Цены!$H$28,Цены!$K$28,IF(CE76=Цены!$H$29,Цены!$K$29,IF(CE76=Цены!$H$30,Цены!$K$30,IF(CE76=Цены!$H$31,Цены!$K$31,IF(CE76=Цены!$H$32,Цены!$K$32,IF(CE76=Цены!$H$33,Цены!$K$33,IF(CE76=Цены!$H$34,Цены!$K$34,IF(CE76=Цены!$H$35,Цены!$K$35,IF(CE76=Цены!$H$36,Цены!$K$36,IF(CE76=Цены!$H$37,Цены!$K$37,IF(CE76=Цены!$H$38,Цены!$K$38,IF(CE76=Цены!$H$39,Цены!$K$39,IF(CE76=Цены!$H$40,Цены!$K$40,IF(CE76=Цены!$H$41,Цены!$K$41,IF(CE76=Цены!$H$42,Цены!$K$42,IF(CE76=Цены!$H$43,Цены!$K$43,IF(CE76=Цены!$H$44,Цены!$K$44,IF(CE76=Цены!$H$45,Цены!$K$45,IF(CE76=Цены!$H$46,Цены!$K$46,IF(CE76=Цены!$H$47,Цены!$K$47,IF(CE76=Цены!$H$48,Цены!$K$48,IF(CE76=Цены!$H$49,Цены!$K$49,IF(CE76=Цены!$H$50,Цены!$K$50,IF(CE76=Цены!$H$51,Цены!$K$51,IF(CE76=Цены!$H$52,Цены!$K$52,IF(CE76=Цены!$H$53,Цены!$K$53,IF(CE76=Цены!$H$54,Цены!$K$54,IF(CE76=Цены!$H$55,Цены!$K$55))))))))))))))))))))))))))))))))))))))))))))))))))))))</f>
        <v>448</v>
      </c>
      <c r="CJ76" s="265"/>
      <c r="CK76" s="265"/>
      <c r="CL76" s="266"/>
      <c r="CM76" s="267"/>
      <c r="CN76" s="267"/>
      <c r="CO76" s="268"/>
      <c r="CP76" s="269"/>
      <c r="CQ76" s="270"/>
    </row>
    <row r="77" spans="1:95" x14ac:dyDescent="0.25">
      <c r="A77" s="353"/>
      <c r="B77" s="265"/>
      <c r="C77" s="265"/>
      <c r="D77" s="171" t="s">
        <v>123</v>
      </c>
      <c r="E77" s="167">
        <v>4</v>
      </c>
      <c r="F77" s="27">
        <f>IF(D77=Цены!$H$3,Цены!$L$3,IF(D77=Цены!$H$4,Цены!$L$4,IF(D77=Цены!$H$5,Цены!$L$5,IF(D77=Цены!$H$6,Цены!$L$6,IF(D77=Цены!$H$7,Цены!$L$7,IF(D77=Цены!$H$8,Цены!$L$8,IF(D77=Цены!$H$9,Цены!$L$9,IF(D77=Цены!$H$10,Цены!$L$10,IF(D77=Цены!$H$11,Цены!$L$11,IF(D77=Цены!$H$12,Цены!$L$12,IF(D77=Цены!$H$13,Цены!$L$13,IF(D77=Цены!$H$14,Цены!$L$14,IF(D77=Цены!$H$14,Цены!$L$14,IF(D77=Цены!$H$15,Цены!$L$15,IF(D77=Цены!$H$16,Цены!$L$16,IF(D77=Цены!$H$17,Цены!$L$17,IF(D77=Цены!$H$18,Цены!$L$18,IF(D77=Цены!$H$19,Цены!$L$19,IF(D77=Цены!$H$20,Цены!$L$20,IF(D77=Цены!$H$21,Цены!$L$21,IF(D77=Цены!$H$22,Цены!$L$22,IF(D77=Цены!$H$23,Цены!$L$23,IF(D77=Цены!$H$24,Цены!$L$24,IF(D77=Цены!$H$25,Цены!$L$25,IF(D77=Цены!$H$26,Цены!$L$26,IF(D77=Цены!$H$27,Цены!$L$27,IF(D77=Цены!$H$28,Цены!$L$28,IF(D77=Цены!$H$29,Цены!$L$29,IF(D77=Цены!$H$30,Цены!$L$30,IF(D77=Цены!$H$31,Цены!$L$31,IF(D77=Цены!$H$32,Цены!$L$32,IF(D77=Цены!$H$33,Цены!$L$33,IF(D77=Цены!$H$34,Цены!$L$34,IF(D77=Цены!$H$35,Цены!$L$35,IF(D77=Цены!$H$36,Цены!$L$36,IF(D77=Цены!$H$37,Цены!$L$37,IF(D77=Цены!$H$38,Цены!$L$38,IF(D77=Цены!$H$39,Цены!$L$39,IF(D77=Цены!$H$40,Цены!$L$40,IF(D77=Цены!$H$41,Цены!$L$41,IF(D77=Цены!$H$42,Цены!$L$42,IF(D77=Цены!$H$43,Цены!$L$43,IF(D77=Цены!$H$44,Цены!$L$44,IF(D77=Цены!$H$45,Цены!$L$45,IF(D77=Цены!$H$46,Цены!$L$46,IF(D77=Цены!$H$47,Цены!$L$47,IF(D77=Цены!$H$48,Цены!$L$48,IF(D77=Цены!$H$49,Цены!$L$49,IF(D77=Цены!$H$50,Цены!$L$50,IF(D77=Цены!$H$51,Цены!$L$51,IF(D77=Цены!$H$52,Цены!$L$52,IF(D77=Цены!$H$53,Цены!$L$53,IF(D77=Цены!$H$54,Цены!$L$54,IF(D77=Цены!$H$55,Цены!$L$55))))))))))))))))))))))))))))))))))))))))))))))))))))))</f>
        <v>0.39</v>
      </c>
      <c r="G77" s="309"/>
      <c r="H77" s="28">
        <f>IF(D77=Цены!$H$3,Цены!$K$3,IF(D77=Цены!$H$4,Цены!$K$4,IF(D77=Цены!$H$5,Цены!$K$5,IF(D77=Цены!$H$6,Цены!$K$6,IF(D77=Цены!$H$7,Цены!$K$7,IF(D77=Цены!$H$8,Цены!$K$8,IF(D77=Цены!$H$9,Цены!$K$9,IF(D77=Цены!$H$10,Цены!$K$10,IF(D77=Цены!$H$11,Цены!$K$11,IF(D77=Цены!$H$12,Цены!$K$12,IF(D77=Цены!$H$13,Цены!$K$13,IF(D77=Цены!$H$14,Цены!$K$14,IF(D77=Цены!$H$14,Цены!$K$14,IF(D77=Цены!$H$15,Цены!$K$15,IF(D77=Цены!$H$16,Цены!$K$16,IF(D77=Цены!$H$17,Цены!$K$17,IF(D77=Цены!$H$18,Цены!$K$18,IF(D77=Цены!$H$19,Цены!$K$19,IF(D77=Цены!$H$20,Цены!$K$20,IF(D77=Цены!$H$21,Цены!$K$21,IF(D77=Цены!$H$22,Цены!$K$22,IF(D77=Цены!$H$23,Цены!$K$23,IF(D77=Цены!$H$24,Цены!$K$24,IF(D77=Цены!$H$25,Цены!$K$25,IF(D77=Цены!$H$26,Цены!$K$26,IF(D77=Цены!$H$27,Цены!$K$27,IF(D77=Цены!$H$28,Цены!$K$28,IF(D77=Цены!$H$29,Цены!$K$29,IF(D77=Цены!$H$30,Цены!$K$30,IF(D77=Цены!$H$31,Цены!$K$31,IF(D77=Цены!$H$32,Цены!$K$32,IF(D77=Цены!$H$33,Цены!$K$33,IF(D77=Цены!$H$34,Цены!$K$34,IF(D77=Цены!$H$35,Цены!$K$35,IF(D77=Цены!$H$36,Цены!$K$36,IF(D77=Цены!$H$37,Цены!$K$37,IF(D77=Цены!$H$38,Цены!$K$38,IF(D77=Цены!$H$39,Цены!$K$39,IF(D77=Цены!$H$40,Цены!$K$40,IF(D77=Цены!$H$41,Цены!$K$41,IF(D77=Цены!$H$42,Цены!$K$42,IF(D77=Цены!$H$43,Цены!$K$43,IF(D77=Цены!$H$44,Цены!$K$44,IF(D77=Цены!$H$45,Цены!$K$45,IF(D77=Цены!$H$46,Цены!$K$46,IF(D77=Цены!$H$47,Цены!$K$47,IF(D77=Цены!$H$48,Цены!$K$48,IF(D77=Цены!$H$49,Цены!$K$49,IF(D77=Цены!$H$50,Цены!$K$50,IF(D77=Цены!$H$51,Цены!$K$51,IF(D77=Цены!$H$52,Цены!$K$52,IF(D77=Цены!$H$53,Цены!$K$53,IF(D77=Цены!$H$54,Цены!$K$54,IF(D77=Цены!$H$55,Цены!$K$55))))))))))))))))))))))))))))))))))))))))))))))))))))))</f>
        <v>624</v>
      </c>
      <c r="I77" s="265"/>
      <c r="J77" s="265"/>
      <c r="K77" s="266"/>
      <c r="L77" s="267"/>
      <c r="M77" s="267"/>
      <c r="N77" s="268"/>
      <c r="O77" s="310"/>
      <c r="P77" s="270"/>
      <c r="Q77" s="210"/>
      <c r="R77" s="30"/>
      <c r="S77" s="27" t="b">
        <f>IF(Q77=Цены!$H$3,Цены!$L$3,IF(Q77=Цены!$H$4,Цены!$L$4,IF(Q77=Цены!$H$5,Цены!$L$5,IF(Q77=Цены!$H$6,Цены!$L$6,IF(Q77=Цены!$H$7,Цены!$L$7,IF(Q77=Цены!$H$8,Цены!$L$8,IF(Q77=Цены!$H$9,Цены!$L$9,IF(Q77=Цены!$H$10,Цены!$L$10,IF(Q77=Цены!$H$11,Цены!$L$11,IF(Q77=Цены!$H$12,Цены!$L$12,IF(Q77=Цены!$H$13,Цены!$L$13,IF(Q77=Цены!$H$14,Цены!$L$14,IF(Q77=Цены!$H$14,Цены!$L$14,IF(Q77=Цены!$H$15,Цены!$L$15,IF(Q77=Цены!$H$16,Цены!$L$16,IF(Q77=Цены!$H$17,Цены!$L$17,IF(Q77=Цены!$H$18,Цены!$L$18,IF(Q77=Цены!$H$19,Цены!$L$19,IF(Q77=Цены!$H$20,Цены!$L$20,IF(Q77=Цены!$H$21,Цены!$L$21,IF(Q77=Цены!$H$22,Цены!$L$22,IF(Q77=Цены!$H$23,Цены!$L$23,IF(Q77=Цены!$H$24,Цены!$L$24,IF(Q77=Цены!$H$25,Цены!$L$25,IF(Q77=Цены!$H$26,Цены!$L$26,IF(Q77=Цены!$H$27,Цены!$L$27,IF(Q77=Цены!$H$28,Цены!$L$28,IF(Q77=Цены!$H$29,Цены!$L$29,IF(Q77=Цены!$H$30,Цены!$L$30,IF(Q77=Цены!$H$31,Цены!$L$31,IF(Q77=Цены!$H$32,Цены!$L$32,IF(Q77=Цены!$H$33,Цены!$L$33,IF(Q77=Цены!$H$34,Цены!$L$34,IF(Q77=Цены!$H$35,Цены!$L$35,IF(Q77=Цены!$H$36,Цены!$L$36,IF(Q77=Цены!$H$37,Цены!$L$37,IF(Q77=Цены!$H$38,Цены!$L$38,IF(Q77=Цены!$H$39,Цены!$L$39,IF(Q77=Цены!$H$40,Цены!$L$40,IF(Q77=Цены!$H$41,Цены!$L$41,IF(Q77=Цены!$H$42,Цены!$L$42,IF(Q77=Цены!$H$43,Цены!$L$43,IF(Q77=Цены!$H$44,Цены!$L$44,IF(Q77=Цены!$H$45,Цены!$L$45,IF(Q77=Цены!$H$46,Цены!$L$46,IF(Q77=Цены!$H$47,Цены!$L$47,IF(Q77=Цены!$H$48,Цены!$L$48,IF(Q77=Цены!$H$49,Цены!$L$49,IF(Q77=Цены!$H$50,Цены!$L$50,IF(Q77=Цены!$H$51,Цены!$L$51,IF(Q77=Цены!$H$52,Цены!$L$52,IF(Q77=Цены!$H$53,Цены!$L$53,IF(Q77=Цены!$H$54,Цены!$L$54,IF(Q77=Цены!$H$55,Цены!$L$55))))))))))))))))))))))))))))))))))))))))))))))))))))))</f>
        <v>0</v>
      </c>
      <c r="T77" s="309"/>
      <c r="U77" s="162" t="b">
        <f>IF(Q77=Цены!$H$3,Цены!$K$3,IF(Q77=Цены!$H$4,Цены!$K$4,IF(Q77=Цены!$H$5,Цены!$K$5,IF(Q77=Цены!$H$6,Цены!$K$6,IF(Q77=Цены!$H$7,Цены!$K$7,IF(Q77=Цены!$H$8,Цены!$K$8,IF(Q77=Цены!$H$9,Цены!$K$9,IF(Q77=Цены!$H$10,Цены!$K$10,IF(Q77=Цены!$H$11,Цены!$K$11,IF(Q77=Цены!$H$12,Цены!$K$12,IF(Q77=Цены!$H$13,Цены!$K$13,IF(Q77=Цены!$H$14,Цены!$K$14,IF(Q77=Цены!$H$14,Цены!$K$14,IF(Q77=Цены!$H$15,Цены!$K$15,IF(Q77=Цены!$H$16,Цены!$K$16,IF(Q77=Цены!$H$17,Цены!$K$17,IF(Q77=Цены!$H$18,Цены!$K$18,IF(Q77=Цены!$H$19,Цены!$K$19,IF(Q77=Цены!$H$20,Цены!$K$20,IF(Q77=Цены!$H$21,Цены!$K$21,IF(Q77=Цены!$H$22,Цены!$K$22,IF(Q77=Цены!$H$23,Цены!$K$23,IF(Q77=Цены!$H$24,Цены!$K$24,IF(Q77=Цены!$H$25,Цены!$K$25,IF(Q77=Цены!$H$26,Цены!$K$26,IF(Q77=Цены!$H$27,Цены!$K$27,IF(Q77=Цены!$H$28,Цены!$K$28,IF(Q77=Цены!$H$29,Цены!$K$29,IF(Q77=Цены!$H$30,Цены!$K$30,IF(Q77=Цены!$H$31,Цены!$K$31,IF(Q77=Цены!$H$32,Цены!$K$32,IF(Q77=Цены!$H$33,Цены!$K$33,IF(Q77=Цены!$H$34,Цены!$K$34,IF(Q77=Цены!$H$35,Цены!$K$35,IF(Q77=Цены!$H$36,Цены!$K$36,IF(Q77=Цены!$H$37,Цены!$K$37,IF(Q77=Цены!$H$38,Цены!$K$38,IF(Q77=Цены!$H$39,Цены!$K$39,IF(Q77=Цены!$H$40,Цены!$K$40,IF(Q77=Цены!$H$41,Цены!$K$41,IF(Q77=Цены!$H$42,Цены!$K$42,IF(Q77=Цены!$H$43,Цены!$K$43,IF(Q77=Цены!$H$44,Цены!$K$44,IF(Q77=Цены!$H$45,Цены!$K$45,IF(Q77=Цены!$H$46,Цены!$K$46,IF(Q77=Цены!$H$47,Цены!$K$47,IF(Q77=Цены!$H$48,Цены!$K$48,IF(Q77=Цены!$H$49,Цены!$K$49,IF(Q77=Цены!$H$50,Цены!$K$50,IF(Q77=Цены!$H$51,Цены!$K$51,IF(Q77=Цены!$H$52,Цены!$K$52,IF(Q77=Цены!$H$53,Цены!$K$53,IF(Q77=Цены!$H$54,Цены!$K$54,IF(Q77=Цены!$H$55,Цены!$K$55))))))))))))))))))))))))))))))))))))))))))))))))))))))</f>
        <v>0</v>
      </c>
      <c r="V77" s="265"/>
      <c r="W77" s="265"/>
      <c r="X77" s="266"/>
      <c r="Y77" s="267"/>
      <c r="Z77" s="267"/>
      <c r="AA77" s="320"/>
      <c r="AB77" s="310"/>
      <c r="AC77" s="270"/>
      <c r="AD77" s="209" t="s">
        <v>88</v>
      </c>
      <c r="AE77" s="30">
        <v>5</v>
      </c>
      <c r="AF77" s="27">
        <f>IF(AD77=Цены!$H$3,Цены!$L$3,IF(AD77=Цены!$H$4,Цены!$L$4,IF(AD77=Цены!$H$5,Цены!$L$5,IF(AD77=Цены!$H$6,Цены!$L$6,IF(AD77=Цены!$H$7,Цены!$L$7,IF(AD77=Цены!$H$8,Цены!$L$8,IF(AD77=Цены!$H$9,Цены!$L$9,IF(AD77=Цены!$H$10,Цены!$L$10,IF(AD77=Цены!$H$11,Цены!$L$11,IF(AD77=Цены!$H$12,Цены!$L$12,IF(AD77=Цены!$H$13,Цены!$L$13,IF(AD77=Цены!$H$14,Цены!$L$14,IF(AD77=Цены!$H$14,Цены!$L$14,IF(AD77=Цены!$H$15,Цены!$L$15,IF(AD77=Цены!$H$16,Цены!$L$16,IF(AD77=Цены!$H$17,Цены!$L$17,IF(AD77=Цены!$H$18,Цены!$L$18,IF(AD77=Цены!$H$19,Цены!$L$19,IF(AD77=Цены!$H$20,Цены!$L$20,IF(AD77=Цены!$H$21,Цены!$L$21,IF(AD77=Цены!$H$22,Цены!$L$22,IF(AD77=Цены!$H$23,Цены!$L$23,IF(AD77=Цены!$H$24,Цены!$L$24,IF(AD77=Цены!$H$25,Цены!$L$25,IF(AD77=Цены!$H$26,Цены!$L$26,IF(AD77=Цены!$H$27,Цены!$L$27,IF(AD77=Цены!$H$28,Цены!$L$28,IF(AD77=Цены!$H$29,Цены!$L$29,IF(AD77=Цены!$H$30,Цены!$L$30,IF(AD77=Цены!$H$31,Цены!$L$31,IF(AD77=Цены!$H$32,Цены!$L$32,IF(AD77=Цены!$H$33,Цены!$L$33,IF(AD77=Цены!$H$34,Цены!$L$34,IF(AD77=Цены!$H$35,Цены!$L$35,IF(AD77=Цены!$H$36,Цены!$L$36,IF(AD77=Цены!$H$37,Цены!$L$37,IF(AD77=Цены!$H$38,Цены!$L$38,IF(AD77=Цены!$H$39,Цены!$L$39,IF(AD77=Цены!$H$40,Цены!$L$40,IF(AD77=Цены!$H$41,Цены!$L$41,IF(AD77=Цены!$H$42,Цены!$L$42,IF(AD77=Цены!$H$43,Цены!$L$43,IF(AD77=Цены!$H$44,Цены!$L$44,IF(AD77=Цены!$H$45,Цены!$L$45,IF(AD77=Цены!$H$46,Цены!$L$46,IF(AD77=Цены!$H$47,Цены!$L$47,IF(AD77=Цены!$H$48,Цены!$L$48,IF(AD77=Цены!$H$49,Цены!$L$49,IF(AD77=Цены!$H$50,Цены!$L$50,IF(AD77=Цены!$H$51,Цены!$L$51,IF(AD77=Цены!$H$52,Цены!$L$52,IF(AD77=Цены!$H$53,Цены!$L$53,IF(AD77=Цены!$H$54,Цены!$L$54,IF(AD77=Цены!$H$55,Цены!$L$55))))))))))))))))))))))))))))))))))))))))))))))))))))))</f>
        <v>1.8</v>
      </c>
      <c r="AG77" s="309"/>
      <c r="AH77" s="28">
        <f>IF(AD77=Цены!$H$3,Цены!$K$3,IF(AD77=Цены!$H$4,Цены!$K$4,IF(AD77=Цены!$H$5,Цены!$K$5,IF(AD77=Цены!$H$6,Цены!$K$6,IF(AD77=Цены!$H$7,Цены!$K$7,IF(AD77=Цены!$H$8,Цены!$K$8,IF(AD77=Цены!$H$9,Цены!$K$9,IF(AD77=Цены!$H$10,Цены!$K$10,IF(AD77=Цены!$H$11,Цены!$K$11,IF(AD77=Цены!$H$12,Цены!$K$12,IF(AD77=Цены!$H$13,Цены!$K$13,IF(AD77=Цены!$H$14,Цены!$K$14,IF(AD77=Цены!$H$14,Цены!$K$14,IF(AD77=Цены!$H$15,Цены!$K$15,IF(AD77=Цены!$H$16,Цены!$K$16,IF(AD77=Цены!$H$17,Цены!$K$17,IF(AD77=Цены!$H$18,Цены!$K$18,IF(AD77=Цены!$H$19,Цены!$K$19,IF(AD77=Цены!$H$20,Цены!$K$20,IF(AD77=Цены!$H$21,Цены!$K$21,IF(AD77=Цены!$H$22,Цены!$K$22,IF(AD77=Цены!$H$23,Цены!$K$23,IF(AD77=Цены!$H$24,Цены!$K$24,IF(AD77=Цены!$H$25,Цены!$K$25,IF(AD77=Цены!$H$26,Цены!$K$26,IF(AD77=Цены!$H$27,Цены!$K$27,IF(AD77=Цены!$H$28,Цены!$K$28,IF(AD77=Цены!$H$29,Цены!$K$29,IF(AD77=Цены!$H$30,Цены!$K$30,IF(AD77=Цены!$H$31,Цены!$K$31,IF(AD77=Цены!$H$32,Цены!$K$32,IF(AD77=Цены!$H$33,Цены!$K$33,IF(AD77=Цены!$H$34,Цены!$K$34,IF(AD77=Цены!$H$35,Цены!$K$35,IF(AD77=Цены!$H$36,Цены!$K$36,IF(AD77=Цены!$H$37,Цены!$K$37,IF(AD77=Цены!$H$38,Цены!$K$38,IF(AD77=Цены!$H$39,Цены!$K$39,IF(AD77=Цены!$H$40,Цены!$K$40,IF(AD77=Цены!$H$41,Цены!$K$41,IF(AD77=Цены!$H$42,Цены!$K$42,IF(AD77=Цены!$H$43,Цены!$K$43,IF(AD77=Цены!$H$44,Цены!$K$44,IF(AD77=Цены!$H$45,Цены!$K$45,IF(AD77=Цены!$H$46,Цены!$K$46,IF(AD77=Цены!$H$47,Цены!$K$47,IF(AD77=Цены!$H$48,Цены!$K$48,IF(AD77=Цены!$H$49,Цены!$K$49,IF(AD77=Цены!$H$50,Цены!$K$50,IF(AD77=Цены!$H$51,Цены!$K$51,IF(AD77=Цены!$H$52,Цены!$K$52,IF(AD77=Цены!$H$53,Цены!$K$53,IF(AD77=Цены!$H$54,Цены!$K$54,IF(AD77=Цены!$H$55,Цены!$K$55))))))))))))))))))))))))))))))))))))))))))))))))))))))</f>
        <v>388</v>
      </c>
      <c r="AI77" s="265"/>
      <c r="AJ77" s="265"/>
      <c r="AK77" s="266"/>
      <c r="AL77" s="267"/>
      <c r="AM77" s="267"/>
      <c r="AN77" s="268"/>
      <c r="AO77" s="310"/>
      <c r="AP77" s="270"/>
      <c r="AQ77" s="209"/>
      <c r="AR77" s="129"/>
      <c r="AS77" s="33" t="b">
        <f>IF(AQ77=Цены!$H$3,Цены!$L$3,IF(AQ77=Цены!$H$4,Цены!$L$4,IF(AQ77=Цены!$H$5,Цены!$L$5,IF(AQ77=Цены!$H$6,Цены!$L$6,IF(AQ77=Цены!$H$7,Цены!$L$7,IF(AQ77=Цены!$H$8,Цены!$L$8,IF(AQ77=Цены!$H$9,Цены!$L$9,IF(AQ77=Цены!$H$10,Цены!$L$10,IF(AQ77=Цены!$H$11,Цены!$L$11,IF(AQ77=Цены!$H$12,Цены!$L$12,IF(AQ77=Цены!$H$13,Цены!$L$13,IF(AQ77=Цены!$H$14,Цены!$L$14,IF(AQ77=Цены!$H$14,Цены!$L$14,IF(AQ77=Цены!$H$15,Цены!$L$15,IF(AQ77=Цены!$H$16,Цены!$L$16,IF(AQ77=Цены!$H$17,Цены!$L$17,IF(AQ77=Цены!$H$18,Цены!$L$18,IF(AQ77=Цены!$H$19,Цены!$L$19,IF(AQ77=Цены!$H$20,Цены!$L$20,IF(AQ77=Цены!$H$21,Цены!$L$21,IF(AQ77=Цены!$H$22,Цены!$L$22,IF(AQ77=Цены!$H$23,Цены!$L$23,IF(AQ77=Цены!$H$24,Цены!$L$24,IF(AQ77=Цены!$H$25,Цены!$L$25,IF(AQ77=Цены!$H$26,Цены!$L$26,IF(AQ77=Цены!$H$27,Цены!$L$27,IF(AQ77=Цены!$H$28,Цены!$L$28,IF(AQ77=Цены!$H$29,Цены!$L$29,IF(AQ77=Цены!$H$30,Цены!$L$30,IF(AQ77=Цены!$H$31,Цены!$L$31,IF(AQ77=Цены!$H$32,Цены!$L$32,IF(AQ77=Цены!$H$33,Цены!$L$33,IF(AQ77=Цены!$H$34,Цены!$L$34,IF(AQ77=Цены!$H$35,Цены!$L$35,IF(AQ77=Цены!$H$36,Цены!$L$36,IF(AQ77=Цены!$H$37,Цены!$L$37,IF(AQ77=Цены!$H$38,Цены!$L$38,IF(AQ77=Цены!$H$39,Цены!$L$39,IF(AQ77=Цены!$H$40,Цены!$L$40,IF(AQ77=Цены!$H$41,Цены!$L$41,IF(AQ77=Цены!$H$42,Цены!$L$42,IF(AQ77=Цены!$H$43,Цены!$L$43,IF(AQ77=Цены!$H$44,Цены!$L$44,IF(AQ77=Цены!$H$45,Цены!$L$45,IF(AQ77=Цены!$H$46,Цены!$L$46,IF(AQ77=Цены!$H$47,Цены!$L$47,IF(AQ77=Цены!$H$48,Цены!$L$48,IF(AQ77=Цены!$H$49,Цены!$L$49,IF(AQ77=Цены!$H$50,Цены!$L$50,IF(AQ77=Цены!$H$51,Цены!$L$51,IF(AQ77=Цены!$H$52,Цены!$L$52,IF(AQ77=Цены!$H$53,Цены!$L$53,IF(AQ77=Цены!$H$54,Цены!$L$54,IF(AQ77=Цены!$H$55,Цены!$L$55))))))))))))))))))))))))))))))))))))))))))))))))))))))</f>
        <v>0</v>
      </c>
      <c r="AT77" s="276"/>
      <c r="AU77" s="34" t="b">
        <f>IF(AQ77=Цены!$H$3,Цены!$K$3,IF(AQ77=Цены!$H$4,Цены!$K$4,IF(AQ77=Цены!$H$5,Цены!$K$5,IF(AQ77=Цены!$H$6,Цены!$K$6,IF(AQ77=Цены!$H$7,Цены!$K$7,IF(AQ77=Цены!$H$8,Цены!$K$8,IF(AQ77=Цены!$H$9,Цены!$K$9,IF(AQ77=Цены!$H$10,Цены!$K$10,IF(AQ77=Цены!$H$11,Цены!$K$11,IF(AQ77=Цены!$H$12,Цены!$K$12,IF(AQ77=Цены!$H$13,Цены!$K$13,IF(AQ77=Цены!$H$14,Цены!$K$14,IF(AQ77=Цены!$H$14,Цены!$K$14,IF(AQ77=Цены!$H$15,Цены!$K$15,IF(AQ77=Цены!$H$16,Цены!$K$16,IF(AQ77=Цены!$H$17,Цены!$K$17,IF(AQ77=Цены!$H$18,Цены!$K$18,IF(AQ77=Цены!$H$19,Цены!$K$19,IF(AQ77=Цены!$H$20,Цены!$K$20,IF(AQ77=Цены!$H$21,Цены!$K$21,IF(AQ77=Цены!$H$22,Цены!$K$22,IF(AQ77=Цены!$H$23,Цены!$K$23,IF(AQ77=Цены!$H$24,Цены!$K$24,IF(AQ77=Цены!$H$25,Цены!$K$25,IF(AQ77=Цены!$H$26,Цены!$K$26,IF(AQ77=Цены!$H$27,Цены!$K$27,IF(AQ77=Цены!$H$28,Цены!$K$28,IF(AQ77=Цены!$H$29,Цены!$K$29,IF(AQ77=Цены!$H$30,Цены!$K$30,IF(AQ77=Цены!$H$31,Цены!$K$31,IF(AQ77=Цены!$H$32,Цены!$K$32,IF(AQ77=Цены!$H$33,Цены!$K$33,IF(AQ77=Цены!$H$34,Цены!$K$34,IF(AQ77=Цены!$H$35,Цены!$K$35,IF(AQ77=Цены!$H$36,Цены!$K$36,IF(AQ77=Цены!$H$37,Цены!$K$37,IF(AQ77=Цены!$H$38,Цены!$K$38,IF(AQ77=Цены!$H$39,Цены!$K$39,IF(AQ77=Цены!$H$40,Цены!$K$40,IF(AQ77=Цены!$H$41,Цены!$K$41,IF(AQ77=Цены!$H$42,Цены!$K$42,IF(AQ77=Цены!$H$43,Цены!$K$43,IF(AQ77=Цены!$H$44,Цены!$K$44,IF(AQ77=Цены!$H$45,Цены!$K$45,IF(AQ77=Цены!$H$46,Цены!$K$46,IF(AQ77=Цены!$H$47,Цены!$K$47,IF(AQ77=Цены!$H$48,Цены!$K$48,IF(AQ77=Цены!$H$49,Цены!$K$49,IF(AQ77=Цены!$H$50,Цены!$K$50,IF(AQ77=Цены!$H$51,Цены!$K$51,IF(AQ77=Цены!$H$52,Цены!$K$52,IF(AQ77=Цены!$H$53,Цены!$K$53,IF(AQ77=Цены!$H$54,Цены!$K$54,IF(AQ77=Цены!$H$55,Цены!$K$55))))))))))))))))))))))))))))))))))))))))))))))))))))))</f>
        <v>0</v>
      </c>
      <c r="AV77" s="265"/>
      <c r="AW77" s="265"/>
      <c r="AX77" s="266"/>
      <c r="AY77" s="267"/>
      <c r="AZ77" s="267"/>
      <c r="BA77" s="268"/>
      <c r="BB77" s="269"/>
      <c r="BC77" s="270"/>
      <c r="BD77" s="259"/>
      <c r="BE77" s="210"/>
      <c r="BF77" s="71"/>
      <c r="BG77" s="33" t="b">
        <f>IF(BE77=Цены!$H$3,Цены!$L$3,IF(BE77=Цены!$H$4,Цены!$L$4,IF(BE77=Цены!$H$5,Цены!$L$5,IF(BE77=Цены!$H$6,Цены!$L$6,IF(BE77=Цены!$H$7,Цены!$L$7,IF(BE77=Цены!$H$8,Цены!$L$8,IF(BE77=Цены!$H$9,Цены!$L$9,IF(BE77=Цены!$H$10,Цены!$L$10,IF(BE77=Цены!$H$11,Цены!$L$11,IF(BE77=Цены!$H$12,Цены!$L$12,IF(BE77=Цены!$H$13,Цены!$L$13,IF(BE77=Цены!$H$14,Цены!$L$14,IF(BE77=Цены!$H$14,Цены!$L$14,IF(BE77=Цены!$H$15,Цены!$L$15,IF(BE77=Цены!$H$16,Цены!$L$16,IF(BE77=Цены!$H$17,Цены!$L$17,IF(BE77=Цены!$H$18,Цены!$L$18,IF(BE77=Цены!$H$19,Цены!$L$19,IF(BE77=Цены!$H$20,Цены!$L$20,IF(BE77=Цены!$H$21,Цены!$L$21,IF(BE77=Цены!$H$22,Цены!$L$22,IF(BE77=Цены!$H$23,Цены!$L$23,IF(BE77=Цены!$H$24,Цены!$L$24,IF(BE77=Цены!$H$25,Цены!$L$25,IF(BE77=Цены!$H$26,Цены!$L$26,IF(BE77=Цены!$H$27,Цены!$L$27,IF(BE77=Цены!$H$28,Цены!$L$28,IF(BE77=Цены!$H$29,Цены!$L$29,IF(BE77=Цены!$H$30,Цены!$L$30,IF(BE77=Цены!$H$31,Цены!$L$31,IF(BE77=Цены!$H$32,Цены!$L$32,IF(BE77=Цены!$H$33,Цены!$L$33,IF(BE77=Цены!$H$34,Цены!$L$34,IF(BE77=Цены!$H$35,Цены!$L$35,IF(BE77=Цены!$H$36,Цены!$L$36,IF(BE77=Цены!$H$37,Цены!$L$37,IF(BE77=Цены!$H$38,Цены!$L$38,IF(BE77=Цены!$H$39,Цены!$L$39,IF(BE77=Цены!$H$40,Цены!$L$40,IF(BE77=Цены!$H$41,Цены!$L$41,IF(BE77=Цены!$H$42,Цены!$L$42,IF(BE77=Цены!$H$43,Цены!$L$43,IF(BE77=Цены!$H$44,Цены!$L$44,IF(BE77=Цены!$H$45,Цены!$L$45,IF(BE77=Цены!$H$46,Цены!$L$46,IF(BE77=Цены!$H$47,Цены!$L$47,IF(BE77=Цены!$H$48,Цены!$L$48,IF(BE77=Цены!$H$49,Цены!$L$49,IF(BE77=Цены!$H$50,Цены!$L$50,IF(BE77=Цены!$H$51,Цены!$L$51,IF(BE77=Цены!$H$52,Цены!$L$52,IF(BE77=Цены!$H$53,Цены!$L$53,IF(BE77=Цены!$H$54,Цены!$L$54,IF(BE77=Цены!$H$55,Цены!$L$55))))))))))))))))))))))))))))))))))))))))))))))))))))))</f>
        <v>0</v>
      </c>
      <c r="BH77" s="276"/>
      <c r="BI77" s="34" t="b">
        <f>IF(BE77=Цены!$H$3,Цены!$K$3,IF(BE77=Цены!$H$4,Цены!$K$4,IF(BE77=Цены!$H$5,Цены!$K$5,IF(BE77=Цены!$H$6,Цены!$K$6,IF(BE77=Цены!$H$7,Цены!$K$7,IF(BE77=Цены!$H$8,Цены!$K$8,IF(BE77=Цены!$H$9,Цены!$K$9,IF(BE77=Цены!$H$10,Цены!$K$10,IF(BE77=Цены!$H$11,Цены!$K$11,IF(BE77=Цены!$H$12,Цены!$K$12,IF(BE77=Цены!$H$13,Цены!$K$13,IF(BE77=Цены!$H$14,Цены!$K$14,IF(BE77=Цены!$H$14,Цены!$K$14,IF(BE77=Цены!$H$15,Цены!$K$15,IF(BE77=Цены!$H$16,Цены!$K$16,IF(BE77=Цены!$H$17,Цены!$K$17,IF(BE77=Цены!$H$18,Цены!$K$18,IF(BE77=Цены!$H$19,Цены!$K$19,IF(BE77=Цены!$H$20,Цены!$K$20,IF(BE77=Цены!$H$21,Цены!$K$21,IF(BE77=Цены!$H$22,Цены!$K$22,IF(BE77=Цены!$H$23,Цены!$K$23,IF(BE77=Цены!$H$24,Цены!$K$24,IF(BE77=Цены!$H$25,Цены!$K$25,IF(BE77=Цены!$H$26,Цены!$K$26,IF(BE77=Цены!$H$27,Цены!$K$27,IF(BE77=Цены!$H$28,Цены!$K$28,IF(BE77=Цены!$H$29,Цены!$K$29,IF(BE77=Цены!$H$30,Цены!$K$30,IF(BE77=Цены!$H$31,Цены!$K$31,IF(BE77=Цены!$H$32,Цены!$K$32,IF(BE77=Цены!$H$33,Цены!$K$33,IF(BE77=Цены!$H$34,Цены!$K$34,IF(BE77=Цены!$H$35,Цены!$K$35,IF(BE77=Цены!$H$36,Цены!$K$36,IF(BE77=Цены!$H$37,Цены!$K$37,IF(BE77=Цены!$H$38,Цены!$K$38,IF(BE77=Цены!$H$39,Цены!$K$39,IF(BE77=Цены!$H$40,Цены!$K$40,IF(BE77=Цены!$H$41,Цены!$K$41,IF(BE77=Цены!$H$42,Цены!$K$42,IF(BE77=Цены!$H$43,Цены!$K$43,IF(BE77=Цены!$H$44,Цены!$K$44,IF(BE77=Цены!$H$45,Цены!$K$45,IF(BE77=Цены!$H$46,Цены!$K$46,IF(BE77=Цены!$H$47,Цены!$K$47,IF(BE77=Цены!$H$48,Цены!$K$48,IF(BE77=Цены!$H$49,Цены!$K$49,IF(BE77=Цены!$H$50,Цены!$K$50,IF(BE77=Цены!$H$51,Цены!$K$51,IF(BE77=Цены!$H$52,Цены!$K$52,IF(BE77=Цены!$H$53,Цены!$K$53,IF(BE77=Цены!$H$54,Цены!$K$54,IF(BE77=Цены!$H$55,Цены!$K$55))))))))))))))))))))))))))))))))))))))))))))))))))))))</f>
        <v>0</v>
      </c>
      <c r="BJ77" s="265"/>
      <c r="BK77" s="265"/>
      <c r="BL77" s="266"/>
      <c r="BM77" s="267"/>
      <c r="BN77" s="267"/>
      <c r="BO77" s="268"/>
      <c r="BP77" s="269"/>
      <c r="BQ77" s="270"/>
      <c r="BR77" s="210"/>
      <c r="BS77" s="43"/>
      <c r="BT77" s="33" t="b">
        <f>IF(BR77=Цены!$H$3,Цены!$L$3,IF(BR77=Цены!$H$4,Цены!$L$4,IF(BR77=Цены!$H$5,Цены!$L$5,IF(BR77=Цены!$H$6,Цены!$L$6,IF(BR77=Цены!$H$7,Цены!$L$7,IF(BR77=Цены!$H$8,Цены!$L$8,IF(BR77=Цены!$H$9,Цены!$L$9,IF(BR77=Цены!$H$10,Цены!$L$10,IF(BR77=Цены!$H$11,Цены!$L$11,IF(BR77=Цены!$H$12,Цены!$L$12,IF(BR77=Цены!$H$13,Цены!$L$13,IF(BR77=Цены!$H$14,Цены!$L$14,IF(BR77=Цены!$H$14,Цены!$L$14,IF(BR77=Цены!$H$15,Цены!$L$15,IF(BR77=Цены!$H$16,Цены!$L$16,IF(BR77=Цены!$H$17,Цены!$L$17,IF(BR77=Цены!$H$18,Цены!$L$18,IF(BR77=Цены!$H$19,Цены!$L$19,IF(BR77=Цены!$H$20,Цены!$L$20,IF(BR77=Цены!$H$21,Цены!$L$21,IF(BR77=Цены!$H$22,Цены!$L$22,IF(BR77=Цены!$H$23,Цены!$L$23,IF(BR77=Цены!$H$24,Цены!$L$24,IF(BR77=Цены!$H$25,Цены!$L$25,IF(BR77=Цены!$H$26,Цены!$L$26,IF(BR77=Цены!$H$27,Цены!$L$27,IF(BR77=Цены!$H$28,Цены!$L$28,IF(BR77=Цены!$H$29,Цены!$L$29,IF(BR77=Цены!$H$30,Цены!$L$30,IF(BR77=Цены!$H$31,Цены!$L$31,IF(BR77=Цены!$H$32,Цены!$L$32,IF(BR77=Цены!$H$33,Цены!$L$33,IF(BR77=Цены!$H$34,Цены!$L$34,IF(BR77=Цены!$H$35,Цены!$L$35,IF(BR77=Цены!$H$36,Цены!$L$36,IF(BR77=Цены!$H$37,Цены!$L$37,IF(BR77=Цены!$H$38,Цены!$L$38,IF(BR77=Цены!$H$39,Цены!$L$39,IF(BR77=Цены!$H$40,Цены!$L$40,IF(BR77=Цены!$H$41,Цены!$L$41,IF(BR77=Цены!$H$42,Цены!$L$42,IF(BR77=Цены!$H$43,Цены!$L$43,IF(BR77=Цены!$H$44,Цены!$L$44,IF(BR77=Цены!$H$45,Цены!$L$45,IF(BR77=Цены!$H$46,Цены!$L$46,IF(BR77=Цены!$H$47,Цены!$L$47,IF(BR77=Цены!$H$48,Цены!$L$48,IF(BR77=Цены!$H$49,Цены!$L$49,IF(BR77=Цены!$H$50,Цены!$L$50,IF(BR77=Цены!$H$51,Цены!$L$51,IF(BR77=Цены!$H$52,Цены!$L$52,IF(BR77=Цены!$H$53,Цены!$L$53,IF(BR77=Цены!$H$54,Цены!$L$54,IF(BR77=Цены!$H$55,Цены!$L$55))))))))))))))))))))))))))))))))))))))))))))))))))))))</f>
        <v>0</v>
      </c>
      <c r="BU77" s="276"/>
      <c r="BV77" s="34" t="b">
        <f>IF(BR77=Цены!$H$3,Цены!$K$3,IF(BR77=Цены!$H$4,Цены!$K$4,IF(BR77=Цены!$H$5,Цены!$K$5,IF(BR77=Цены!$H$6,Цены!$K$6,IF(BR77=Цены!$H$7,Цены!$K$7,IF(BR77=Цены!$H$8,Цены!$K$8,IF(BR77=Цены!$H$9,Цены!$K$9,IF(BR77=Цены!$H$10,Цены!$K$10,IF(BR77=Цены!$H$11,Цены!$K$11,IF(BR77=Цены!$H$12,Цены!$K$12,IF(BR77=Цены!$H$13,Цены!$K$13,IF(BR77=Цены!$H$14,Цены!$K$14,IF(BR77=Цены!$H$14,Цены!$K$14,IF(BR77=Цены!$H$15,Цены!$K$15,IF(BR77=Цены!$H$16,Цены!$K$16,IF(BR77=Цены!$H$17,Цены!$K$17,IF(BR77=Цены!$H$18,Цены!$K$18,IF(BR77=Цены!$H$19,Цены!$K$19,IF(BR77=Цены!$H$20,Цены!$K$20,IF(BR77=Цены!$H$21,Цены!$K$21,IF(BR77=Цены!$H$22,Цены!$K$22,IF(BR77=Цены!$H$23,Цены!$K$23,IF(BR77=Цены!$H$24,Цены!$K$24,IF(BR77=Цены!$H$25,Цены!$K$25,IF(BR77=Цены!$H$26,Цены!$K$26,IF(BR77=Цены!$H$27,Цены!$K$27,IF(BR77=Цены!$H$28,Цены!$K$28,IF(BR77=Цены!$H$29,Цены!$K$29,IF(BR77=Цены!$H$30,Цены!$K$30,IF(BR77=Цены!$H$31,Цены!$K$31,IF(BR77=Цены!$H$32,Цены!$K$32,IF(BR77=Цены!$H$33,Цены!$K$33,IF(BR77=Цены!$H$34,Цены!$K$34,IF(BR77=Цены!$H$35,Цены!$K$35,IF(BR77=Цены!$H$36,Цены!$K$36,IF(BR77=Цены!$H$37,Цены!$K$37,IF(BR77=Цены!$H$38,Цены!$K$38,IF(BR77=Цены!$H$39,Цены!$K$39,IF(BR77=Цены!$H$40,Цены!$K$40,IF(BR77=Цены!$H$41,Цены!$K$41,IF(BR77=Цены!$H$42,Цены!$K$42,IF(BR77=Цены!$H$43,Цены!$K$43,IF(BR77=Цены!$H$44,Цены!$K$44,IF(BR77=Цены!$H$45,Цены!$K$45,IF(BR77=Цены!$H$46,Цены!$K$46,IF(BR77=Цены!$H$47,Цены!$K$47,IF(BR77=Цены!$H$48,Цены!$K$48,IF(BR77=Цены!$H$49,Цены!$K$49,IF(BR77=Цены!$H$50,Цены!$K$50,IF(BR77=Цены!$H$51,Цены!$K$51,IF(BR77=Цены!$H$52,Цены!$K$52,IF(BR77=Цены!$H$53,Цены!$K$53,IF(BR77=Цены!$H$54,Цены!$K$54,IF(BR77=Цены!$H$55,Цены!$K$55))))))))))))))))))))))))))))))))))))))))))))))))))))))</f>
        <v>0</v>
      </c>
      <c r="BW77" s="265"/>
      <c r="BX77" s="265"/>
      <c r="BY77" s="266"/>
      <c r="BZ77" s="267"/>
      <c r="CA77" s="267"/>
      <c r="CB77" s="268"/>
      <c r="CC77" s="269"/>
      <c r="CD77" s="270"/>
      <c r="CE77" s="171" t="s">
        <v>123</v>
      </c>
      <c r="CF77" s="43">
        <v>2</v>
      </c>
      <c r="CG77" s="33">
        <f>IF(CE77=Цены!$H$3,Цены!$L$3,IF(CE77=Цены!$H$4,Цены!$L$4,IF(CE77=Цены!$H$5,Цены!$L$5,IF(CE77=Цены!$H$6,Цены!$L$6,IF(CE77=Цены!$H$7,Цены!$L$7,IF(CE77=Цены!$H$8,Цены!$L$8,IF(CE77=Цены!$H$9,Цены!$L$9,IF(CE77=Цены!$H$10,Цены!$L$10,IF(CE77=Цены!$H$11,Цены!$L$11,IF(CE77=Цены!$H$12,Цены!$L$12,IF(CE77=Цены!$H$13,Цены!$L$13,IF(CE77=Цены!$H$14,Цены!$L$14,IF(CE77=Цены!$H$14,Цены!$L$14,IF(CE77=Цены!$H$15,Цены!$L$15,IF(CE77=Цены!$H$16,Цены!$L$16,IF(CE77=Цены!$H$17,Цены!$L$17,IF(CE77=Цены!$H$18,Цены!$L$18,IF(CE77=Цены!$H$19,Цены!$L$19,IF(CE77=Цены!$H$20,Цены!$L$20,IF(CE77=Цены!$H$21,Цены!$L$21,IF(CE77=Цены!$H$22,Цены!$L$22,IF(CE77=Цены!$H$23,Цены!$L$23,IF(CE77=Цены!$H$24,Цены!$L$24,IF(CE77=Цены!$H$25,Цены!$L$25,IF(CE77=Цены!$H$26,Цены!$L$26,IF(CE77=Цены!$H$27,Цены!$L$27,IF(CE77=Цены!$H$28,Цены!$L$28,IF(CE77=Цены!$H$29,Цены!$L$29,IF(CE77=Цены!$H$30,Цены!$L$30,IF(CE77=Цены!$H$31,Цены!$L$31,IF(CE77=Цены!$H$32,Цены!$L$32,IF(CE77=Цены!$H$33,Цены!$L$33,IF(CE77=Цены!$H$34,Цены!$L$34,IF(CE77=Цены!$H$35,Цены!$L$35,IF(CE77=Цены!$H$36,Цены!$L$36,IF(CE77=Цены!$H$37,Цены!$L$37,IF(CE77=Цены!$H$38,Цены!$L$38,IF(CE77=Цены!$H$39,Цены!$L$39,IF(CE77=Цены!$H$40,Цены!$L$40,IF(CE77=Цены!$H$41,Цены!$L$41,IF(CE77=Цены!$H$42,Цены!$L$42,IF(CE77=Цены!$H$43,Цены!$L$43,IF(CE77=Цены!$H$44,Цены!$L$44,IF(CE77=Цены!$H$45,Цены!$L$45,IF(CE77=Цены!$H$46,Цены!$L$46,IF(CE77=Цены!$H$47,Цены!$L$47,IF(CE77=Цены!$H$48,Цены!$L$48,IF(CE77=Цены!$H$49,Цены!$L$49,IF(CE77=Цены!$H$50,Цены!$L$50,IF(CE77=Цены!$H$51,Цены!$L$51,IF(CE77=Цены!$H$52,Цены!$L$52,IF(CE77=Цены!$H$53,Цены!$L$53,IF(CE77=Цены!$H$54,Цены!$L$54,IF(CE77=Цены!$H$55,Цены!$L$55))))))))))))))))))))))))))))))))))))))))))))))))))))))</f>
        <v>0.39</v>
      </c>
      <c r="CH77" s="276"/>
      <c r="CI77" s="34">
        <f>IF(CE77=Цены!$H$3,Цены!$K$3,IF(CE77=Цены!$H$4,Цены!$K$4,IF(CE77=Цены!$H$5,Цены!$K$5,IF(CE77=Цены!$H$6,Цены!$K$6,IF(CE77=Цены!$H$7,Цены!$K$7,IF(CE77=Цены!$H$8,Цены!$K$8,IF(CE77=Цены!$H$9,Цены!$K$9,IF(CE77=Цены!$H$10,Цены!$K$10,IF(CE77=Цены!$H$11,Цены!$K$11,IF(CE77=Цены!$H$12,Цены!$K$12,IF(CE77=Цены!$H$13,Цены!$K$13,IF(CE77=Цены!$H$14,Цены!$K$14,IF(CE77=Цены!$H$14,Цены!$K$14,IF(CE77=Цены!$H$15,Цены!$K$15,IF(CE77=Цены!$H$16,Цены!$K$16,IF(CE77=Цены!$H$17,Цены!$K$17,IF(CE77=Цены!$H$18,Цены!$K$18,IF(CE77=Цены!$H$19,Цены!$K$19,IF(CE77=Цены!$H$20,Цены!$K$20,IF(CE77=Цены!$H$21,Цены!$K$21,IF(CE77=Цены!$H$22,Цены!$K$22,IF(CE77=Цены!$H$23,Цены!$K$23,IF(CE77=Цены!$H$24,Цены!$K$24,IF(CE77=Цены!$H$25,Цены!$K$25,IF(CE77=Цены!$H$26,Цены!$K$26,IF(CE77=Цены!$H$27,Цены!$K$27,IF(CE77=Цены!$H$28,Цены!$K$28,IF(CE77=Цены!$H$29,Цены!$K$29,IF(CE77=Цены!$H$30,Цены!$K$30,IF(CE77=Цены!$H$31,Цены!$K$31,IF(CE77=Цены!$H$32,Цены!$K$32,IF(CE77=Цены!$H$33,Цены!$K$33,IF(CE77=Цены!$H$34,Цены!$K$34,IF(CE77=Цены!$H$35,Цены!$K$35,IF(CE77=Цены!$H$36,Цены!$K$36,IF(CE77=Цены!$H$37,Цены!$K$37,IF(CE77=Цены!$H$38,Цены!$K$38,IF(CE77=Цены!$H$39,Цены!$K$39,IF(CE77=Цены!$H$40,Цены!$K$40,IF(CE77=Цены!$H$41,Цены!$K$41,IF(CE77=Цены!$H$42,Цены!$K$42,IF(CE77=Цены!$H$43,Цены!$K$43,IF(CE77=Цены!$H$44,Цены!$K$44,IF(CE77=Цены!$H$45,Цены!$K$45,IF(CE77=Цены!$H$46,Цены!$K$46,IF(CE77=Цены!$H$47,Цены!$K$47,IF(CE77=Цены!$H$48,Цены!$K$48,IF(CE77=Цены!$H$49,Цены!$K$49,IF(CE77=Цены!$H$50,Цены!$K$50,IF(CE77=Цены!$H$51,Цены!$K$51,IF(CE77=Цены!$H$52,Цены!$K$52,IF(CE77=Цены!$H$53,Цены!$K$53,IF(CE77=Цены!$H$54,Цены!$K$54,IF(CE77=Цены!$H$55,Цены!$K$55))))))))))))))))))))))))))))))))))))))))))))))))))))))</f>
        <v>624</v>
      </c>
      <c r="CJ77" s="265"/>
      <c r="CK77" s="265"/>
      <c r="CL77" s="266"/>
      <c r="CM77" s="267"/>
      <c r="CN77" s="267"/>
      <c r="CO77" s="268"/>
      <c r="CP77" s="269"/>
      <c r="CQ77" s="270"/>
    </row>
    <row r="78" spans="1:95" x14ac:dyDescent="0.25">
      <c r="A78" s="353"/>
      <c r="B78" s="265"/>
      <c r="C78" s="265"/>
      <c r="D78" s="171" t="s">
        <v>121</v>
      </c>
      <c r="E78" s="167">
        <v>2</v>
      </c>
      <c r="F78" s="27">
        <f>IF(D78=Цены!$H$3,Цены!$L$3,IF(D78=Цены!$H$4,Цены!$L$4,IF(D78=Цены!$H$5,Цены!$L$5,IF(D78=Цены!$H$6,Цены!$L$6,IF(D78=Цены!$H$7,Цены!$L$7,IF(D78=Цены!$H$8,Цены!$L$8,IF(D78=Цены!$H$9,Цены!$L$9,IF(D78=Цены!$H$10,Цены!$L$10,IF(D78=Цены!$H$11,Цены!$L$11,IF(D78=Цены!$H$12,Цены!$L$12,IF(D78=Цены!$H$13,Цены!$L$13,IF(D78=Цены!$H$14,Цены!$L$14,IF(D78=Цены!$H$14,Цены!$L$14,IF(D78=Цены!$H$15,Цены!$L$15,IF(D78=Цены!$H$16,Цены!$L$16,IF(D78=Цены!$H$17,Цены!$L$17,IF(D78=Цены!$H$18,Цены!$L$18,IF(D78=Цены!$H$19,Цены!$L$19,IF(D78=Цены!$H$20,Цены!$L$20,IF(D78=Цены!$H$21,Цены!$L$21,IF(D78=Цены!$H$22,Цены!$L$22,IF(D78=Цены!$H$23,Цены!$L$23,IF(D78=Цены!$H$24,Цены!$L$24,IF(D78=Цены!$H$25,Цены!$L$25,IF(D78=Цены!$H$26,Цены!$L$26,IF(D78=Цены!$H$27,Цены!$L$27,IF(D78=Цены!$H$28,Цены!$L$28,IF(D78=Цены!$H$29,Цены!$L$29,IF(D78=Цены!$H$30,Цены!$L$30,IF(D78=Цены!$H$31,Цены!$L$31,IF(D78=Цены!$H$32,Цены!$L$32,IF(D78=Цены!$H$33,Цены!$L$33,IF(D78=Цены!$H$34,Цены!$L$34,IF(D78=Цены!$H$35,Цены!$L$35,IF(D78=Цены!$H$36,Цены!$L$36,IF(D78=Цены!$H$37,Цены!$L$37,IF(D78=Цены!$H$38,Цены!$L$38,IF(D78=Цены!$H$39,Цены!$L$39,IF(D78=Цены!$H$40,Цены!$L$40,IF(D78=Цены!$H$41,Цены!$L$41,IF(D78=Цены!$H$42,Цены!$L$42,IF(D78=Цены!$H$43,Цены!$L$43,IF(D78=Цены!$H$44,Цены!$L$44,IF(D78=Цены!$H$45,Цены!$L$45,IF(D78=Цены!$H$46,Цены!$L$46,IF(D78=Цены!$H$47,Цены!$L$47,IF(D78=Цены!$H$48,Цены!$L$48,IF(D78=Цены!$H$49,Цены!$L$49,IF(D78=Цены!$H$50,Цены!$L$50,IF(D78=Цены!$H$51,Цены!$L$51,IF(D78=Цены!$H$52,Цены!$L$52,IF(D78=Цены!$H$53,Цены!$L$53,IF(D78=Цены!$H$54,Цены!$L$54,IF(D78=Цены!$H$55,Цены!$L$55))))))))))))))))))))))))))))))))))))))))))))))))))))))</f>
        <v>1.32E-2</v>
      </c>
      <c r="G78" s="309"/>
      <c r="H78" s="28">
        <f>IF(D78=Цены!$H$3,Цены!$K$3,IF(D78=Цены!$H$4,Цены!$K$4,IF(D78=Цены!$H$5,Цены!$K$5,IF(D78=Цены!$H$6,Цены!$K$6,IF(D78=Цены!$H$7,Цены!$K$7,IF(D78=Цены!$H$8,Цены!$K$8,IF(D78=Цены!$H$9,Цены!$K$9,IF(D78=Цены!$H$10,Цены!$K$10,IF(D78=Цены!$H$11,Цены!$K$11,IF(D78=Цены!$H$12,Цены!$K$12,IF(D78=Цены!$H$13,Цены!$K$13,IF(D78=Цены!$H$14,Цены!$K$14,IF(D78=Цены!$H$14,Цены!$K$14,IF(D78=Цены!$H$15,Цены!$K$15,IF(D78=Цены!$H$16,Цены!$K$16,IF(D78=Цены!$H$17,Цены!$K$17,IF(D78=Цены!$H$18,Цены!$K$18,IF(D78=Цены!$H$19,Цены!$K$19,IF(D78=Цены!$H$20,Цены!$K$20,IF(D78=Цены!$H$21,Цены!$K$21,IF(D78=Цены!$H$22,Цены!$K$22,IF(D78=Цены!$H$23,Цены!$K$23,IF(D78=Цены!$H$24,Цены!$K$24,IF(D78=Цены!$H$25,Цены!$K$25,IF(D78=Цены!$H$26,Цены!$K$26,IF(D78=Цены!$H$27,Цены!$K$27,IF(D78=Цены!$H$28,Цены!$K$28,IF(D78=Цены!$H$29,Цены!$K$29,IF(D78=Цены!$H$30,Цены!$K$30,IF(D78=Цены!$H$31,Цены!$K$31,IF(D78=Цены!$H$32,Цены!$K$32,IF(D78=Цены!$H$33,Цены!$K$33,IF(D78=Цены!$H$34,Цены!$K$34,IF(D78=Цены!$H$35,Цены!$K$35,IF(D78=Цены!$H$36,Цены!$K$36,IF(D78=Цены!$H$37,Цены!$K$37,IF(D78=Цены!$H$38,Цены!$K$38,IF(D78=Цены!$H$39,Цены!$K$39,IF(D78=Цены!$H$40,Цены!$K$40,IF(D78=Цены!$H$41,Цены!$K$41,IF(D78=Цены!$H$42,Цены!$K$42,IF(D78=Цены!$H$43,Цены!$K$43,IF(D78=Цены!$H$44,Цены!$K$44,IF(D78=Цены!$H$45,Цены!$K$45,IF(D78=Цены!$H$46,Цены!$K$46,IF(D78=Цены!$H$47,Цены!$K$47,IF(D78=Цены!$H$48,Цены!$K$48,IF(D78=Цены!$H$49,Цены!$K$49,IF(D78=Цены!$H$50,Цены!$K$50,IF(D78=Цены!$H$51,Цены!$K$51,IF(D78=Цены!$H$52,Цены!$K$52,IF(D78=Цены!$H$53,Цены!$K$53,IF(D78=Цены!$H$54,Цены!$K$54,IF(D78=Цены!$H$55,Цены!$K$55))))))))))))))))))))))))))))))))))))))))))))))))))))))</f>
        <v>54</v>
      </c>
      <c r="I78" s="265"/>
      <c r="J78" s="265"/>
      <c r="K78" s="266"/>
      <c r="L78" s="267"/>
      <c r="M78" s="267"/>
      <c r="N78" s="268"/>
      <c r="O78" s="310"/>
      <c r="P78" s="270"/>
      <c r="Q78" s="210"/>
      <c r="R78" s="30"/>
      <c r="S78" s="27" t="b">
        <f>IF(Q78=Цены!$H$3,Цены!$L$3,IF(Q78=Цены!$H$4,Цены!$L$4,IF(Q78=Цены!$H$5,Цены!$L$5,IF(Q78=Цены!$H$6,Цены!$L$6,IF(Q78=Цены!$H$7,Цены!$L$7,IF(Q78=Цены!$H$8,Цены!$L$8,IF(Q78=Цены!$H$9,Цены!$L$9,IF(Q78=Цены!$H$10,Цены!$L$10,IF(Q78=Цены!$H$11,Цены!$L$11,IF(Q78=Цены!$H$12,Цены!$L$12,IF(Q78=Цены!$H$13,Цены!$L$13,IF(Q78=Цены!$H$14,Цены!$L$14,IF(Q78=Цены!$H$14,Цены!$L$14,IF(Q78=Цены!$H$15,Цены!$L$15,IF(Q78=Цены!$H$16,Цены!$L$16,IF(Q78=Цены!$H$17,Цены!$L$17,IF(Q78=Цены!$H$18,Цены!$L$18,IF(Q78=Цены!$H$19,Цены!$L$19,IF(Q78=Цены!$H$20,Цены!$L$20,IF(Q78=Цены!$H$21,Цены!$L$21,IF(Q78=Цены!$H$22,Цены!$L$22,IF(Q78=Цены!$H$23,Цены!$L$23,IF(Q78=Цены!$H$24,Цены!$L$24,IF(Q78=Цены!$H$25,Цены!$L$25,IF(Q78=Цены!$H$26,Цены!$L$26,IF(Q78=Цены!$H$27,Цены!$L$27,IF(Q78=Цены!$H$28,Цены!$L$28,IF(Q78=Цены!$H$29,Цены!$L$29,IF(Q78=Цены!$H$30,Цены!$L$30,IF(Q78=Цены!$H$31,Цены!$L$31,IF(Q78=Цены!$H$32,Цены!$L$32,IF(Q78=Цены!$H$33,Цены!$L$33,IF(Q78=Цены!$H$34,Цены!$L$34,IF(Q78=Цены!$H$35,Цены!$L$35,IF(Q78=Цены!$H$36,Цены!$L$36,IF(Q78=Цены!$H$37,Цены!$L$37,IF(Q78=Цены!$H$38,Цены!$L$38,IF(Q78=Цены!$H$39,Цены!$L$39,IF(Q78=Цены!$H$40,Цены!$L$40,IF(Q78=Цены!$H$41,Цены!$L$41,IF(Q78=Цены!$H$42,Цены!$L$42,IF(Q78=Цены!$H$43,Цены!$L$43,IF(Q78=Цены!$H$44,Цены!$L$44,IF(Q78=Цены!$H$45,Цены!$L$45,IF(Q78=Цены!$H$46,Цены!$L$46,IF(Q78=Цены!$H$47,Цены!$L$47,IF(Q78=Цены!$H$48,Цены!$L$48,IF(Q78=Цены!$H$49,Цены!$L$49,IF(Q78=Цены!$H$50,Цены!$L$50,IF(Q78=Цены!$H$51,Цены!$L$51,IF(Q78=Цены!$H$52,Цены!$L$52,IF(Q78=Цены!$H$53,Цены!$L$53,IF(Q78=Цены!$H$54,Цены!$L$54,IF(Q78=Цены!$H$55,Цены!$L$55))))))))))))))))))))))))))))))))))))))))))))))))))))))</f>
        <v>0</v>
      </c>
      <c r="T78" s="309"/>
      <c r="U78" s="162" t="b">
        <f>IF(Q78=Цены!$H$3,Цены!$K$3,IF(Q78=Цены!$H$4,Цены!$K$4,IF(Q78=Цены!$H$5,Цены!$K$5,IF(Q78=Цены!$H$6,Цены!$K$6,IF(Q78=Цены!$H$7,Цены!$K$7,IF(Q78=Цены!$H$8,Цены!$K$8,IF(Q78=Цены!$H$9,Цены!$K$9,IF(Q78=Цены!$H$10,Цены!$K$10,IF(Q78=Цены!$H$11,Цены!$K$11,IF(Q78=Цены!$H$12,Цены!$K$12,IF(Q78=Цены!$H$13,Цены!$K$13,IF(Q78=Цены!$H$14,Цены!$K$14,IF(Q78=Цены!$H$14,Цены!$K$14,IF(Q78=Цены!$H$15,Цены!$K$15,IF(Q78=Цены!$H$16,Цены!$K$16,IF(Q78=Цены!$H$17,Цены!$K$17,IF(Q78=Цены!$H$18,Цены!$K$18,IF(Q78=Цены!$H$19,Цены!$K$19,IF(Q78=Цены!$H$20,Цены!$K$20,IF(Q78=Цены!$H$21,Цены!$K$21,IF(Q78=Цены!$H$22,Цены!$K$22,IF(Q78=Цены!$H$23,Цены!$K$23,IF(Q78=Цены!$H$24,Цены!$K$24,IF(Q78=Цены!$H$25,Цены!$K$25,IF(Q78=Цены!$H$26,Цены!$K$26,IF(Q78=Цены!$H$27,Цены!$K$27,IF(Q78=Цены!$H$28,Цены!$K$28,IF(Q78=Цены!$H$29,Цены!$K$29,IF(Q78=Цены!$H$30,Цены!$K$30,IF(Q78=Цены!$H$31,Цены!$K$31,IF(Q78=Цены!$H$32,Цены!$K$32,IF(Q78=Цены!$H$33,Цены!$K$33,IF(Q78=Цены!$H$34,Цены!$K$34,IF(Q78=Цены!$H$35,Цены!$K$35,IF(Q78=Цены!$H$36,Цены!$K$36,IF(Q78=Цены!$H$37,Цены!$K$37,IF(Q78=Цены!$H$38,Цены!$K$38,IF(Q78=Цены!$H$39,Цены!$K$39,IF(Q78=Цены!$H$40,Цены!$K$40,IF(Q78=Цены!$H$41,Цены!$K$41,IF(Q78=Цены!$H$42,Цены!$K$42,IF(Q78=Цены!$H$43,Цены!$K$43,IF(Q78=Цены!$H$44,Цены!$K$44,IF(Q78=Цены!$H$45,Цены!$K$45,IF(Q78=Цены!$H$46,Цены!$K$46,IF(Q78=Цены!$H$47,Цены!$K$47,IF(Q78=Цены!$H$48,Цены!$K$48,IF(Q78=Цены!$H$49,Цены!$K$49,IF(Q78=Цены!$H$50,Цены!$K$50,IF(Q78=Цены!$H$51,Цены!$K$51,IF(Q78=Цены!$H$52,Цены!$K$52,IF(Q78=Цены!$H$53,Цены!$K$53,IF(Q78=Цены!$H$54,Цены!$K$54,IF(Q78=Цены!$H$55,Цены!$K$55))))))))))))))))))))))))))))))))))))))))))))))))))))))</f>
        <v>0</v>
      </c>
      <c r="V78" s="265"/>
      <c r="W78" s="265"/>
      <c r="X78" s="266"/>
      <c r="Y78" s="267"/>
      <c r="Z78" s="267"/>
      <c r="AA78" s="320"/>
      <c r="AB78" s="310"/>
      <c r="AC78" s="270"/>
      <c r="AD78" s="209" t="s">
        <v>144</v>
      </c>
      <c r="AE78" s="30">
        <v>6</v>
      </c>
      <c r="AF78" s="27">
        <f>IF(AD78=Цены!$H$3,Цены!$L$3,IF(AD78=Цены!$H$4,Цены!$L$4,IF(AD78=Цены!$H$5,Цены!$L$5,IF(AD78=Цены!$H$6,Цены!$L$6,IF(AD78=Цены!$H$7,Цены!$L$7,IF(AD78=Цены!$H$8,Цены!$L$8,IF(AD78=Цены!$H$9,Цены!$L$9,IF(AD78=Цены!$H$10,Цены!$L$10,IF(AD78=Цены!$H$11,Цены!$L$11,IF(AD78=Цены!$H$12,Цены!$L$12,IF(AD78=Цены!$H$13,Цены!$L$13,IF(AD78=Цены!$H$14,Цены!$L$14,IF(AD78=Цены!$H$14,Цены!$L$14,IF(AD78=Цены!$H$15,Цены!$L$15,IF(AD78=Цены!$H$16,Цены!$L$16,IF(AD78=Цены!$H$17,Цены!$L$17,IF(AD78=Цены!$H$18,Цены!$L$18,IF(AD78=Цены!$H$19,Цены!$L$19,IF(AD78=Цены!$H$20,Цены!$L$20,IF(AD78=Цены!$H$21,Цены!$L$21,IF(AD78=Цены!$H$22,Цены!$L$22,IF(AD78=Цены!$H$23,Цены!$L$23,IF(AD78=Цены!$H$24,Цены!$L$24,IF(AD78=Цены!$H$25,Цены!$L$25,IF(AD78=Цены!$H$26,Цены!$L$26,IF(AD78=Цены!$H$27,Цены!$L$27,IF(AD78=Цены!$H$28,Цены!$L$28,IF(AD78=Цены!$H$29,Цены!$L$29,IF(AD78=Цены!$H$30,Цены!$L$30,IF(AD78=Цены!$H$31,Цены!$L$31,IF(AD78=Цены!$H$32,Цены!$L$32,IF(AD78=Цены!$H$33,Цены!$L$33,IF(AD78=Цены!$H$34,Цены!$L$34,IF(AD78=Цены!$H$35,Цены!$L$35,IF(AD78=Цены!$H$36,Цены!$L$36,IF(AD78=Цены!$H$37,Цены!$L$37,IF(AD78=Цены!$H$38,Цены!$L$38,IF(AD78=Цены!$H$39,Цены!$L$39,IF(AD78=Цены!$H$40,Цены!$L$40,IF(AD78=Цены!$H$41,Цены!$L$41,IF(AD78=Цены!$H$42,Цены!$L$42,IF(AD78=Цены!$H$43,Цены!$L$43,IF(AD78=Цены!$H$44,Цены!$L$44,IF(AD78=Цены!$H$45,Цены!$L$45,IF(AD78=Цены!$H$46,Цены!$L$46,IF(AD78=Цены!$H$47,Цены!$L$47,IF(AD78=Цены!$H$48,Цены!$L$48,IF(AD78=Цены!$H$49,Цены!$L$49,IF(AD78=Цены!$H$50,Цены!$L$50,IF(AD78=Цены!$H$51,Цены!$L$51,IF(AD78=Цены!$H$52,Цены!$L$52,IF(AD78=Цены!$H$53,Цены!$L$53,IF(AD78=Цены!$H$54,Цены!$L$54,IF(AD78=Цены!$H$55,Цены!$L$55))))))))))))))))))))))))))))))))))))))))))))))))))))))</f>
        <v>0.19</v>
      </c>
      <c r="AG78" s="309"/>
      <c r="AH78" s="28">
        <f>IF(AD78=Цены!$H$3,Цены!$K$3,IF(AD78=Цены!$H$4,Цены!$K$4,IF(AD78=Цены!$H$5,Цены!$K$5,IF(AD78=Цены!$H$6,Цены!$K$6,IF(AD78=Цены!$H$7,Цены!$K$7,IF(AD78=Цены!$H$8,Цены!$K$8,IF(AD78=Цены!$H$9,Цены!$K$9,IF(AD78=Цены!$H$10,Цены!$K$10,IF(AD78=Цены!$H$11,Цены!$K$11,IF(AD78=Цены!$H$12,Цены!$K$12,IF(AD78=Цены!$H$13,Цены!$K$13,IF(AD78=Цены!$H$14,Цены!$K$14,IF(AD78=Цены!$H$14,Цены!$K$14,IF(AD78=Цены!$H$15,Цены!$K$15,IF(AD78=Цены!$H$16,Цены!$K$16,IF(AD78=Цены!$H$17,Цены!$K$17,IF(AD78=Цены!$H$18,Цены!$K$18,IF(AD78=Цены!$H$19,Цены!$K$19,IF(AD78=Цены!$H$20,Цены!$K$20,IF(AD78=Цены!$H$21,Цены!$K$21,IF(AD78=Цены!$H$22,Цены!$K$22,IF(AD78=Цены!$H$23,Цены!$K$23,IF(AD78=Цены!$H$24,Цены!$K$24,IF(AD78=Цены!$H$25,Цены!$K$25,IF(AD78=Цены!$H$26,Цены!$K$26,IF(AD78=Цены!$H$27,Цены!$K$27,IF(AD78=Цены!$H$28,Цены!$K$28,IF(AD78=Цены!$H$29,Цены!$K$29,IF(AD78=Цены!$H$30,Цены!$K$30,IF(AD78=Цены!$H$31,Цены!$K$31,IF(AD78=Цены!$H$32,Цены!$K$32,IF(AD78=Цены!$H$33,Цены!$K$33,IF(AD78=Цены!$H$34,Цены!$K$34,IF(AD78=Цены!$H$35,Цены!$K$35,IF(AD78=Цены!$H$36,Цены!$K$36,IF(AD78=Цены!$H$37,Цены!$K$37,IF(AD78=Цены!$H$38,Цены!$K$38,IF(AD78=Цены!$H$39,Цены!$K$39,IF(AD78=Цены!$H$40,Цены!$K$40,IF(AD78=Цены!$H$41,Цены!$K$41,IF(AD78=Цены!$H$42,Цены!$K$42,IF(AD78=Цены!$H$43,Цены!$K$43,IF(AD78=Цены!$H$44,Цены!$K$44,IF(AD78=Цены!$H$45,Цены!$K$45,IF(AD78=Цены!$H$46,Цены!$K$46,IF(AD78=Цены!$H$47,Цены!$K$47,IF(AD78=Цены!$H$48,Цены!$K$48,IF(AD78=Цены!$H$49,Цены!$K$49,IF(AD78=Цены!$H$50,Цены!$K$50,IF(AD78=Цены!$H$51,Цены!$K$51,IF(AD78=Цены!$H$52,Цены!$K$52,IF(AD78=Цены!$H$53,Цены!$K$53,IF(AD78=Цены!$H$54,Цены!$K$54,IF(AD78=Цены!$H$55,Цены!$K$55))))))))))))))))))))))))))))))))))))))))))))))))))))))</f>
        <v>448</v>
      </c>
      <c r="AI78" s="265"/>
      <c r="AJ78" s="265"/>
      <c r="AK78" s="266"/>
      <c r="AL78" s="267"/>
      <c r="AM78" s="267"/>
      <c r="AN78" s="268"/>
      <c r="AO78" s="310"/>
      <c r="AP78" s="270"/>
      <c r="AQ78" s="213"/>
      <c r="AR78" s="129"/>
      <c r="AS78" s="33" t="b">
        <f>IF(AQ78=Цены!$H$3,Цены!$L$3,IF(AQ78=Цены!$H$4,Цены!$L$4,IF(AQ78=Цены!$H$5,Цены!$L$5,IF(AQ78=Цены!$H$6,Цены!$L$6,IF(AQ78=Цены!$H$7,Цены!$L$7,IF(AQ78=Цены!$H$8,Цены!$L$8,IF(AQ78=Цены!$H$9,Цены!$L$9,IF(AQ78=Цены!$H$10,Цены!$L$10,IF(AQ78=Цены!$H$11,Цены!$L$11,IF(AQ78=Цены!$H$12,Цены!$L$12,IF(AQ78=Цены!$H$13,Цены!$L$13,IF(AQ78=Цены!$H$14,Цены!$L$14,IF(AQ78=Цены!$H$14,Цены!$L$14,IF(AQ78=Цены!$H$15,Цены!$L$15,IF(AQ78=Цены!$H$16,Цены!$L$16,IF(AQ78=Цены!$H$17,Цены!$L$17,IF(AQ78=Цены!$H$18,Цены!$L$18,IF(AQ78=Цены!$H$19,Цены!$L$19,IF(AQ78=Цены!$H$20,Цены!$L$20,IF(AQ78=Цены!$H$21,Цены!$L$21,IF(AQ78=Цены!$H$22,Цены!$L$22,IF(AQ78=Цены!$H$23,Цены!$L$23,IF(AQ78=Цены!$H$24,Цены!$L$24,IF(AQ78=Цены!$H$25,Цены!$L$25,IF(AQ78=Цены!$H$26,Цены!$L$26,IF(AQ78=Цены!$H$27,Цены!$L$27,IF(AQ78=Цены!$H$28,Цены!$L$28,IF(AQ78=Цены!$H$29,Цены!$L$29,IF(AQ78=Цены!$H$30,Цены!$L$30,IF(AQ78=Цены!$H$31,Цены!$L$31,IF(AQ78=Цены!$H$32,Цены!$L$32,IF(AQ78=Цены!$H$33,Цены!$L$33,IF(AQ78=Цены!$H$34,Цены!$L$34,IF(AQ78=Цены!$H$35,Цены!$L$35,IF(AQ78=Цены!$H$36,Цены!$L$36,IF(AQ78=Цены!$H$37,Цены!$L$37,IF(AQ78=Цены!$H$38,Цены!$L$38,IF(AQ78=Цены!$H$39,Цены!$L$39,IF(AQ78=Цены!$H$40,Цены!$L$40,IF(AQ78=Цены!$H$41,Цены!$L$41,IF(AQ78=Цены!$H$42,Цены!$L$42,IF(AQ78=Цены!$H$43,Цены!$L$43,IF(AQ78=Цены!$H$44,Цены!$L$44,IF(AQ78=Цены!$H$45,Цены!$L$45,IF(AQ78=Цены!$H$46,Цены!$L$46,IF(AQ78=Цены!$H$47,Цены!$L$47,IF(AQ78=Цены!$H$48,Цены!$L$48,IF(AQ78=Цены!$H$49,Цены!$L$49,IF(AQ78=Цены!$H$50,Цены!$L$50,IF(AQ78=Цены!$H$51,Цены!$L$51,IF(AQ78=Цены!$H$52,Цены!$L$52,IF(AQ78=Цены!$H$53,Цены!$L$53,IF(AQ78=Цены!$H$54,Цены!$L$54,IF(AQ78=Цены!$H$55,Цены!$L$55))))))))))))))))))))))))))))))))))))))))))))))))))))))</f>
        <v>0</v>
      </c>
      <c r="AT78" s="276"/>
      <c r="AU78" s="34" t="b">
        <f>IF(AQ78=Цены!$H$3,Цены!$K$3,IF(AQ78=Цены!$H$4,Цены!$K$4,IF(AQ78=Цены!$H$5,Цены!$K$5,IF(AQ78=Цены!$H$6,Цены!$K$6,IF(AQ78=Цены!$H$7,Цены!$K$7,IF(AQ78=Цены!$H$8,Цены!$K$8,IF(AQ78=Цены!$H$9,Цены!$K$9,IF(AQ78=Цены!$H$10,Цены!$K$10,IF(AQ78=Цены!$H$11,Цены!$K$11,IF(AQ78=Цены!$H$12,Цены!$K$12,IF(AQ78=Цены!$H$13,Цены!$K$13,IF(AQ78=Цены!$H$14,Цены!$K$14,IF(AQ78=Цены!$H$14,Цены!$K$14,IF(AQ78=Цены!$H$15,Цены!$K$15,IF(AQ78=Цены!$H$16,Цены!$K$16,IF(AQ78=Цены!$H$17,Цены!$K$17,IF(AQ78=Цены!$H$18,Цены!$K$18,IF(AQ78=Цены!$H$19,Цены!$K$19,IF(AQ78=Цены!$H$20,Цены!$K$20,IF(AQ78=Цены!$H$21,Цены!$K$21,IF(AQ78=Цены!$H$22,Цены!$K$22,IF(AQ78=Цены!$H$23,Цены!$K$23,IF(AQ78=Цены!$H$24,Цены!$K$24,IF(AQ78=Цены!$H$25,Цены!$K$25,IF(AQ78=Цены!$H$26,Цены!$K$26,IF(AQ78=Цены!$H$27,Цены!$K$27,IF(AQ78=Цены!$H$28,Цены!$K$28,IF(AQ78=Цены!$H$29,Цены!$K$29,IF(AQ78=Цены!$H$30,Цены!$K$30,IF(AQ78=Цены!$H$31,Цены!$K$31,IF(AQ78=Цены!$H$32,Цены!$K$32,IF(AQ78=Цены!$H$33,Цены!$K$33,IF(AQ78=Цены!$H$34,Цены!$K$34,IF(AQ78=Цены!$H$35,Цены!$K$35,IF(AQ78=Цены!$H$36,Цены!$K$36,IF(AQ78=Цены!$H$37,Цены!$K$37,IF(AQ78=Цены!$H$38,Цены!$K$38,IF(AQ78=Цены!$H$39,Цены!$K$39,IF(AQ78=Цены!$H$40,Цены!$K$40,IF(AQ78=Цены!$H$41,Цены!$K$41,IF(AQ78=Цены!$H$42,Цены!$K$42,IF(AQ78=Цены!$H$43,Цены!$K$43,IF(AQ78=Цены!$H$44,Цены!$K$44,IF(AQ78=Цены!$H$45,Цены!$K$45,IF(AQ78=Цены!$H$46,Цены!$K$46,IF(AQ78=Цены!$H$47,Цены!$K$47,IF(AQ78=Цены!$H$48,Цены!$K$48,IF(AQ78=Цены!$H$49,Цены!$K$49,IF(AQ78=Цены!$H$50,Цены!$K$50,IF(AQ78=Цены!$H$51,Цены!$K$51,IF(AQ78=Цены!$H$52,Цены!$K$52,IF(AQ78=Цены!$H$53,Цены!$K$53,IF(AQ78=Цены!$H$54,Цены!$K$54,IF(AQ78=Цены!$H$55,Цены!$K$55))))))))))))))))))))))))))))))))))))))))))))))))))))))</f>
        <v>0</v>
      </c>
      <c r="AV78" s="265"/>
      <c r="AW78" s="265"/>
      <c r="AX78" s="266"/>
      <c r="AY78" s="267"/>
      <c r="AZ78" s="267"/>
      <c r="BA78" s="268"/>
      <c r="BB78" s="269"/>
      <c r="BC78" s="270"/>
      <c r="BD78" s="260"/>
      <c r="BE78" s="210"/>
      <c r="BF78" s="71"/>
      <c r="BG78" s="33" t="b">
        <f>IF(BE78=Цены!$H$3,Цены!$L$3,IF(BE78=Цены!$H$4,Цены!$L$4,IF(BE78=Цены!$H$5,Цены!$L$5,IF(BE78=Цены!$H$6,Цены!$L$6,IF(BE78=Цены!$H$7,Цены!$L$7,IF(BE78=Цены!$H$8,Цены!$L$8,IF(BE78=Цены!$H$9,Цены!$L$9,IF(BE78=Цены!$H$10,Цены!$L$10,IF(BE78=Цены!$H$11,Цены!$L$11,IF(BE78=Цены!$H$12,Цены!$L$12,IF(BE78=Цены!$H$13,Цены!$L$13,IF(BE78=Цены!$H$14,Цены!$L$14,IF(BE78=Цены!$H$14,Цены!$L$14,IF(BE78=Цены!$H$15,Цены!$L$15,IF(BE78=Цены!$H$16,Цены!$L$16,IF(BE78=Цены!$H$17,Цены!$L$17,IF(BE78=Цены!$H$18,Цены!$L$18,IF(BE78=Цены!$H$19,Цены!$L$19,IF(BE78=Цены!$H$20,Цены!$L$20,IF(BE78=Цены!$H$21,Цены!$L$21,IF(BE78=Цены!$H$22,Цены!$L$22,IF(BE78=Цены!$H$23,Цены!$L$23,IF(BE78=Цены!$H$24,Цены!$L$24,IF(BE78=Цены!$H$25,Цены!$L$25,IF(BE78=Цены!$H$26,Цены!$L$26,IF(BE78=Цены!$H$27,Цены!$L$27,IF(BE78=Цены!$H$28,Цены!$L$28,IF(BE78=Цены!$H$29,Цены!$L$29,IF(BE78=Цены!$H$30,Цены!$L$30,IF(BE78=Цены!$H$31,Цены!$L$31,IF(BE78=Цены!$H$32,Цены!$L$32,IF(BE78=Цены!$H$33,Цены!$L$33,IF(BE78=Цены!$H$34,Цены!$L$34,IF(BE78=Цены!$H$35,Цены!$L$35,IF(BE78=Цены!$H$36,Цены!$L$36,IF(BE78=Цены!$H$37,Цены!$L$37,IF(BE78=Цены!$H$38,Цены!$L$38,IF(BE78=Цены!$H$39,Цены!$L$39,IF(BE78=Цены!$H$40,Цены!$L$40,IF(BE78=Цены!$H$41,Цены!$L$41,IF(BE78=Цены!$H$42,Цены!$L$42,IF(BE78=Цены!$H$43,Цены!$L$43,IF(BE78=Цены!$H$44,Цены!$L$44,IF(BE78=Цены!$H$45,Цены!$L$45,IF(BE78=Цены!$H$46,Цены!$L$46,IF(BE78=Цены!$H$47,Цены!$L$47,IF(BE78=Цены!$H$48,Цены!$L$48,IF(BE78=Цены!$H$49,Цены!$L$49,IF(BE78=Цены!$H$50,Цены!$L$50,IF(BE78=Цены!$H$51,Цены!$L$51,IF(BE78=Цены!$H$52,Цены!$L$52,IF(BE78=Цены!$H$53,Цены!$L$53,IF(BE78=Цены!$H$54,Цены!$L$54,IF(BE78=Цены!$H$55,Цены!$L$55))))))))))))))))))))))))))))))))))))))))))))))))))))))</f>
        <v>0</v>
      </c>
      <c r="BH78" s="276"/>
      <c r="BI78" s="34" t="b">
        <f>IF(BE78=Цены!$H$3,Цены!$K$3,IF(BE78=Цены!$H$4,Цены!$K$4,IF(BE78=Цены!$H$5,Цены!$K$5,IF(BE78=Цены!$H$6,Цены!$K$6,IF(BE78=Цены!$H$7,Цены!$K$7,IF(BE78=Цены!$H$8,Цены!$K$8,IF(BE78=Цены!$H$9,Цены!$K$9,IF(BE78=Цены!$H$10,Цены!$K$10,IF(BE78=Цены!$H$11,Цены!$K$11,IF(BE78=Цены!$H$12,Цены!$K$12,IF(BE78=Цены!$H$13,Цены!$K$13,IF(BE78=Цены!$H$14,Цены!$K$14,IF(BE78=Цены!$H$14,Цены!$K$14,IF(BE78=Цены!$H$15,Цены!$K$15,IF(BE78=Цены!$H$16,Цены!$K$16,IF(BE78=Цены!$H$17,Цены!$K$17,IF(BE78=Цены!$H$18,Цены!$K$18,IF(BE78=Цены!$H$19,Цены!$K$19,IF(BE78=Цены!$H$20,Цены!$K$20,IF(BE78=Цены!$H$21,Цены!$K$21,IF(BE78=Цены!$H$22,Цены!$K$22,IF(BE78=Цены!$H$23,Цены!$K$23,IF(BE78=Цены!$H$24,Цены!$K$24,IF(BE78=Цены!$H$25,Цены!$K$25,IF(BE78=Цены!$H$26,Цены!$K$26,IF(BE78=Цены!$H$27,Цены!$K$27,IF(BE78=Цены!$H$28,Цены!$K$28,IF(BE78=Цены!$H$29,Цены!$K$29,IF(BE78=Цены!$H$30,Цены!$K$30,IF(BE78=Цены!$H$31,Цены!$K$31,IF(BE78=Цены!$H$32,Цены!$K$32,IF(BE78=Цены!$H$33,Цены!$K$33,IF(BE78=Цены!$H$34,Цены!$K$34,IF(BE78=Цены!$H$35,Цены!$K$35,IF(BE78=Цены!$H$36,Цены!$K$36,IF(BE78=Цены!$H$37,Цены!$K$37,IF(BE78=Цены!$H$38,Цены!$K$38,IF(BE78=Цены!$H$39,Цены!$K$39,IF(BE78=Цены!$H$40,Цены!$K$40,IF(BE78=Цены!$H$41,Цены!$K$41,IF(BE78=Цены!$H$42,Цены!$K$42,IF(BE78=Цены!$H$43,Цены!$K$43,IF(BE78=Цены!$H$44,Цены!$K$44,IF(BE78=Цены!$H$45,Цены!$K$45,IF(BE78=Цены!$H$46,Цены!$K$46,IF(BE78=Цены!$H$47,Цены!$K$47,IF(BE78=Цены!$H$48,Цены!$K$48,IF(BE78=Цены!$H$49,Цены!$K$49,IF(BE78=Цены!$H$50,Цены!$K$50,IF(BE78=Цены!$H$51,Цены!$K$51,IF(BE78=Цены!$H$52,Цены!$K$52,IF(BE78=Цены!$H$53,Цены!$K$53,IF(BE78=Цены!$H$54,Цены!$K$54,IF(BE78=Цены!$H$55,Цены!$K$55))))))))))))))))))))))))))))))))))))))))))))))))))))))</f>
        <v>0</v>
      </c>
      <c r="BJ78" s="265"/>
      <c r="BK78" s="265"/>
      <c r="BL78" s="266"/>
      <c r="BM78" s="267"/>
      <c r="BN78" s="267"/>
      <c r="BO78" s="268"/>
      <c r="BP78" s="269"/>
      <c r="BQ78" s="270"/>
      <c r="BR78" s="210"/>
      <c r="BS78" s="43"/>
      <c r="BT78" s="33" t="b">
        <f>IF(BR78=Цены!$H$3,Цены!$L$3,IF(BR78=Цены!$H$4,Цены!$L$4,IF(BR78=Цены!$H$5,Цены!$L$5,IF(BR78=Цены!$H$6,Цены!$L$6,IF(BR78=Цены!$H$7,Цены!$L$7,IF(BR78=Цены!$H$8,Цены!$L$8,IF(BR78=Цены!$H$9,Цены!$L$9,IF(BR78=Цены!$H$10,Цены!$L$10,IF(BR78=Цены!$H$11,Цены!$L$11,IF(BR78=Цены!$H$12,Цены!$L$12,IF(BR78=Цены!$H$13,Цены!$L$13,IF(BR78=Цены!$H$14,Цены!$L$14,IF(BR78=Цены!$H$14,Цены!$L$14,IF(BR78=Цены!$H$15,Цены!$L$15,IF(BR78=Цены!$H$16,Цены!$L$16,IF(BR78=Цены!$H$17,Цены!$L$17,IF(BR78=Цены!$H$18,Цены!$L$18,IF(BR78=Цены!$H$19,Цены!$L$19,IF(BR78=Цены!$H$20,Цены!$L$20,IF(BR78=Цены!$H$21,Цены!$L$21,IF(BR78=Цены!$H$22,Цены!$L$22,IF(BR78=Цены!$H$23,Цены!$L$23,IF(BR78=Цены!$H$24,Цены!$L$24,IF(BR78=Цены!$H$25,Цены!$L$25,IF(BR78=Цены!$H$26,Цены!$L$26,IF(BR78=Цены!$H$27,Цены!$L$27,IF(BR78=Цены!$H$28,Цены!$L$28,IF(BR78=Цены!$H$29,Цены!$L$29,IF(BR78=Цены!$H$30,Цены!$L$30,IF(BR78=Цены!$H$31,Цены!$L$31,IF(BR78=Цены!$H$32,Цены!$L$32,IF(BR78=Цены!$H$33,Цены!$L$33,IF(BR78=Цены!$H$34,Цены!$L$34,IF(BR78=Цены!$H$35,Цены!$L$35,IF(BR78=Цены!$H$36,Цены!$L$36,IF(BR78=Цены!$H$37,Цены!$L$37,IF(BR78=Цены!$H$38,Цены!$L$38,IF(BR78=Цены!$H$39,Цены!$L$39,IF(BR78=Цены!$H$40,Цены!$L$40,IF(BR78=Цены!$H$41,Цены!$L$41,IF(BR78=Цены!$H$42,Цены!$L$42,IF(BR78=Цены!$H$43,Цены!$L$43,IF(BR78=Цены!$H$44,Цены!$L$44,IF(BR78=Цены!$H$45,Цены!$L$45,IF(BR78=Цены!$H$46,Цены!$L$46,IF(BR78=Цены!$H$47,Цены!$L$47,IF(BR78=Цены!$H$48,Цены!$L$48,IF(BR78=Цены!$H$49,Цены!$L$49,IF(BR78=Цены!$H$50,Цены!$L$50,IF(BR78=Цены!$H$51,Цены!$L$51,IF(BR78=Цены!$H$52,Цены!$L$52,IF(BR78=Цены!$H$53,Цены!$L$53,IF(BR78=Цены!$H$54,Цены!$L$54,IF(BR78=Цены!$H$55,Цены!$L$55))))))))))))))))))))))))))))))))))))))))))))))))))))))</f>
        <v>0</v>
      </c>
      <c r="BU78" s="276"/>
      <c r="BV78" s="34" t="b">
        <f>IF(BR78=Цены!$H$3,Цены!$K$3,IF(BR78=Цены!$H$4,Цены!$K$4,IF(BR78=Цены!$H$5,Цены!$K$5,IF(BR78=Цены!$H$6,Цены!$K$6,IF(BR78=Цены!$H$7,Цены!$K$7,IF(BR78=Цены!$H$8,Цены!$K$8,IF(BR78=Цены!$H$9,Цены!$K$9,IF(BR78=Цены!$H$10,Цены!$K$10,IF(BR78=Цены!$H$11,Цены!$K$11,IF(BR78=Цены!$H$12,Цены!$K$12,IF(BR78=Цены!$H$13,Цены!$K$13,IF(BR78=Цены!$H$14,Цены!$K$14,IF(BR78=Цены!$H$14,Цены!$K$14,IF(BR78=Цены!$H$15,Цены!$K$15,IF(BR78=Цены!$H$16,Цены!$K$16,IF(BR78=Цены!$H$17,Цены!$K$17,IF(BR78=Цены!$H$18,Цены!$K$18,IF(BR78=Цены!$H$19,Цены!$K$19,IF(BR78=Цены!$H$20,Цены!$K$20,IF(BR78=Цены!$H$21,Цены!$K$21,IF(BR78=Цены!$H$22,Цены!$K$22,IF(BR78=Цены!$H$23,Цены!$K$23,IF(BR78=Цены!$H$24,Цены!$K$24,IF(BR78=Цены!$H$25,Цены!$K$25,IF(BR78=Цены!$H$26,Цены!$K$26,IF(BR78=Цены!$H$27,Цены!$K$27,IF(BR78=Цены!$H$28,Цены!$K$28,IF(BR78=Цены!$H$29,Цены!$K$29,IF(BR78=Цены!$H$30,Цены!$K$30,IF(BR78=Цены!$H$31,Цены!$K$31,IF(BR78=Цены!$H$32,Цены!$K$32,IF(BR78=Цены!$H$33,Цены!$K$33,IF(BR78=Цены!$H$34,Цены!$K$34,IF(BR78=Цены!$H$35,Цены!$K$35,IF(BR78=Цены!$H$36,Цены!$K$36,IF(BR78=Цены!$H$37,Цены!$K$37,IF(BR78=Цены!$H$38,Цены!$K$38,IF(BR78=Цены!$H$39,Цены!$K$39,IF(BR78=Цены!$H$40,Цены!$K$40,IF(BR78=Цены!$H$41,Цены!$K$41,IF(BR78=Цены!$H$42,Цены!$K$42,IF(BR78=Цены!$H$43,Цены!$K$43,IF(BR78=Цены!$H$44,Цены!$K$44,IF(BR78=Цены!$H$45,Цены!$K$45,IF(BR78=Цены!$H$46,Цены!$K$46,IF(BR78=Цены!$H$47,Цены!$K$47,IF(BR78=Цены!$H$48,Цены!$K$48,IF(BR78=Цены!$H$49,Цены!$K$49,IF(BR78=Цены!$H$50,Цены!$K$50,IF(BR78=Цены!$H$51,Цены!$K$51,IF(BR78=Цены!$H$52,Цены!$K$52,IF(BR78=Цены!$H$53,Цены!$K$53,IF(BR78=Цены!$H$54,Цены!$K$54,IF(BR78=Цены!$H$55,Цены!$K$55))))))))))))))))))))))))))))))))))))))))))))))))))))))</f>
        <v>0</v>
      </c>
      <c r="BW78" s="265"/>
      <c r="BX78" s="265"/>
      <c r="BY78" s="266"/>
      <c r="BZ78" s="267"/>
      <c r="CA78" s="267"/>
      <c r="CB78" s="268"/>
      <c r="CC78" s="269"/>
      <c r="CD78" s="270"/>
      <c r="CE78" s="171" t="s">
        <v>121</v>
      </c>
      <c r="CF78" s="43">
        <v>2</v>
      </c>
      <c r="CG78" s="33">
        <f>IF(CE78=Цены!$H$3,Цены!$L$3,IF(CE78=Цены!$H$4,Цены!$L$4,IF(CE78=Цены!$H$5,Цены!$L$5,IF(CE78=Цены!$H$6,Цены!$L$6,IF(CE78=Цены!$H$7,Цены!$L$7,IF(CE78=Цены!$H$8,Цены!$L$8,IF(CE78=Цены!$H$9,Цены!$L$9,IF(CE78=Цены!$H$10,Цены!$L$10,IF(CE78=Цены!$H$11,Цены!$L$11,IF(CE78=Цены!$H$12,Цены!$L$12,IF(CE78=Цены!$H$13,Цены!$L$13,IF(CE78=Цены!$H$14,Цены!$L$14,IF(CE78=Цены!$H$14,Цены!$L$14,IF(CE78=Цены!$H$15,Цены!$L$15,IF(CE78=Цены!$H$16,Цены!$L$16,IF(CE78=Цены!$H$17,Цены!$L$17,IF(CE78=Цены!$H$18,Цены!$L$18,IF(CE78=Цены!$H$19,Цены!$L$19,IF(CE78=Цены!$H$20,Цены!$L$20,IF(CE78=Цены!$H$21,Цены!$L$21,IF(CE78=Цены!$H$22,Цены!$L$22,IF(CE78=Цены!$H$23,Цены!$L$23,IF(CE78=Цены!$H$24,Цены!$L$24,IF(CE78=Цены!$H$25,Цены!$L$25,IF(CE78=Цены!$H$26,Цены!$L$26,IF(CE78=Цены!$H$27,Цены!$L$27,IF(CE78=Цены!$H$28,Цены!$L$28,IF(CE78=Цены!$H$29,Цены!$L$29,IF(CE78=Цены!$H$30,Цены!$L$30,IF(CE78=Цены!$H$31,Цены!$L$31,IF(CE78=Цены!$H$32,Цены!$L$32,IF(CE78=Цены!$H$33,Цены!$L$33,IF(CE78=Цены!$H$34,Цены!$L$34,IF(CE78=Цены!$H$35,Цены!$L$35,IF(CE78=Цены!$H$36,Цены!$L$36,IF(CE78=Цены!$H$37,Цены!$L$37,IF(CE78=Цены!$H$38,Цены!$L$38,IF(CE78=Цены!$H$39,Цены!$L$39,IF(CE78=Цены!$H$40,Цены!$L$40,IF(CE78=Цены!$H$41,Цены!$L$41,IF(CE78=Цены!$H$42,Цены!$L$42,IF(CE78=Цены!$H$43,Цены!$L$43,IF(CE78=Цены!$H$44,Цены!$L$44,IF(CE78=Цены!$H$45,Цены!$L$45,IF(CE78=Цены!$H$46,Цены!$L$46,IF(CE78=Цены!$H$47,Цены!$L$47,IF(CE78=Цены!$H$48,Цены!$L$48,IF(CE78=Цены!$H$49,Цены!$L$49,IF(CE78=Цены!$H$50,Цены!$L$50,IF(CE78=Цены!$H$51,Цены!$L$51,IF(CE78=Цены!$H$52,Цены!$L$52,IF(CE78=Цены!$H$53,Цены!$L$53,IF(CE78=Цены!$H$54,Цены!$L$54,IF(CE78=Цены!$H$55,Цены!$L$55))))))))))))))))))))))))))))))))))))))))))))))))))))))</f>
        <v>1.32E-2</v>
      </c>
      <c r="CH78" s="276"/>
      <c r="CI78" s="34">
        <f>IF(CE78=Цены!$H$3,Цены!$K$3,IF(CE78=Цены!$H$4,Цены!$K$4,IF(CE78=Цены!$H$5,Цены!$K$5,IF(CE78=Цены!$H$6,Цены!$K$6,IF(CE78=Цены!$H$7,Цены!$K$7,IF(CE78=Цены!$H$8,Цены!$K$8,IF(CE78=Цены!$H$9,Цены!$K$9,IF(CE78=Цены!$H$10,Цены!$K$10,IF(CE78=Цены!$H$11,Цены!$K$11,IF(CE78=Цены!$H$12,Цены!$K$12,IF(CE78=Цены!$H$13,Цены!$K$13,IF(CE78=Цены!$H$14,Цены!$K$14,IF(CE78=Цены!$H$14,Цены!$K$14,IF(CE78=Цены!$H$15,Цены!$K$15,IF(CE78=Цены!$H$16,Цены!$K$16,IF(CE78=Цены!$H$17,Цены!$K$17,IF(CE78=Цены!$H$18,Цены!$K$18,IF(CE78=Цены!$H$19,Цены!$K$19,IF(CE78=Цены!$H$20,Цены!$K$20,IF(CE78=Цены!$H$21,Цены!$K$21,IF(CE78=Цены!$H$22,Цены!$K$22,IF(CE78=Цены!$H$23,Цены!$K$23,IF(CE78=Цены!$H$24,Цены!$K$24,IF(CE78=Цены!$H$25,Цены!$K$25,IF(CE78=Цены!$H$26,Цены!$K$26,IF(CE78=Цены!$H$27,Цены!$K$27,IF(CE78=Цены!$H$28,Цены!$K$28,IF(CE78=Цены!$H$29,Цены!$K$29,IF(CE78=Цены!$H$30,Цены!$K$30,IF(CE78=Цены!$H$31,Цены!$K$31,IF(CE78=Цены!$H$32,Цены!$K$32,IF(CE78=Цены!$H$33,Цены!$K$33,IF(CE78=Цены!$H$34,Цены!$K$34,IF(CE78=Цены!$H$35,Цены!$K$35,IF(CE78=Цены!$H$36,Цены!$K$36,IF(CE78=Цены!$H$37,Цены!$K$37,IF(CE78=Цены!$H$38,Цены!$K$38,IF(CE78=Цены!$H$39,Цены!$K$39,IF(CE78=Цены!$H$40,Цены!$K$40,IF(CE78=Цены!$H$41,Цены!$K$41,IF(CE78=Цены!$H$42,Цены!$K$42,IF(CE78=Цены!$H$43,Цены!$K$43,IF(CE78=Цены!$H$44,Цены!$K$44,IF(CE78=Цены!$H$45,Цены!$K$45,IF(CE78=Цены!$H$46,Цены!$K$46,IF(CE78=Цены!$H$47,Цены!$K$47,IF(CE78=Цены!$H$48,Цены!$K$48,IF(CE78=Цены!$H$49,Цены!$K$49,IF(CE78=Цены!$H$50,Цены!$K$50,IF(CE78=Цены!$H$51,Цены!$K$51,IF(CE78=Цены!$H$52,Цены!$K$52,IF(CE78=Цены!$H$53,Цены!$K$53,IF(CE78=Цены!$H$54,Цены!$K$54,IF(CE78=Цены!$H$55,Цены!$K$55))))))))))))))))))))))))))))))))))))))))))))))))))))))</f>
        <v>54</v>
      </c>
      <c r="CJ78" s="265"/>
      <c r="CK78" s="265"/>
      <c r="CL78" s="266"/>
      <c r="CM78" s="267"/>
      <c r="CN78" s="267"/>
      <c r="CO78" s="268"/>
      <c r="CP78" s="269"/>
      <c r="CQ78" s="270"/>
    </row>
    <row r="79" spans="1:95" s="40" customFormat="1" ht="15" customHeight="1" x14ac:dyDescent="0.25">
      <c r="A79" s="353"/>
      <c r="B79" s="265"/>
      <c r="C79" s="336" t="s">
        <v>120</v>
      </c>
      <c r="D79" s="173" t="s">
        <v>67</v>
      </c>
      <c r="E79" s="168">
        <v>9</v>
      </c>
      <c r="F79" s="46">
        <f>IF(D79=Цены!$H$3,Цены!$L$3,IF(D79=Цены!$H$4,Цены!$L$4,IF(D79=Цены!$H$5,Цены!$L$5,IF(D79=Цены!$H$6,Цены!$L$6,IF(D79=Цены!$H$7,Цены!$L$7,IF(D79=Цены!$H$8,Цены!$L$8,IF(D79=Цены!$H$9,Цены!$L$9,IF(D79=Цены!$H$10,Цены!$L$10,IF(D79=Цены!$H$11,Цены!$L$11,IF(D79=Цены!$H$12,Цены!$L$12,IF(D79=Цены!$H$13,Цены!$L$13,IF(D79=Цены!$H$14,Цены!$L$14,IF(D79=Цены!$H$14,Цены!$L$14,IF(D79=Цены!$H$15,Цены!$L$15,IF(D79=Цены!$H$16,Цены!$L$16,IF(D79=Цены!$H$17,Цены!$L$17,IF(D79=Цены!$H$18,Цены!$L$18,IF(D79=Цены!$H$19,Цены!$L$19,IF(D79=Цены!$H$20,Цены!$L$20,IF(D79=Цены!$H$21,Цены!$L$21,IF(D79=Цены!$H$22,Цены!$L$22,IF(D79=Цены!$H$23,Цены!$L$23,IF(D79=Цены!$H$24,Цены!$L$24,IF(D79=Цены!$H$25,Цены!$L$25,IF(D79=Цены!$H$26,Цены!$L$26,IF(D79=Цены!$H$27,Цены!$L$27,IF(D79=Цены!$H$28,Цены!$L$28,IF(D79=Цены!$H$29,Цены!$L$29,IF(D79=Цены!$H$30,Цены!$L$30,IF(D79=Цены!$H$31,Цены!$L$31,IF(D79=Цены!$H$32,Цены!$L$32,IF(D79=Цены!$H$33,Цены!$L$33,IF(D79=Цены!$H$34,Цены!$L$34,IF(D79=Цены!$H$35,Цены!$L$35,IF(D79=Цены!$H$36,Цены!$L$36,IF(D79=Цены!$H$37,Цены!$L$37,IF(D79=Цены!$H$38,Цены!$L$38,IF(D79=Цены!$H$39,Цены!$L$39,IF(D79=Цены!$H$40,Цены!$L$40,IF(D79=Цены!$H$41,Цены!$L$41,IF(D79=Цены!$H$42,Цены!$L$42,IF(D79=Цены!$H$43,Цены!$L$43,IF(D79=Цены!$H$44,Цены!$L$44,IF(D79=Цены!$H$45,Цены!$L$45,IF(D79=Цены!$H$46,Цены!$L$46,IF(D79=Цены!$H$47,Цены!$L$47,IF(D79=Цены!$H$48,Цены!$L$48,IF(D79=Цены!$H$49,Цены!$L$49,IF(D79=Цены!$H$50,Цены!$L$50,IF(D79=Цены!$H$51,Цены!$L$51,IF(D79=Цены!$H$52,Цены!$L$52,IF(D79=Цены!$H$53,Цены!$L$53,IF(D79=Цены!$H$54,Цены!$L$54,IF(D79=Цены!$H$55,Цены!$L$55))))))))))))))))))))))))))))))))))))))))))))))))))))))</f>
        <v>0.9</v>
      </c>
      <c r="G79" s="339">
        <f>E79*F79+E80*F80+E81*F81+E82*F82</f>
        <v>15.6996</v>
      </c>
      <c r="H79" s="47">
        <f>IF(D79=Цены!$H$3,Цены!$K$3,IF(D79=Цены!$H$4,Цены!$K$4,IF(D79=Цены!$H$5,Цены!$K$5,IF(D79=Цены!$H$6,Цены!$K$6,IF(D79=Цены!$H$7,Цены!$K$7,IF(D79=Цены!$H$8,Цены!$K$8,IF(D79=Цены!$H$9,Цены!$K$9,IF(D79=Цены!$H$10,Цены!$K$10,IF(D79=Цены!$H$11,Цены!$K$11,IF(D79=Цены!$H$12,Цены!$K$12,IF(D79=Цены!$H$13,Цены!$K$13,IF(D79=Цены!$H$14,Цены!$K$14,IF(D79=Цены!$H$14,Цены!$K$14,IF(D79=Цены!$H$15,Цены!$K$15,IF(D79=Цены!$H$16,Цены!$K$16,IF(D79=Цены!$H$17,Цены!$K$17,IF(D79=Цены!$H$18,Цены!$K$18,IF(D79=Цены!$H$19,Цены!$K$19,IF(D79=Цены!$H$20,Цены!$K$20,IF(D79=Цены!$H$21,Цены!$K$21,IF(D79=Цены!$H$22,Цены!$K$22,IF(D79=Цены!$H$23,Цены!$K$23,IF(D79=Цены!$H$24,Цены!$K$24,IF(D79=Цены!$H$25,Цены!$K$25,IF(D79=Цены!$H$26,Цены!$K$26,IF(D79=Цены!$H$27,Цены!$K$27,IF(D79=Цены!$H$28,Цены!$K$28,IF(D79=Цены!$H$29,Цены!$K$29,IF(D79=Цены!$H$30,Цены!$K$30,IF(D79=Цены!$H$31,Цены!$K$31,IF(D79=Цены!$H$32,Цены!$K$32,IF(D79=Цены!$H$33,Цены!$K$33,IF(D79=Цены!$H$34,Цены!$K$34,IF(D79=Цены!$H$35,Цены!$K$35,IF(D79=Цены!$H$36,Цены!$K$36,IF(D79=Цены!$H$37,Цены!$K$37,IF(D79=Цены!$H$38,Цены!$K$38,IF(D79=Цены!$H$39,Цены!$K$39,IF(D79=Цены!$H$40,Цены!$K$40,IF(D79=Цены!$H$41,Цены!$K$41,IF(D79=Цены!$H$42,Цены!$K$42,IF(D79=Цены!$H$43,Цены!$K$43,IF(D79=Цены!$H$44,Цены!$K$44,IF(D79=Цены!$H$45,Цены!$K$45,IF(D79=Цены!$H$46,Цены!$K$46,IF(D79=Цены!$H$47,Цены!$K$47,IF(D79=Цены!$H$48,Цены!$K$48,IF(D79=Цены!$H$49,Цены!$K$49,IF(D79=Цены!$H$50,Цены!$K$50,IF(D79=Цены!$H$51,Цены!$K$51,IF(D79=Цены!$H$52,Цены!$K$52,IF(D79=Цены!$H$53,Цены!$K$53,IF(D79=Цены!$H$54,Цены!$K$54,IF(D79=Цены!$H$55,Цены!$K$55))))))))))))))))))))))))))))))))))))))))))))))))))))))</f>
        <v>338</v>
      </c>
      <c r="I79" s="265"/>
      <c r="J79" s="265"/>
      <c r="K79" s="272">
        <f t="shared" ref="K79" si="147">E79*H79+E80*H80+E81*H81+E82*H82</f>
        <v>8382</v>
      </c>
      <c r="L79" s="273">
        <v>8000</v>
      </c>
      <c r="M79" s="272">
        <f t="shared" ref="M79" si="148">K79+L79</f>
        <v>16382</v>
      </c>
      <c r="N79" s="268"/>
      <c r="O79" s="332">
        <f>N75/M79*100</f>
        <v>48.834086192162133</v>
      </c>
      <c r="P79" s="275">
        <f>MROUND(M79+N75,500)</f>
        <v>24500</v>
      </c>
      <c r="Q79" s="206" t="s">
        <v>143</v>
      </c>
      <c r="R79" s="37">
        <v>10</v>
      </c>
      <c r="S79" s="38">
        <f>IF(Q79=Цены!$H$3,Цены!$L$3,IF(Q79=Цены!$H$4,Цены!$L$4,IF(Q79=Цены!$H$5,Цены!$L$5,IF(Q79=Цены!$H$6,Цены!$L$6,IF(Q79=Цены!$H$7,Цены!$L$7,IF(Q79=Цены!$H$8,Цены!$L$8,IF(Q79=Цены!$H$9,Цены!$L$9,IF(Q79=Цены!$H$10,Цены!$L$10,IF(Q79=Цены!$H$11,Цены!$L$11,IF(Q79=Цены!$H$12,Цены!$L$12,IF(Q79=Цены!$H$13,Цены!$L$13,IF(Q79=Цены!$H$14,Цены!$L$14,IF(Q79=Цены!$H$14,Цены!$L$14,IF(Q79=Цены!$H$15,Цены!$L$15,IF(Q79=Цены!$H$16,Цены!$L$16,IF(Q79=Цены!$H$17,Цены!$L$17,IF(Q79=Цены!$H$18,Цены!$L$18,IF(Q79=Цены!$H$19,Цены!$L$19,IF(Q79=Цены!$H$20,Цены!$L$20,IF(Q79=Цены!$H$21,Цены!$L$21,IF(Q79=Цены!$H$22,Цены!$L$22,IF(Q79=Цены!$H$23,Цены!$L$23,IF(Q79=Цены!$H$24,Цены!$L$24,IF(Q79=Цены!$H$25,Цены!$L$25,IF(Q79=Цены!$H$26,Цены!$L$26,IF(Q79=Цены!$H$27,Цены!$L$27,IF(Q79=Цены!$H$28,Цены!$L$28,IF(Q79=Цены!$H$29,Цены!$L$29,IF(Q79=Цены!$H$30,Цены!$L$30,IF(Q79=Цены!$H$31,Цены!$L$31,IF(Q79=Цены!$H$32,Цены!$L$32,IF(Q79=Цены!$H$33,Цены!$L$33,IF(Q79=Цены!$H$34,Цены!$L$34,IF(Q79=Цены!$H$35,Цены!$L$35,IF(Q79=Цены!$H$36,Цены!$L$36,IF(Q79=Цены!$H$37,Цены!$L$37,IF(Q79=Цены!$H$38,Цены!$L$38,IF(Q79=Цены!$H$39,Цены!$L$39,IF(Q79=Цены!$H$40,Цены!$L$40,IF(Q79=Цены!$H$41,Цены!$L$41,IF(Q79=Цены!$H$42,Цены!$L$42,IF(Q79=Цены!$H$43,Цены!$L$43,IF(Q79=Цены!$H$44,Цены!$L$44,IF(Q79=Цены!$H$45,Цены!$L$45,IF(Q79=Цены!$H$46,Цены!$L$46,IF(Q79=Цены!$H$47,Цены!$L$47,IF(Q79=Цены!$H$48,Цены!$L$48,IF(Q79=Цены!$H$49,Цены!$L$49,IF(Q79=Цены!$H$50,Цены!$L$50,IF(Q79=Цены!$H$51,Цены!$L$51,IF(Q79=Цены!$H$52,Цены!$L$52,IF(Q79=Цены!$H$53,Цены!$L$53,IF(Q79=Цены!$H$54,Цены!$L$54,IF(Q79=Цены!$H$55,Цены!$L$55))))))))))))))))))))))))))))))))))))))))))))))))))))))</f>
        <v>2.4</v>
      </c>
      <c r="T79" s="322">
        <f>R79*S79+R80*S80+R81*S81+R82*S82</f>
        <v>29.75</v>
      </c>
      <c r="U79" s="161">
        <f>IF(Q79=Цены!$H$3,Цены!$K$3,IF(Q79=Цены!$H$4,Цены!$K$4,IF(Q79=Цены!$H$5,Цены!$K$5,IF(Q79=Цены!$H$6,Цены!$K$6,IF(Q79=Цены!$H$7,Цены!$K$7,IF(Q79=Цены!$H$8,Цены!$K$8,IF(Q79=Цены!$H$9,Цены!$K$9,IF(Q79=Цены!$H$10,Цены!$K$10,IF(Q79=Цены!$H$11,Цены!$K$11,IF(Q79=Цены!$H$12,Цены!$K$12,IF(Q79=Цены!$H$13,Цены!$K$13,IF(Q79=Цены!$H$14,Цены!$K$14,IF(Q79=Цены!$H$14,Цены!$K$14,IF(Q79=Цены!$H$15,Цены!$K$15,IF(Q79=Цены!$H$16,Цены!$K$16,IF(Q79=Цены!$H$17,Цены!$K$17,IF(Q79=Цены!$H$18,Цены!$K$18,IF(Q79=Цены!$H$19,Цены!$K$19,IF(Q79=Цены!$H$20,Цены!$K$20,IF(Q79=Цены!$H$21,Цены!$K$21,IF(Q79=Цены!$H$22,Цены!$K$22,IF(Q79=Цены!$H$23,Цены!$K$23,IF(Q79=Цены!$H$24,Цены!$K$24,IF(Q79=Цены!$H$25,Цены!$K$25,IF(Q79=Цены!$H$26,Цены!$K$26,IF(Q79=Цены!$H$27,Цены!$K$27,IF(Q79=Цены!$H$28,Цены!$K$28,IF(Q79=Цены!$H$29,Цены!$K$29,IF(Q79=Цены!$H$30,Цены!$K$30,IF(Q79=Цены!$H$31,Цены!$K$31,IF(Q79=Цены!$H$32,Цены!$K$32,IF(Q79=Цены!$H$33,Цены!$K$33,IF(Q79=Цены!$H$34,Цены!$K$34,IF(Q79=Цены!$H$35,Цены!$K$35,IF(Q79=Цены!$H$36,Цены!$K$36,IF(Q79=Цены!$H$37,Цены!$K$37,IF(Q79=Цены!$H$38,Цены!$K$38,IF(Q79=Цены!$H$39,Цены!$K$39,IF(Q79=Цены!$H$40,Цены!$K$40,IF(Q79=Цены!$H$41,Цены!$K$41,IF(Q79=Цены!$H$42,Цены!$K$42,IF(Q79=Цены!$H$43,Цены!$K$43,IF(Q79=Цены!$H$44,Цены!$K$44,IF(Q79=Цены!$H$45,Цены!$K$45,IF(Q79=Цены!$H$46,Цены!$K$46,IF(Q79=Цены!$H$47,Цены!$K$47,IF(Q79=Цены!$H$48,Цены!$K$48,IF(Q79=Цены!$H$49,Цены!$K$49,IF(Q79=Цены!$H$50,Цены!$K$50,IF(Q79=Цены!$H$51,Цены!$K$51,IF(Q79=Цены!$H$52,Цены!$K$52,IF(Q79=Цены!$H$53,Цены!$K$53,IF(Q79=Цены!$H$54,Цены!$K$54,IF(Q79=Цены!$H$55,Цены!$K$55))))))))))))))))))))))))))))))))))))))))))))))))))))))</f>
        <v>469</v>
      </c>
      <c r="V79" s="265"/>
      <c r="W79" s="265"/>
      <c r="X79" s="272">
        <f t="shared" ref="X79" si="149">R79*U79+R80*U80+R81*U81+R82*U82</f>
        <v>6690</v>
      </c>
      <c r="Y79" s="273">
        <v>5000</v>
      </c>
      <c r="Z79" s="272">
        <f t="shared" ref="Z79" si="150">X79+Y79</f>
        <v>11690</v>
      </c>
      <c r="AA79" s="320"/>
      <c r="AB79" s="323">
        <f>AA75/Z79*100</f>
        <v>42.771599657827203</v>
      </c>
      <c r="AC79" s="275">
        <f>MROUND(Z79+AA75,500)</f>
        <v>16500</v>
      </c>
      <c r="AD79" s="211" t="s">
        <v>69</v>
      </c>
      <c r="AE79" s="67">
        <v>10</v>
      </c>
      <c r="AF79" s="68">
        <f>IF(AD79=Цены!$H$3,Цены!$L$3,IF(AD79=Цены!$H$4,Цены!$L$4,IF(AD79=Цены!$H$5,Цены!$L$5,IF(AD79=Цены!$H$6,Цены!$L$6,IF(AD79=Цены!$H$7,Цены!$L$7,IF(AD79=Цены!$H$8,Цены!$L$8,IF(AD79=Цены!$H$9,Цены!$L$9,IF(AD79=Цены!$H$10,Цены!$L$10,IF(AD79=Цены!$H$11,Цены!$L$11,IF(AD79=Цены!$H$12,Цены!$L$12,IF(AD79=Цены!$H$13,Цены!$L$13,IF(AD79=Цены!$H$14,Цены!$L$14,IF(AD79=Цены!$H$14,Цены!$L$14,IF(AD79=Цены!$H$15,Цены!$L$15,IF(AD79=Цены!$H$16,Цены!$L$16,IF(AD79=Цены!$H$17,Цены!$L$17,IF(AD79=Цены!$H$18,Цены!$L$18,IF(AD79=Цены!$H$19,Цены!$L$19,IF(AD79=Цены!$H$20,Цены!$L$20,IF(AD79=Цены!$H$21,Цены!$L$21,IF(AD79=Цены!$H$22,Цены!$L$22,IF(AD79=Цены!$H$23,Цены!$L$23,IF(AD79=Цены!$H$24,Цены!$L$24,IF(AD79=Цены!$H$25,Цены!$L$25,IF(AD79=Цены!$H$26,Цены!$L$26,IF(AD79=Цены!$H$27,Цены!$L$27,IF(AD79=Цены!$H$28,Цены!$L$28,IF(AD79=Цены!$H$29,Цены!$L$29,IF(AD79=Цены!$H$30,Цены!$L$30,IF(AD79=Цены!$H$31,Цены!$L$31,IF(AD79=Цены!$H$32,Цены!$L$32,IF(AD79=Цены!$H$33,Цены!$L$33,IF(AD79=Цены!$H$34,Цены!$L$34,IF(AD79=Цены!$H$35,Цены!$L$35,IF(AD79=Цены!$H$36,Цены!$L$36,IF(AD79=Цены!$H$37,Цены!$L$37,IF(AD79=Цены!$H$38,Цены!$L$38,IF(AD79=Цены!$H$39,Цены!$L$39,IF(AD79=Цены!$H$40,Цены!$L$40,IF(AD79=Цены!$H$41,Цены!$L$41,IF(AD79=Цены!$H$42,Цены!$L$42,IF(AD79=Цены!$H$43,Цены!$L$43,IF(AD79=Цены!$H$44,Цены!$L$44,IF(AD79=Цены!$H$45,Цены!$L$45,IF(AD79=Цены!$H$46,Цены!$L$46,IF(AD79=Цены!$H$47,Цены!$L$47,IF(AD79=Цены!$H$48,Цены!$L$48,IF(AD79=Цены!$H$49,Цены!$L$49,IF(AD79=Цены!$H$50,Цены!$L$50,IF(AD79=Цены!$H$51,Цены!$L$51,IF(AD79=Цены!$H$52,Цены!$L$52,IF(AD79=Цены!$H$53,Цены!$L$53,IF(AD79=Цены!$H$54,Цены!$L$54,IF(AD79=Цены!$H$55,Цены!$L$55))))))))))))))))))))))))))))))))))))))))))))))))))))))</f>
        <v>1.19</v>
      </c>
      <c r="AG79" s="311">
        <f>AE79*AF79+AE80*AF80+AE81*AF81+AE82*AF82</f>
        <v>46</v>
      </c>
      <c r="AH79" s="69">
        <f>IF(AD79=Цены!$H$3,Цены!$K$3,IF(AD79=Цены!$H$4,Цены!$K$4,IF(AD79=Цены!$H$5,Цены!$K$5,IF(AD79=Цены!$H$6,Цены!$K$6,IF(AD79=Цены!$H$7,Цены!$K$7,IF(AD79=Цены!$H$8,Цены!$K$8,IF(AD79=Цены!$H$9,Цены!$K$9,IF(AD79=Цены!$H$10,Цены!$K$10,IF(AD79=Цены!$H$11,Цены!$K$11,IF(AD79=Цены!$H$12,Цены!$K$12,IF(AD79=Цены!$H$13,Цены!$K$13,IF(AD79=Цены!$H$14,Цены!$K$14,IF(AD79=Цены!$H$14,Цены!$K$14,IF(AD79=Цены!$H$15,Цены!$K$15,IF(AD79=Цены!$H$16,Цены!$K$16,IF(AD79=Цены!$H$17,Цены!$K$17,IF(AD79=Цены!$H$18,Цены!$K$18,IF(AD79=Цены!$H$19,Цены!$K$19,IF(AD79=Цены!$H$20,Цены!$K$20,IF(AD79=Цены!$H$21,Цены!$K$21,IF(AD79=Цены!$H$22,Цены!$K$22,IF(AD79=Цены!$H$23,Цены!$K$23,IF(AD79=Цены!$H$24,Цены!$K$24,IF(AD79=Цены!$H$25,Цены!$K$25,IF(AD79=Цены!$H$26,Цены!$K$26,IF(AD79=Цены!$H$27,Цены!$K$27,IF(AD79=Цены!$H$28,Цены!$K$28,IF(AD79=Цены!$H$29,Цены!$K$29,IF(AD79=Цены!$H$30,Цены!$K$30,IF(AD79=Цены!$H$31,Цены!$K$31,IF(AD79=Цены!$H$32,Цены!$K$32,IF(AD79=Цены!$H$33,Цены!$K$33,IF(AD79=Цены!$H$34,Цены!$K$34,IF(AD79=Цены!$H$35,Цены!$K$35,IF(AD79=Цены!$H$36,Цены!$K$36,IF(AD79=Цены!$H$37,Цены!$K$37,IF(AD79=Цены!$H$38,Цены!$K$38,IF(AD79=Цены!$H$39,Цены!$K$39,IF(AD79=Цены!$H$40,Цены!$K$40,IF(AD79=Цены!$H$41,Цены!$K$41,IF(AD79=Цены!$H$42,Цены!$K$42,IF(AD79=Цены!$H$43,Цены!$K$43,IF(AD79=Цены!$H$44,Цены!$K$44,IF(AD79=Цены!$H$45,Цены!$K$45,IF(AD79=Цены!$H$46,Цены!$K$46,IF(AD79=Цены!$H$47,Цены!$K$47,IF(AD79=Цены!$H$48,Цены!$K$48,IF(AD79=Цены!$H$49,Цены!$K$49,IF(AD79=Цены!$H$50,Цены!$K$50,IF(AD79=Цены!$H$51,Цены!$K$51,IF(AD79=Цены!$H$52,Цены!$K$52,IF(AD79=Цены!$H$53,Цены!$K$53,IF(AD79=Цены!$H$54,Цены!$K$54,IF(AD79=Цены!$H$55,Цены!$K$55))))))))))))))))))))))))))))))))))))))))))))))))))))))</f>
        <v>398</v>
      </c>
      <c r="AI79" s="265"/>
      <c r="AJ79" s="265"/>
      <c r="AK79" s="272">
        <f t="shared" ref="AK79" si="151">AE79*AH79+AE80*AH80+AE81*AH81+AE82*AH82</f>
        <v>12616</v>
      </c>
      <c r="AL79" s="273">
        <v>10000</v>
      </c>
      <c r="AM79" s="272">
        <f t="shared" ref="AM79" si="152">AK79+AL79</f>
        <v>22616</v>
      </c>
      <c r="AN79" s="268"/>
      <c r="AO79" s="312">
        <f>AN75/AM79*100</f>
        <v>48.638132295719842</v>
      </c>
      <c r="AP79" s="275">
        <f>MROUND(AM79+AN75,500)</f>
        <v>33500</v>
      </c>
      <c r="AQ79" s="206" t="s">
        <v>146</v>
      </c>
      <c r="AR79" s="131">
        <v>5</v>
      </c>
      <c r="AS79" s="80">
        <f>IF(AQ79=Цены!$H$3,Цены!$L$3,IF(AQ79=Цены!$H$4,Цены!$L$4,IF(AQ79=Цены!$H$5,Цены!$L$5,IF(AQ79=Цены!$H$6,Цены!$L$6,IF(AQ79=Цены!$H$7,Цены!$L$7,IF(AQ79=Цены!$H$8,Цены!$L$8,IF(AQ79=Цены!$H$9,Цены!$L$9,IF(AQ79=Цены!$H$10,Цены!$L$10,IF(AQ79=Цены!$H$11,Цены!$L$11,IF(AQ79=Цены!$H$12,Цены!$L$12,IF(AQ79=Цены!$H$13,Цены!$L$13,IF(AQ79=Цены!$H$14,Цены!$L$14,IF(AQ79=Цены!$H$14,Цены!$L$14,IF(AQ79=Цены!$H$15,Цены!$L$15,IF(AQ79=Цены!$H$16,Цены!$L$16,IF(AQ79=Цены!$H$17,Цены!$L$17,IF(AQ79=Цены!$H$18,Цены!$L$18,IF(AQ79=Цены!$H$19,Цены!$L$19,IF(AQ79=Цены!$H$20,Цены!$L$20,IF(AQ79=Цены!$H$21,Цены!$L$21,IF(AQ79=Цены!$H$22,Цены!$L$22,IF(AQ79=Цены!$H$23,Цены!$L$23,IF(AQ79=Цены!$H$24,Цены!$L$24,IF(AQ79=Цены!$H$25,Цены!$L$25,IF(AQ79=Цены!$H$26,Цены!$L$26,IF(AQ79=Цены!$H$27,Цены!$L$27,IF(AQ79=Цены!$H$28,Цены!$L$28,IF(AQ79=Цены!$H$29,Цены!$L$29,IF(AQ79=Цены!$H$30,Цены!$L$30,IF(AQ79=Цены!$H$31,Цены!$L$31,IF(AQ79=Цены!$H$32,Цены!$L$32,IF(AQ79=Цены!$H$33,Цены!$L$33,IF(AQ79=Цены!$H$34,Цены!$L$34,IF(AQ79=Цены!$H$35,Цены!$L$35,IF(AQ79=Цены!$H$36,Цены!$L$36,IF(AQ79=Цены!$H$37,Цены!$L$37,IF(AQ79=Цены!$H$38,Цены!$L$38,IF(AQ79=Цены!$H$39,Цены!$L$39,IF(AQ79=Цены!$H$40,Цены!$L$40,IF(AQ79=Цены!$H$41,Цены!$L$41,IF(AQ79=Цены!$H$42,Цены!$L$42,IF(AQ79=Цены!$H$43,Цены!$L$43,IF(AQ79=Цены!$H$44,Цены!$L$44,IF(AQ79=Цены!$H$45,Цены!$L$45,IF(AQ79=Цены!$H$46,Цены!$L$46,IF(AQ79=Цены!$H$47,Цены!$L$47,IF(AQ79=Цены!$H$48,Цены!$L$48,IF(AQ79=Цены!$H$49,Цены!$L$49,IF(AQ79=Цены!$H$50,Цены!$L$50,IF(AQ79=Цены!$H$51,Цены!$L$51,IF(AQ79=Цены!$H$52,Цены!$L$52,IF(AQ79=Цены!$H$53,Цены!$L$53,IF(AQ79=Цены!$H$54,Цены!$L$54,IF(AQ79=Цены!$H$55,Цены!$L$55))))))))))))))))))))))))))))))))))))))))))))))))))))))</f>
        <v>1.19</v>
      </c>
      <c r="AT79" s="271">
        <f>AR79*AS79+AR80*AS80+AR81*AS81+AR82*AS82</f>
        <v>18.350000000000001</v>
      </c>
      <c r="AU79" s="81">
        <f>IF(AQ79=Цены!$H$3,Цены!$K$3,IF(AQ79=Цены!$H$4,Цены!$K$4,IF(AQ79=Цены!$H$5,Цены!$K$5,IF(AQ79=Цены!$H$6,Цены!$K$6,IF(AQ79=Цены!$H$7,Цены!$K$7,IF(AQ79=Цены!$H$8,Цены!$K$8,IF(AQ79=Цены!$H$9,Цены!$K$9,IF(AQ79=Цены!$H$10,Цены!$K$10,IF(AQ79=Цены!$H$11,Цены!$K$11,IF(AQ79=Цены!$H$12,Цены!$K$12,IF(AQ79=Цены!$H$13,Цены!$K$13,IF(AQ79=Цены!$H$14,Цены!$K$14,IF(AQ79=Цены!$H$14,Цены!$K$14,IF(AQ79=Цены!$H$15,Цены!$K$15,IF(AQ79=Цены!$H$16,Цены!$K$16,IF(AQ79=Цены!$H$17,Цены!$K$17,IF(AQ79=Цены!$H$18,Цены!$K$18,IF(AQ79=Цены!$H$19,Цены!$K$19,IF(AQ79=Цены!$H$20,Цены!$K$20,IF(AQ79=Цены!$H$21,Цены!$K$21,IF(AQ79=Цены!$H$22,Цены!$K$22,IF(AQ79=Цены!$H$23,Цены!$K$23,IF(AQ79=Цены!$H$24,Цены!$K$24,IF(AQ79=Цены!$H$25,Цены!$K$25,IF(AQ79=Цены!$H$26,Цены!$K$26,IF(AQ79=Цены!$H$27,Цены!$K$27,IF(AQ79=Цены!$H$28,Цены!$K$28,IF(AQ79=Цены!$H$29,Цены!$K$29,IF(AQ79=Цены!$H$30,Цены!$K$30,IF(AQ79=Цены!$H$31,Цены!$K$31,IF(AQ79=Цены!$H$32,Цены!$K$32,IF(AQ79=Цены!$H$33,Цены!$K$33,IF(AQ79=Цены!$H$34,Цены!$K$34,IF(AQ79=Цены!$H$35,Цены!$K$35,IF(AQ79=Цены!$H$36,Цены!$K$36,IF(AQ79=Цены!$H$37,Цены!$K$37,IF(AQ79=Цены!$H$38,Цены!$K$38,IF(AQ79=Цены!$H$39,Цены!$K$39,IF(AQ79=Цены!$H$40,Цены!$K$40,IF(AQ79=Цены!$H$41,Цены!$K$41,IF(AQ79=Цены!$H$42,Цены!$K$42,IF(AQ79=Цены!$H$43,Цены!$K$43,IF(AQ79=Цены!$H$44,Цены!$K$44,IF(AQ79=Цены!$H$45,Цены!$K$45,IF(AQ79=Цены!$H$46,Цены!$K$46,IF(AQ79=Цены!$H$47,Цены!$K$47,IF(AQ79=Цены!$H$48,Цены!$K$48,IF(AQ79=Цены!$H$49,Цены!$K$49,IF(AQ79=Цены!$H$50,Цены!$K$50,IF(AQ79=Цены!$H$51,Цены!$K$51,IF(AQ79=Цены!$H$52,Цены!$K$52,IF(AQ79=Цены!$H$53,Цены!$K$53,IF(AQ79=Цены!$H$54,Цены!$K$54,IF(AQ79=Цены!$H$55,Цены!$K$55))))))))))))))))))))))))))))))))))))))))))))))))))))))</f>
        <v>398</v>
      </c>
      <c r="AV79" s="265"/>
      <c r="AW79" s="265"/>
      <c r="AX79" s="272">
        <f t="shared" ref="AX79" si="153">AR79*AU79+AR80*AU80+AR81*AU81+AR82*AU82</f>
        <v>5246</v>
      </c>
      <c r="AY79" s="273">
        <v>6000</v>
      </c>
      <c r="AZ79" s="272">
        <f t="shared" ref="AZ79" si="154">AX79+AY79</f>
        <v>11246</v>
      </c>
      <c r="BA79" s="268"/>
      <c r="BB79" s="274">
        <f>BA75/AZ79*100</f>
        <v>53.352303041081271</v>
      </c>
      <c r="BC79" s="275">
        <f>MROUND(AZ79+BA75,500)</f>
        <v>17000</v>
      </c>
      <c r="BD79" s="261">
        <f t="shared" ref="BD79" si="155">BC79+CQ79</f>
        <v>25500</v>
      </c>
      <c r="BE79" s="206" t="s">
        <v>141</v>
      </c>
      <c r="BF79" s="106">
        <v>6</v>
      </c>
      <c r="BG79" s="103">
        <f>IF(BE79=Цены!$H$3,Цены!$L$3,IF(BE79=Цены!$H$4,Цены!$L$4,IF(BE79=Цены!$H$5,Цены!$L$5,IF(BE79=Цены!$H$6,Цены!$L$6,IF(BE79=Цены!$H$7,Цены!$L$7,IF(BE79=Цены!$H$8,Цены!$L$8,IF(BE79=Цены!$H$9,Цены!$L$9,IF(BE79=Цены!$H$10,Цены!$L$10,IF(BE79=Цены!$H$11,Цены!$L$11,IF(BE79=Цены!$H$12,Цены!$L$12,IF(BE79=Цены!$H$13,Цены!$L$13,IF(BE79=Цены!$H$14,Цены!$L$14,IF(BE79=Цены!$H$14,Цены!$L$14,IF(BE79=Цены!$H$15,Цены!$L$15,IF(BE79=Цены!$H$16,Цены!$L$16,IF(BE79=Цены!$H$17,Цены!$L$17,IF(BE79=Цены!$H$18,Цены!$L$18,IF(BE79=Цены!$H$19,Цены!$L$19,IF(BE79=Цены!$H$20,Цены!$L$20,IF(BE79=Цены!$H$21,Цены!$L$21,IF(BE79=Цены!$H$22,Цены!$L$22,IF(BE79=Цены!$H$23,Цены!$L$23,IF(BE79=Цены!$H$24,Цены!$L$24,IF(BE79=Цены!$H$25,Цены!$L$25,IF(BE79=Цены!$H$26,Цены!$L$26,IF(BE79=Цены!$H$27,Цены!$L$27,IF(BE79=Цены!$H$28,Цены!$L$28,IF(BE79=Цены!$H$29,Цены!$L$29,IF(BE79=Цены!$H$30,Цены!$L$30,IF(BE79=Цены!$H$31,Цены!$L$31,IF(BE79=Цены!$H$32,Цены!$L$32,IF(BE79=Цены!$H$33,Цены!$L$33,IF(BE79=Цены!$H$34,Цены!$L$34,IF(BE79=Цены!$H$35,Цены!$L$35,IF(BE79=Цены!$H$36,Цены!$L$36,IF(BE79=Цены!$H$37,Цены!$L$37,IF(BE79=Цены!$H$38,Цены!$L$38,IF(BE79=Цены!$H$39,Цены!$L$39,IF(BE79=Цены!$H$40,Цены!$L$40,IF(BE79=Цены!$H$41,Цены!$L$41,IF(BE79=Цены!$H$42,Цены!$L$42,IF(BE79=Цены!$H$43,Цены!$L$43,IF(BE79=Цены!$H$44,Цены!$L$44,IF(BE79=Цены!$H$45,Цены!$L$45,IF(BE79=Цены!$H$46,Цены!$L$46,IF(BE79=Цены!$H$47,Цены!$L$47,IF(BE79=Цены!$H$48,Цены!$L$48,IF(BE79=Цены!$H$49,Цены!$L$49,IF(BE79=Цены!$H$50,Цены!$L$50,IF(BE79=Цены!$H$51,Цены!$L$51,IF(BE79=Цены!$H$52,Цены!$L$52,IF(BE79=Цены!$H$53,Цены!$L$53,IF(BE79=Цены!$H$54,Цены!$L$54,IF(BE79=Цены!$H$55,Цены!$L$55))))))))))))))))))))))))))))))))))))))))))))))))))))))</f>
        <v>0.9</v>
      </c>
      <c r="BH79" s="280">
        <f>BF79*BG79+BF80*BG80+BF81*BG81+BF82*BG82</f>
        <v>8.52</v>
      </c>
      <c r="BI79" s="104">
        <f>IF(BE79=Цены!$H$3,Цены!$K$3,IF(BE79=Цены!$H$4,Цены!$K$4,IF(BE79=Цены!$H$5,Цены!$K$5,IF(BE79=Цены!$H$6,Цены!$K$6,IF(BE79=Цены!$H$7,Цены!$K$7,IF(BE79=Цены!$H$8,Цены!$K$8,IF(BE79=Цены!$H$9,Цены!$K$9,IF(BE79=Цены!$H$10,Цены!$K$10,IF(BE79=Цены!$H$11,Цены!$K$11,IF(BE79=Цены!$H$12,Цены!$K$12,IF(BE79=Цены!$H$13,Цены!$K$13,IF(BE79=Цены!$H$14,Цены!$K$14,IF(BE79=Цены!$H$14,Цены!$K$14,IF(BE79=Цены!$H$15,Цены!$K$15,IF(BE79=Цены!$H$16,Цены!$K$16,IF(BE79=Цены!$H$17,Цены!$K$17,IF(BE79=Цены!$H$18,Цены!$K$18,IF(BE79=Цены!$H$19,Цены!$K$19,IF(BE79=Цены!$H$20,Цены!$K$20,IF(BE79=Цены!$H$21,Цены!$K$21,IF(BE79=Цены!$H$22,Цены!$K$22,IF(BE79=Цены!$H$23,Цены!$K$23,IF(BE79=Цены!$H$24,Цены!$K$24,IF(BE79=Цены!$H$25,Цены!$K$25,IF(BE79=Цены!$H$26,Цены!$K$26,IF(BE79=Цены!$H$27,Цены!$K$27,IF(BE79=Цены!$H$28,Цены!$K$28,IF(BE79=Цены!$H$29,Цены!$K$29,IF(BE79=Цены!$H$30,Цены!$K$30,IF(BE79=Цены!$H$31,Цены!$K$31,IF(BE79=Цены!$H$32,Цены!$K$32,IF(BE79=Цены!$H$33,Цены!$K$33,IF(BE79=Цены!$H$34,Цены!$K$34,IF(BE79=Цены!$H$35,Цены!$K$35,IF(BE79=Цены!$H$36,Цены!$K$36,IF(BE79=Цены!$H$37,Цены!$K$37,IF(BE79=Цены!$H$38,Цены!$K$38,IF(BE79=Цены!$H$39,Цены!$K$39,IF(BE79=Цены!$H$40,Цены!$K$40,IF(BE79=Цены!$H$41,Цены!$K$41,IF(BE79=Цены!$H$42,Цены!$K$42,IF(BE79=Цены!$H$43,Цены!$K$43,IF(BE79=Цены!$H$44,Цены!$K$44,IF(BE79=Цены!$H$45,Цены!$K$45,IF(BE79=Цены!$H$46,Цены!$K$46,IF(BE79=Цены!$H$47,Цены!$K$47,IF(BE79=Цены!$H$48,Цены!$K$48,IF(BE79=Цены!$H$49,Цены!$K$49,IF(BE79=Цены!$H$50,Цены!$K$50,IF(BE79=Цены!$H$51,Цены!$K$51,IF(BE79=Цены!$H$52,Цены!$K$52,IF(BE79=Цены!$H$53,Цены!$K$53,IF(BE79=Цены!$H$54,Цены!$K$54,IF(BE79=Цены!$H$55,Цены!$K$55))))))))))))))))))))))))))))))))))))))))))))))))))))))</f>
        <v>338</v>
      </c>
      <c r="BJ79" s="265"/>
      <c r="BK79" s="265"/>
      <c r="BL79" s="272">
        <f t="shared" ref="BL79" si="156">BF79*BI79+BF80*BI80+BF81*BI81+BF82*BI82</f>
        <v>3816</v>
      </c>
      <c r="BM79" s="273">
        <v>6000</v>
      </c>
      <c r="BN79" s="272">
        <f t="shared" ref="BN79" si="157">BL79+BM79</f>
        <v>9816</v>
      </c>
      <c r="BO79" s="268"/>
      <c r="BP79" s="281">
        <f>BO75/BN79*100</f>
        <v>61.124694376528119</v>
      </c>
      <c r="BQ79" s="275">
        <f>MROUND(BN79+BO75,500)</f>
        <v>16000</v>
      </c>
      <c r="BR79" s="218" t="s">
        <v>67</v>
      </c>
      <c r="BS79" s="108">
        <v>3</v>
      </c>
      <c r="BT79" s="109">
        <f>IF(BR79=Цены!$H$3,Цены!$L$3,IF(BR79=Цены!$H$4,Цены!$L$4,IF(BR79=Цены!$H$5,Цены!$L$5,IF(BR79=Цены!$H$6,Цены!$L$6,IF(BR79=Цены!$H$7,Цены!$L$7,IF(BR79=Цены!$H$8,Цены!$L$8,IF(BR79=Цены!$H$9,Цены!$L$9,IF(BR79=Цены!$H$10,Цены!$L$10,IF(BR79=Цены!$H$11,Цены!$L$11,IF(BR79=Цены!$H$12,Цены!$L$12,IF(BR79=Цены!$H$13,Цены!$L$13,IF(BR79=Цены!$H$14,Цены!$L$14,IF(BR79=Цены!$H$14,Цены!$L$14,IF(BR79=Цены!$H$15,Цены!$L$15,IF(BR79=Цены!$H$16,Цены!$L$16,IF(BR79=Цены!$H$17,Цены!$L$17,IF(BR79=Цены!$H$18,Цены!$L$18,IF(BR79=Цены!$H$19,Цены!$L$19,IF(BR79=Цены!$H$20,Цены!$L$20,IF(BR79=Цены!$H$21,Цены!$L$21,IF(BR79=Цены!$H$22,Цены!$L$22,IF(BR79=Цены!$H$23,Цены!$L$23,IF(BR79=Цены!$H$24,Цены!$L$24,IF(BR79=Цены!$H$25,Цены!$L$25,IF(BR79=Цены!$H$26,Цены!$L$26,IF(BR79=Цены!$H$27,Цены!$L$27,IF(BR79=Цены!$H$28,Цены!$L$28,IF(BR79=Цены!$H$29,Цены!$L$29,IF(BR79=Цены!$H$30,Цены!$L$30,IF(BR79=Цены!$H$31,Цены!$L$31,IF(BR79=Цены!$H$32,Цены!$L$32,IF(BR79=Цены!$H$33,Цены!$L$33,IF(BR79=Цены!$H$34,Цены!$L$34,IF(BR79=Цены!$H$35,Цены!$L$35,IF(BR79=Цены!$H$36,Цены!$L$36,IF(BR79=Цены!$H$37,Цены!$L$37,IF(BR79=Цены!$H$38,Цены!$L$38,IF(BR79=Цены!$H$39,Цены!$L$39,IF(BR79=Цены!$H$40,Цены!$L$40,IF(BR79=Цены!$H$41,Цены!$L$41,IF(BR79=Цены!$H$42,Цены!$L$42,IF(BR79=Цены!$H$43,Цены!$L$43,IF(BR79=Цены!$H$44,Цены!$L$44,IF(BR79=Цены!$H$45,Цены!$L$45,IF(BR79=Цены!$H$46,Цены!$L$46,IF(BR79=Цены!$H$47,Цены!$L$47,IF(BR79=Цены!$H$48,Цены!$L$48,IF(BR79=Цены!$H$49,Цены!$L$49,IF(BR79=Цены!$H$50,Цены!$L$50,IF(BR79=Цены!$H$51,Цены!$L$51,IF(BR79=Цены!$H$52,Цены!$L$52,IF(BR79=Цены!$H$53,Цены!$L$53,IF(BR79=Цены!$H$54,Цены!$L$54,IF(BR79=Цены!$H$55,Цены!$L$55))))))))))))))))))))))))))))))))))))))))))))))))))))))</f>
        <v>0.9</v>
      </c>
      <c r="BU79" s="284">
        <f>BS79*BT79+BS80*BT80+BS81*BT81+BS82*BT82</f>
        <v>5.04</v>
      </c>
      <c r="BV79" s="110">
        <f>IF(BR79=Цены!$H$3,Цены!$K$3,IF(BR79=Цены!$H$4,Цены!$K$4,IF(BR79=Цены!$H$5,Цены!$K$5,IF(BR79=Цены!$H$6,Цены!$K$6,IF(BR79=Цены!$H$7,Цены!$K$7,IF(BR79=Цены!$H$8,Цены!$K$8,IF(BR79=Цены!$H$9,Цены!$K$9,IF(BR79=Цены!$H$10,Цены!$K$10,IF(BR79=Цены!$H$11,Цены!$K$11,IF(BR79=Цены!$H$12,Цены!$K$12,IF(BR79=Цены!$H$13,Цены!$K$13,IF(BR79=Цены!$H$14,Цены!$K$14,IF(BR79=Цены!$H$14,Цены!$K$14,IF(BR79=Цены!$H$15,Цены!$K$15,IF(BR79=Цены!$H$16,Цены!$K$16,IF(BR79=Цены!$H$17,Цены!$K$17,IF(BR79=Цены!$H$18,Цены!$K$18,IF(BR79=Цены!$H$19,Цены!$K$19,IF(BR79=Цены!$H$20,Цены!$K$20,IF(BR79=Цены!$H$21,Цены!$K$21,IF(BR79=Цены!$H$22,Цены!$K$22,IF(BR79=Цены!$H$23,Цены!$K$23,IF(BR79=Цены!$H$24,Цены!$K$24,IF(BR79=Цены!$H$25,Цены!$K$25,IF(BR79=Цены!$H$26,Цены!$K$26,IF(BR79=Цены!$H$27,Цены!$K$27,IF(BR79=Цены!$H$28,Цены!$K$28,IF(BR79=Цены!$H$29,Цены!$K$29,IF(BR79=Цены!$H$30,Цены!$K$30,IF(BR79=Цены!$H$31,Цены!$K$31,IF(BR79=Цены!$H$32,Цены!$K$32,IF(BR79=Цены!$H$33,Цены!$K$33,IF(BR79=Цены!$H$34,Цены!$K$34,IF(BR79=Цены!$H$35,Цены!$K$35,IF(BR79=Цены!$H$36,Цены!$K$36,IF(BR79=Цены!$H$37,Цены!$K$37,IF(BR79=Цены!$H$38,Цены!$K$38,IF(BR79=Цены!$H$39,Цены!$K$39,IF(BR79=Цены!$H$40,Цены!$K$40,IF(BR79=Цены!$H$41,Цены!$K$41,IF(BR79=Цены!$H$42,Цены!$K$42,IF(BR79=Цены!$H$43,Цены!$K$43,IF(BR79=Цены!$H$44,Цены!$K$44,IF(BR79=Цены!$H$45,Цены!$K$45,IF(BR79=Цены!$H$46,Цены!$K$46,IF(BR79=Цены!$H$47,Цены!$K$47,IF(BR79=Цены!$H$48,Цены!$K$48,IF(BR79=Цены!$H$49,Цены!$K$49,IF(BR79=Цены!$H$50,Цены!$K$50,IF(BR79=Цены!$H$51,Цены!$K$51,IF(BR79=Цены!$H$52,Цены!$K$52,IF(BR79=Цены!$H$53,Цены!$K$53,IF(BR79=Цены!$H$54,Цены!$K$54,IF(BR79=Цены!$H$55,Цены!$K$55))))))))))))))))))))))))))))))))))))))))))))))))))))))</f>
        <v>338</v>
      </c>
      <c r="BW79" s="265"/>
      <c r="BX79" s="265"/>
      <c r="BY79" s="272">
        <f t="shared" ref="BY79" si="158">BS79*BV79+BS80*BV80+BS81*BV81+BS82*BV82</f>
        <v>2355</v>
      </c>
      <c r="BZ79" s="273">
        <v>1000</v>
      </c>
      <c r="CA79" s="272">
        <f t="shared" ref="CA79" si="159">BY79+BZ79</f>
        <v>3355</v>
      </c>
      <c r="CB79" s="268"/>
      <c r="CC79" s="285">
        <f>CB75/CA79*100</f>
        <v>59.612518628912071</v>
      </c>
      <c r="CD79" s="275">
        <f>MROUND(CA79+CB75,500)</f>
        <v>5500</v>
      </c>
      <c r="CE79" s="173" t="s">
        <v>67</v>
      </c>
      <c r="CF79" s="112">
        <v>3</v>
      </c>
      <c r="CG79" s="113">
        <f>IF(CE79=Цены!$H$3,Цены!$L$3,IF(CE79=Цены!$H$4,Цены!$L$4,IF(CE79=Цены!$H$5,Цены!$L$5,IF(CE79=Цены!$H$6,Цены!$L$6,IF(CE79=Цены!$H$7,Цены!$L$7,IF(CE79=Цены!$H$8,Цены!$L$8,IF(CE79=Цены!$H$9,Цены!$L$9,IF(CE79=Цены!$H$10,Цены!$L$10,IF(CE79=Цены!$H$11,Цены!$L$11,IF(CE79=Цены!$H$12,Цены!$L$12,IF(CE79=Цены!$H$13,Цены!$L$13,IF(CE79=Цены!$H$14,Цены!$L$14,IF(CE79=Цены!$H$14,Цены!$L$14,IF(CE79=Цены!$H$15,Цены!$L$15,IF(CE79=Цены!$H$16,Цены!$L$16,IF(CE79=Цены!$H$17,Цены!$L$17,IF(CE79=Цены!$H$18,Цены!$L$18,IF(CE79=Цены!$H$19,Цены!$L$19,IF(CE79=Цены!$H$20,Цены!$L$20,IF(CE79=Цены!$H$21,Цены!$L$21,IF(CE79=Цены!$H$22,Цены!$L$22,IF(CE79=Цены!$H$23,Цены!$L$23,IF(CE79=Цены!$H$24,Цены!$L$24,IF(CE79=Цены!$H$25,Цены!$L$25,IF(CE79=Цены!$H$26,Цены!$L$26,IF(CE79=Цены!$H$27,Цены!$L$27,IF(CE79=Цены!$H$28,Цены!$L$28,IF(CE79=Цены!$H$29,Цены!$L$29,IF(CE79=Цены!$H$30,Цены!$L$30,IF(CE79=Цены!$H$31,Цены!$L$31,IF(CE79=Цены!$H$32,Цены!$L$32,IF(CE79=Цены!$H$33,Цены!$L$33,IF(CE79=Цены!$H$34,Цены!$L$34,IF(CE79=Цены!$H$35,Цены!$L$35,IF(CE79=Цены!$H$36,Цены!$L$36,IF(CE79=Цены!$H$37,Цены!$L$37,IF(CE79=Цены!$H$38,Цены!$L$38,IF(CE79=Цены!$H$39,Цены!$L$39,IF(CE79=Цены!$H$40,Цены!$L$40,IF(CE79=Цены!$H$41,Цены!$L$41,IF(CE79=Цены!$H$42,Цены!$L$42,IF(CE79=Цены!$H$43,Цены!$L$43,IF(CE79=Цены!$H$44,Цены!$L$44,IF(CE79=Цены!$H$45,Цены!$L$45,IF(CE79=Цены!$H$46,Цены!$L$46,IF(CE79=Цены!$H$47,Цены!$L$47,IF(CE79=Цены!$H$48,Цены!$L$48,IF(CE79=Цены!$H$49,Цены!$L$49,IF(CE79=Цены!$H$50,Цены!$L$50,IF(CE79=Цены!$H$51,Цены!$L$51,IF(CE79=Цены!$H$52,Цены!$L$52,IF(CE79=Цены!$H$53,Цены!$L$53,IF(CE79=Цены!$H$54,Цены!$L$54,IF(CE79=Цены!$H$55,Цены!$L$55))))))))))))))))))))))))))))))))))))))))))))))))))))))</f>
        <v>0.9</v>
      </c>
      <c r="CH79" s="282">
        <f>CF79*CG79+CF80*CG80+CF81*CG81+CF82*CG82</f>
        <v>7.1063999999999998</v>
      </c>
      <c r="CI79" s="114">
        <f>IF(CE79=Цены!$H$3,Цены!$K$3,IF(CE79=Цены!$H$4,Цены!$K$4,IF(CE79=Цены!$H$5,Цены!$K$5,IF(CE79=Цены!$H$6,Цены!$K$6,IF(CE79=Цены!$H$7,Цены!$K$7,IF(CE79=Цены!$H$8,Цены!$K$8,IF(CE79=Цены!$H$9,Цены!$K$9,IF(CE79=Цены!$H$10,Цены!$K$10,IF(CE79=Цены!$H$11,Цены!$K$11,IF(CE79=Цены!$H$12,Цены!$K$12,IF(CE79=Цены!$H$13,Цены!$K$13,IF(CE79=Цены!$H$14,Цены!$K$14,IF(CE79=Цены!$H$14,Цены!$K$14,IF(CE79=Цены!$H$15,Цены!$K$15,IF(CE79=Цены!$H$16,Цены!$K$16,IF(CE79=Цены!$H$17,Цены!$K$17,IF(CE79=Цены!$H$18,Цены!$K$18,IF(CE79=Цены!$H$19,Цены!$K$19,IF(CE79=Цены!$H$20,Цены!$K$20,IF(CE79=Цены!$H$21,Цены!$K$21,IF(CE79=Цены!$H$22,Цены!$K$22,IF(CE79=Цены!$H$23,Цены!$K$23,IF(CE79=Цены!$H$24,Цены!$K$24,IF(CE79=Цены!$H$25,Цены!$K$25,IF(CE79=Цены!$H$26,Цены!$K$26,IF(CE79=Цены!$H$27,Цены!$K$27,IF(CE79=Цены!$H$28,Цены!$K$28,IF(CE79=Цены!$H$29,Цены!$K$29,IF(CE79=Цены!$H$30,Цены!$K$30,IF(CE79=Цены!$H$31,Цены!$K$31,IF(CE79=Цены!$H$32,Цены!$K$32,IF(CE79=Цены!$H$33,Цены!$K$33,IF(CE79=Цены!$H$34,Цены!$K$34,IF(CE79=Цены!$H$35,Цены!$K$35,IF(CE79=Цены!$H$36,Цены!$K$36,IF(CE79=Цены!$H$37,Цены!$K$37,IF(CE79=Цены!$H$38,Цены!$K$38,IF(CE79=Цены!$H$39,Цены!$K$39,IF(CE79=Цены!$H$40,Цены!$K$40,IF(CE79=Цены!$H$41,Цены!$K$41,IF(CE79=Цены!$H$42,Цены!$K$42,IF(CE79=Цены!$H$43,Цены!$K$43,IF(CE79=Цены!$H$44,Цены!$K$44,IF(CE79=Цены!$H$45,Цены!$K$45,IF(CE79=Цены!$H$46,Цены!$K$46,IF(CE79=Цены!$H$47,Цены!$K$47,IF(CE79=Цены!$H$48,Цены!$K$48,IF(CE79=Цены!$H$49,Цены!$K$49,IF(CE79=Цены!$H$50,Цены!$K$50,IF(CE79=Цены!$H$51,Цены!$K$51,IF(CE79=Цены!$H$52,Цены!$K$52,IF(CE79=Цены!$H$53,Цены!$K$53,IF(CE79=Цены!$H$54,Цены!$K$54,IF(CE79=Цены!$H$55,Цены!$K$55))))))))))))))))))))))))))))))))))))))))))))))))))))))</f>
        <v>338</v>
      </c>
      <c r="CJ79" s="265"/>
      <c r="CK79" s="265"/>
      <c r="CL79" s="272">
        <f t="shared" ref="CL79" si="160">CF79*CI79+CF80*CI80+CF81*CI81+CF82*CI82</f>
        <v>3900</v>
      </c>
      <c r="CM79" s="273">
        <v>2000</v>
      </c>
      <c r="CN79" s="272">
        <f t="shared" ref="CN79" si="161">CL79+CM79</f>
        <v>5900</v>
      </c>
      <c r="CO79" s="268"/>
      <c r="CP79" s="283">
        <f>CO75/CN79*100</f>
        <v>42.372881355932201</v>
      </c>
      <c r="CQ79" s="275">
        <f>MROUND(CN79+CO75,500)</f>
        <v>8500</v>
      </c>
    </row>
    <row r="80" spans="1:95" s="40" customFormat="1" ht="15" customHeight="1" x14ac:dyDescent="0.25">
      <c r="A80" s="353"/>
      <c r="B80" s="265"/>
      <c r="C80" s="336"/>
      <c r="D80" s="173" t="s">
        <v>87</v>
      </c>
      <c r="E80" s="168">
        <v>5</v>
      </c>
      <c r="F80" s="46">
        <f>IF(D80=Цены!$H$3,Цены!$L$3,IF(D80=Цены!$H$4,Цены!$L$4,IF(D80=Цены!$H$5,Цены!$L$5,IF(D80=Цены!$H$6,Цены!$L$6,IF(D80=Цены!$H$7,Цены!$L$7,IF(D80=Цены!$H$8,Цены!$L$8,IF(D80=Цены!$H$9,Цены!$L$9,IF(D80=Цены!$H$10,Цены!$L$10,IF(D80=Цены!$H$11,Цены!$L$11,IF(D80=Цены!$H$12,Цены!$L$12,IF(D80=Цены!$H$13,Цены!$L$13,IF(D80=Цены!$H$14,Цены!$L$14,IF(D80=Цены!$H$14,Цены!$L$14,IF(D80=Цены!$H$15,Цены!$L$15,IF(D80=Цены!$H$16,Цены!$L$16,IF(D80=Цены!$H$17,Цены!$L$17,IF(D80=Цены!$H$18,Цены!$L$18,IF(D80=Цены!$H$19,Цены!$L$19,IF(D80=Цены!$H$20,Цены!$L$20,IF(D80=Цены!$H$21,Цены!$L$21,IF(D80=Цены!$H$22,Цены!$L$22,IF(D80=Цены!$H$23,Цены!$L$23,IF(D80=Цены!$H$24,Цены!$L$24,IF(D80=Цены!$H$25,Цены!$L$25,IF(D80=Цены!$H$26,Цены!$L$26,IF(D80=Цены!$H$27,Цены!$L$27,IF(D80=Цены!$H$28,Цены!$L$28,IF(D80=Цены!$H$29,Цены!$L$29,IF(D80=Цены!$H$30,Цены!$L$30,IF(D80=Цены!$H$31,Цены!$L$31,IF(D80=Цены!$H$32,Цены!$L$32,IF(D80=Цены!$H$33,Цены!$L$33,IF(D80=Цены!$H$34,Цены!$L$34,IF(D80=Цены!$H$35,Цены!$L$35,IF(D80=Цены!$H$36,Цены!$L$36,IF(D80=Цены!$H$37,Цены!$L$37,IF(D80=Цены!$H$38,Цены!$L$38,IF(D80=Цены!$H$39,Цены!$L$39,IF(D80=Цены!$H$40,Цены!$L$40,IF(D80=Цены!$H$41,Цены!$L$41,IF(D80=Цены!$H$42,Цены!$L$42,IF(D80=Цены!$H$43,Цены!$L$43,IF(D80=Цены!$H$44,Цены!$L$44,IF(D80=Цены!$H$45,Цены!$L$45,IF(D80=Цены!$H$46,Цены!$L$46,IF(D80=Цены!$H$47,Цены!$L$47,IF(D80=Цены!$H$48,Цены!$L$48,IF(D80=Цены!$H$49,Цены!$L$49,IF(D80=Цены!$H$50,Цены!$L$50,IF(D80=Цены!$H$51,Цены!$L$51,IF(D80=Цены!$H$52,Цены!$L$52,IF(D80=Цены!$H$53,Цены!$L$53,IF(D80=Цены!$H$54,Цены!$L$54,IF(D80=Цены!$H$55,Цены!$L$55))))))))))))))))))))))))))))))))))))))))))))))))))))))</f>
        <v>1.2</v>
      </c>
      <c r="G80" s="339"/>
      <c r="H80" s="47">
        <f>IF(D80=Цены!$H$3,Цены!$K$3,IF(D80=Цены!$H$4,Цены!$K$4,IF(D80=Цены!$H$5,Цены!$K$5,IF(D80=Цены!$H$6,Цены!$K$6,IF(D80=Цены!$H$7,Цены!$K$7,IF(D80=Цены!$H$8,Цены!$K$8,IF(D80=Цены!$H$9,Цены!$K$9,IF(D80=Цены!$H$10,Цены!$K$10,IF(D80=Цены!$H$11,Цены!$K$11,IF(D80=Цены!$H$12,Цены!$K$12,IF(D80=Цены!$H$13,Цены!$K$13,IF(D80=Цены!$H$14,Цены!$K$14,IF(D80=Цены!$H$14,Цены!$K$14,IF(D80=Цены!$H$15,Цены!$K$15,IF(D80=Цены!$H$16,Цены!$K$16,IF(D80=Цены!$H$17,Цены!$K$17,IF(D80=Цены!$H$18,Цены!$K$18,IF(D80=Цены!$H$19,Цены!$K$19,IF(D80=Цены!$H$20,Цены!$K$20,IF(D80=Цены!$H$21,Цены!$K$21,IF(D80=Цены!$H$22,Цены!$K$22,IF(D80=Цены!$H$23,Цены!$K$23,IF(D80=Цены!$H$24,Цены!$K$24,IF(D80=Цены!$H$25,Цены!$K$25,IF(D80=Цены!$H$26,Цены!$K$26,IF(D80=Цены!$H$27,Цены!$K$27,IF(D80=Цены!$H$28,Цены!$K$28,IF(D80=Цены!$H$29,Цены!$K$29,IF(D80=Цены!$H$30,Цены!$K$30,IF(D80=Цены!$H$31,Цены!$K$31,IF(D80=Цены!$H$32,Цены!$K$32,IF(D80=Цены!$H$33,Цены!$K$33,IF(D80=Цены!$H$34,Цены!$K$34,IF(D80=Цены!$H$35,Цены!$K$35,IF(D80=Цены!$H$36,Цены!$K$36,IF(D80=Цены!$H$37,Цены!$K$37,IF(D80=Цены!$H$38,Цены!$K$38,IF(D80=Цены!$H$39,Цены!$K$39,IF(D80=Цены!$H$40,Цены!$K$40,IF(D80=Цены!$H$41,Цены!$K$41,IF(D80=Цены!$H$42,Цены!$K$42,IF(D80=Цены!$H$43,Цены!$K$43,IF(D80=Цены!$H$44,Цены!$K$44,IF(D80=Цены!$H$45,Цены!$K$45,IF(D80=Цены!$H$46,Цены!$K$46,IF(D80=Цены!$H$47,Цены!$K$47,IF(D80=Цены!$H$48,Цены!$K$48,IF(D80=Цены!$H$49,Цены!$K$49,IF(D80=Цены!$H$50,Цены!$K$50,IF(D80=Цены!$H$51,Цены!$K$51,IF(D80=Цены!$H$52,Цены!$K$52,IF(D80=Цены!$H$53,Цены!$K$53,IF(D80=Цены!$H$54,Цены!$K$54,IF(D80=Цены!$H$55,Цены!$K$55))))))))))))))))))))))))))))))))))))))))))))))))))))))</f>
        <v>378</v>
      </c>
      <c r="I80" s="265"/>
      <c r="J80" s="265"/>
      <c r="K80" s="272"/>
      <c r="L80" s="273"/>
      <c r="M80" s="273"/>
      <c r="N80" s="268"/>
      <c r="O80" s="332"/>
      <c r="P80" s="275"/>
      <c r="Q80" s="207" t="s">
        <v>148</v>
      </c>
      <c r="R80" s="37">
        <v>5</v>
      </c>
      <c r="S80" s="38">
        <f>IF(Q80=Цены!$H$3,Цены!$L$3,IF(Q80=Цены!$H$4,Цены!$L$4,IF(Q80=Цены!$H$5,Цены!$L$5,IF(Q80=Цены!$H$6,Цены!$L$6,IF(Q80=Цены!$H$7,Цены!$L$7,IF(Q80=Цены!$H$8,Цены!$L$8,IF(Q80=Цены!$H$9,Цены!$L$9,IF(Q80=Цены!$H$10,Цены!$L$10,IF(Q80=Цены!$H$11,Цены!$L$11,IF(Q80=Цены!$H$12,Цены!$L$12,IF(Q80=Цены!$H$13,Цены!$L$13,IF(Q80=Цены!$H$14,Цены!$L$14,IF(Q80=Цены!$H$14,Цены!$L$14,IF(Q80=Цены!$H$15,Цены!$L$15,IF(Q80=Цены!$H$16,Цены!$L$16,IF(Q80=Цены!$H$17,Цены!$L$17,IF(Q80=Цены!$H$18,Цены!$L$18,IF(Q80=Цены!$H$19,Цены!$L$19,IF(Q80=Цены!$H$20,Цены!$L$20,IF(Q80=Цены!$H$21,Цены!$L$21,IF(Q80=Цены!$H$22,Цены!$L$22,IF(Q80=Цены!$H$23,Цены!$L$23,IF(Q80=Цены!$H$24,Цены!$L$24,IF(Q80=Цены!$H$25,Цены!$L$25,IF(Q80=Цены!$H$26,Цены!$L$26,IF(Q80=Цены!$H$27,Цены!$L$27,IF(Q80=Цены!$H$28,Цены!$L$28,IF(Q80=Цены!$H$29,Цены!$L$29,IF(Q80=Цены!$H$30,Цены!$L$30,IF(Q80=Цены!$H$31,Цены!$L$31,IF(Q80=Цены!$H$32,Цены!$L$32,IF(Q80=Цены!$H$33,Цены!$L$33,IF(Q80=Цены!$H$34,Цены!$L$34,IF(Q80=Цены!$H$35,Цены!$L$35,IF(Q80=Цены!$H$36,Цены!$L$36,IF(Q80=Цены!$H$37,Цены!$L$37,IF(Q80=Цены!$H$38,Цены!$L$38,IF(Q80=Цены!$H$39,Цены!$L$39,IF(Q80=Цены!$H$40,Цены!$L$40,IF(Q80=Цены!$H$41,Цены!$L$41,IF(Q80=Цены!$H$42,Цены!$L$42,IF(Q80=Цены!$H$43,Цены!$L$43,IF(Q80=Цены!$H$44,Цены!$L$44,IF(Q80=Цены!$H$45,Цены!$L$45,IF(Q80=Цены!$H$46,Цены!$L$46,IF(Q80=Цены!$H$47,Цены!$L$47,IF(Q80=Цены!$H$48,Цены!$L$48,IF(Q80=Цены!$H$49,Цены!$L$49,IF(Q80=Цены!$H$50,Цены!$L$50,IF(Q80=Цены!$H$51,Цены!$L$51,IF(Q80=Цены!$H$52,Цены!$L$52,IF(Q80=Цены!$H$53,Цены!$L$53,IF(Q80=Цены!$H$54,Цены!$L$54,IF(Q80=Цены!$H$55,Цены!$L$55))))))))))))))))))))))))))))))))))))))))))))))))))))))</f>
        <v>1.1499999999999999</v>
      </c>
      <c r="T80" s="322"/>
      <c r="U80" s="161">
        <f>IF(Q80=Цены!$H$3,Цены!$K$3,IF(Q80=Цены!$H$4,Цены!$K$4,IF(Q80=Цены!$H$5,Цены!$K$5,IF(Q80=Цены!$H$6,Цены!$K$6,IF(Q80=Цены!$H$7,Цены!$K$7,IF(Q80=Цены!$H$8,Цены!$K$8,IF(Q80=Цены!$H$9,Цены!$K$9,IF(Q80=Цены!$H$10,Цены!$K$10,IF(Q80=Цены!$H$11,Цены!$K$11,IF(Q80=Цены!$H$12,Цены!$K$12,IF(Q80=Цены!$H$13,Цены!$K$13,IF(Q80=Цены!$H$14,Цены!$K$14,IF(Q80=Цены!$H$14,Цены!$K$14,IF(Q80=Цены!$H$15,Цены!$K$15,IF(Q80=Цены!$H$16,Цены!$K$16,IF(Q80=Цены!$H$17,Цены!$K$17,IF(Q80=Цены!$H$18,Цены!$K$18,IF(Q80=Цены!$H$19,Цены!$K$19,IF(Q80=Цены!$H$20,Цены!$K$20,IF(Q80=Цены!$H$21,Цены!$K$21,IF(Q80=Цены!$H$22,Цены!$K$22,IF(Q80=Цены!$H$23,Цены!$K$23,IF(Q80=Цены!$H$24,Цены!$K$24,IF(Q80=Цены!$H$25,Цены!$K$25,IF(Q80=Цены!$H$26,Цены!$K$26,IF(Q80=Цены!$H$27,Цены!$K$27,IF(Q80=Цены!$H$28,Цены!$K$28,IF(Q80=Цены!$H$29,Цены!$K$29,IF(Q80=Цены!$H$30,Цены!$K$30,IF(Q80=Цены!$H$31,Цены!$K$31,IF(Q80=Цены!$H$32,Цены!$K$32,IF(Q80=Цены!$H$33,Цены!$K$33,IF(Q80=Цены!$H$34,Цены!$K$34,IF(Q80=Цены!$H$35,Цены!$K$35,IF(Q80=Цены!$H$36,Цены!$K$36,IF(Q80=Цены!$H$37,Цены!$K$37,IF(Q80=Цены!$H$38,Цены!$K$38,IF(Q80=Цены!$H$39,Цены!$K$39,IF(Q80=Цены!$H$40,Цены!$K$40,IF(Q80=Цены!$H$41,Цены!$K$41,IF(Q80=Цены!$H$42,Цены!$K$42,IF(Q80=Цены!$H$43,Цены!$K$43,IF(Q80=Цены!$H$44,Цены!$K$44,IF(Q80=Цены!$H$45,Цены!$K$45,IF(Q80=Цены!$H$46,Цены!$K$46,IF(Q80=Цены!$H$47,Цены!$K$47,IF(Q80=Цены!$H$48,Цены!$K$48,IF(Q80=Цены!$H$49,Цены!$K$49,IF(Q80=Цены!$H$50,Цены!$K$50,IF(Q80=Цены!$H$51,Цены!$K$51,IF(Q80=Цены!$H$52,Цены!$K$52,IF(Q80=Цены!$H$53,Цены!$K$53,IF(Q80=Цены!$H$54,Цены!$K$54,IF(Q80=Цены!$H$55,Цены!$K$55))))))))))))))))))))))))))))))))))))))))))))))))))))))</f>
        <v>400</v>
      </c>
      <c r="V80" s="265"/>
      <c r="W80" s="265"/>
      <c r="X80" s="272"/>
      <c r="Y80" s="273"/>
      <c r="Z80" s="273"/>
      <c r="AA80" s="320"/>
      <c r="AB80" s="323"/>
      <c r="AC80" s="275"/>
      <c r="AD80" s="211" t="s">
        <v>70</v>
      </c>
      <c r="AE80" s="67">
        <v>4</v>
      </c>
      <c r="AF80" s="68">
        <f>IF(AD80=Цены!$H$3,Цены!$L$3,IF(AD80=Цены!$H$4,Цены!$L$4,IF(AD80=Цены!$H$5,Цены!$L$5,IF(AD80=Цены!$H$6,Цены!$L$6,IF(AD80=Цены!$H$7,Цены!$L$7,IF(AD80=Цены!$H$8,Цены!$L$8,IF(AD80=Цены!$H$9,Цены!$L$9,IF(AD80=Цены!$H$10,Цены!$L$10,IF(AD80=Цены!$H$11,Цены!$L$11,IF(AD80=Цены!$H$12,Цены!$L$12,IF(AD80=Цены!$H$13,Цены!$L$13,IF(AD80=Цены!$H$14,Цены!$L$14,IF(AD80=Цены!$H$14,Цены!$L$14,IF(AD80=Цены!$H$15,Цены!$L$15,IF(AD80=Цены!$H$16,Цены!$L$16,IF(AD80=Цены!$H$17,Цены!$L$17,IF(AD80=Цены!$H$18,Цены!$L$18,IF(AD80=Цены!$H$19,Цены!$L$19,IF(AD80=Цены!$H$20,Цены!$L$20,IF(AD80=Цены!$H$21,Цены!$L$21,IF(AD80=Цены!$H$22,Цены!$L$22,IF(AD80=Цены!$H$23,Цены!$L$23,IF(AD80=Цены!$H$24,Цены!$L$24,IF(AD80=Цены!$H$25,Цены!$L$25,IF(AD80=Цены!$H$26,Цены!$L$26,IF(AD80=Цены!$H$27,Цены!$L$27,IF(AD80=Цены!$H$28,Цены!$L$28,IF(AD80=Цены!$H$29,Цены!$L$29,IF(AD80=Цены!$H$30,Цены!$L$30,IF(AD80=Цены!$H$31,Цены!$L$31,IF(AD80=Цены!$H$32,Цены!$L$32,IF(AD80=Цены!$H$33,Цены!$L$33,IF(AD80=Цены!$H$34,Цены!$L$34,IF(AD80=Цены!$H$35,Цены!$L$35,IF(AD80=Цены!$H$36,Цены!$L$36,IF(AD80=Цены!$H$37,Цены!$L$37,IF(AD80=Цены!$H$38,Цены!$L$38,IF(AD80=Цены!$H$39,Цены!$L$39,IF(AD80=Цены!$H$40,Цены!$L$40,IF(AD80=Цены!$H$41,Цены!$L$41,IF(AD80=Цены!$H$42,Цены!$L$42,IF(AD80=Цены!$H$43,Цены!$L$43,IF(AD80=Цены!$H$44,Цены!$L$44,IF(AD80=Цены!$H$45,Цены!$L$45,IF(AD80=Цены!$H$46,Цены!$L$46,IF(AD80=Цены!$H$47,Цены!$L$47,IF(AD80=Цены!$H$48,Цены!$L$48,IF(AD80=Цены!$H$49,Цены!$L$49,IF(AD80=Цены!$H$50,Цены!$L$50,IF(AD80=Цены!$H$51,Цены!$L$51,IF(AD80=Цены!$H$52,Цены!$L$52,IF(AD80=Цены!$H$53,Цены!$L$53,IF(AD80=Цены!$H$54,Цены!$L$54,IF(AD80=Цены!$H$55,Цены!$L$55))))))))))))))))))))))))))))))))))))))))))))))))))))))</f>
        <v>2.4</v>
      </c>
      <c r="AG80" s="311"/>
      <c r="AH80" s="69">
        <f>IF(AD80=Цены!$H$3,Цены!$K$3,IF(AD80=Цены!$H$4,Цены!$K$4,IF(AD80=Цены!$H$5,Цены!$K$5,IF(AD80=Цены!$H$6,Цены!$K$6,IF(AD80=Цены!$H$7,Цены!$K$7,IF(AD80=Цены!$H$8,Цены!$K$8,IF(AD80=Цены!$H$9,Цены!$K$9,IF(AD80=Цены!$H$10,Цены!$K$10,IF(AD80=Цены!$H$11,Цены!$K$11,IF(AD80=Цены!$H$12,Цены!$K$12,IF(AD80=Цены!$H$13,Цены!$K$13,IF(AD80=Цены!$H$14,Цены!$K$14,IF(AD80=Цены!$H$14,Цены!$K$14,IF(AD80=Цены!$H$15,Цены!$K$15,IF(AD80=Цены!$H$16,Цены!$K$16,IF(AD80=Цены!$H$17,Цены!$K$17,IF(AD80=Цены!$H$18,Цены!$K$18,IF(AD80=Цены!$H$19,Цены!$K$19,IF(AD80=Цены!$H$20,Цены!$K$20,IF(AD80=Цены!$H$21,Цены!$K$21,IF(AD80=Цены!$H$22,Цены!$K$22,IF(AD80=Цены!$H$23,Цены!$K$23,IF(AD80=Цены!$H$24,Цены!$K$24,IF(AD80=Цены!$H$25,Цены!$K$25,IF(AD80=Цены!$H$26,Цены!$K$26,IF(AD80=Цены!$H$27,Цены!$K$27,IF(AD80=Цены!$H$28,Цены!$K$28,IF(AD80=Цены!$H$29,Цены!$K$29,IF(AD80=Цены!$H$30,Цены!$K$30,IF(AD80=Цены!$H$31,Цены!$K$31,IF(AD80=Цены!$H$32,Цены!$K$32,IF(AD80=Цены!$H$33,Цены!$K$33,IF(AD80=Цены!$H$34,Цены!$K$34,IF(AD80=Цены!$H$35,Цены!$K$35,IF(AD80=Цены!$H$36,Цены!$K$36,IF(AD80=Цены!$H$37,Цены!$K$37,IF(AD80=Цены!$H$38,Цены!$K$38,IF(AD80=Цены!$H$39,Цены!$K$39,IF(AD80=Цены!$H$40,Цены!$K$40,IF(AD80=Цены!$H$41,Цены!$K$41,IF(AD80=Цены!$H$42,Цены!$K$42,IF(AD80=Цены!$H$43,Цены!$K$43,IF(AD80=Цены!$H$44,Цены!$K$44,IF(AD80=Цены!$H$45,Цены!$K$45,IF(AD80=Цены!$H$46,Цены!$K$46,IF(AD80=Цены!$H$47,Цены!$K$47,IF(AD80=Цены!$H$48,Цены!$K$48,IF(AD80=Цены!$H$49,Цены!$K$49,IF(AD80=Цены!$H$50,Цены!$K$50,IF(AD80=Цены!$H$51,Цены!$K$51,IF(AD80=Цены!$H$52,Цены!$K$52,IF(AD80=Цены!$H$53,Цены!$K$53,IF(AD80=Цены!$H$54,Цены!$K$54,IF(AD80=Цены!$H$55,Цены!$K$55))))))))))))))))))))))))))))))))))))))))))))))))))))))</f>
        <v>469</v>
      </c>
      <c r="AI80" s="265"/>
      <c r="AJ80" s="265"/>
      <c r="AK80" s="272"/>
      <c r="AL80" s="273"/>
      <c r="AM80" s="273"/>
      <c r="AN80" s="268"/>
      <c r="AO80" s="312"/>
      <c r="AP80" s="275"/>
      <c r="AQ80" s="206" t="s">
        <v>89</v>
      </c>
      <c r="AR80" s="131">
        <v>4</v>
      </c>
      <c r="AS80" s="80">
        <f>IF(AQ80=Цены!$H$3,Цены!$L$3,IF(AQ80=Цены!$H$4,Цены!$L$4,IF(AQ80=Цены!$H$5,Цены!$L$5,IF(AQ80=Цены!$H$6,Цены!$L$6,IF(AQ80=Цены!$H$7,Цены!$L$7,IF(AQ80=Цены!$H$8,Цены!$L$8,IF(AQ80=Цены!$H$9,Цены!$L$9,IF(AQ80=Цены!$H$10,Цены!$L$10,IF(AQ80=Цены!$H$11,Цены!$L$11,IF(AQ80=Цены!$H$12,Цены!$L$12,IF(AQ80=Цены!$H$13,Цены!$L$13,IF(AQ80=Цены!$H$14,Цены!$L$14,IF(AQ80=Цены!$H$14,Цены!$L$14,IF(AQ80=Цены!$H$15,Цены!$L$15,IF(AQ80=Цены!$H$16,Цены!$L$16,IF(AQ80=Цены!$H$17,Цены!$L$17,IF(AQ80=Цены!$H$18,Цены!$L$18,IF(AQ80=Цены!$H$19,Цены!$L$19,IF(AQ80=Цены!$H$20,Цены!$L$20,IF(AQ80=Цены!$H$21,Цены!$L$21,IF(AQ80=Цены!$H$22,Цены!$L$22,IF(AQ80=Цены!$H$23,Цены!$L$23,IF(AQ80=Цены!$H$24,Цены!$L$24,IF(AQ80=Цены!$H$25,Цены!$L$25,IF(AQ80=Цены!$H$26,Цены!$L$26,IF(AQ80=Цены!$H$27,Цены!$L$27,IF(AQ80=Цены!$H$28,Цены!$L$28,IF(AQ80=Цены!$H$29,Цены!$L$29,IF(AQ80=Цены!$H$30,Цены!$L$30,IF(AQ80=Цены!$H$31,Цены!$L$31,IF(AQ80=Цены!$H$32,Цены!$L$32,IF(AQ80=Цены!$H$33,Цены!$L$33,IF(AQ80=Цены!$H$34,Цены!$L$34,IF(AQ80=Цены!$H$35,Цены!$L$35,IF(AQ80=Цены!$H$36,Цены!$L$36,IF(AQ80=Цены!$H$37,Цены!$L$37,IF(AQ80=Цены!$H$38,Цены!$L$38,IF(AQ80=Цены!$H$39,Цены!$L$39,IF(AQ80=Цены!$H$40,Цены!$L$40,IF(AQ80=Цены!$H$41,Цены!$L$41,IF(AQ80=Цены!$H$42,Цены!$L$42,IF(AQ80=Цены!$H$43,Цены!$L$43,IF(AQ80=Цены!$H$44,Цены!$L$44,IF(AQ80=Цены!$H$45,Цены!$L$45,IF(AQ80=Цены!$H$46,Цены!$L$46,IF(AQ80=Цены!$H$47,Цены!$L$47,IF(AQ80=Цены!$H$48,Цены!$L$48,IF(AQ80=Цены!$H$49,Цены!$L$49,IF(AQ80=Цены!$H$50,Цены!$L$50,IF(AQ80=Цены!$H$51,Цены!$L$51,IF(AQ80=Цены!$H$52,Цены!$L$52,IF(AQ80=Цены!$H$53,Цены!$L$53,IF(AQ80=Цены!$H$54,Цены!$L$54,IF(AQ80=Цены!$H$55,Цены!$L$55))))))))))))))))))))))))))))))))))))))))))))))))))))))</f>
        <v>1.1499999999999999</v>
      </c>
      <c r="AT80" s="271"/>
      <c r="AU80" s="81">
        <f>IF(AQ80=Цены!$H$3,Цены!$K$3,IF(AQ80=Цены!$H$4,Цены!$K$4,IF(AQ80=Цены!$H$5,Цены!$K$5,IF(AQ80=Цены!$H$6,Цены!$K$6,IF(AQ80=Цены!$H$7,Цены!$K$7,IF(AQ80=Цены!$H$8,Цены!$K$8,IF(AQ80=Цены!$H$9,Цены!$K$9,IF(AQ80=Цены!$H$10,Цены!$K$10,IF(AQ80=Цены!$H$11,Цены!$K$11,IF(AQ80=Цены!$H$12,Цены!$K$12,IF(AQ80=Цены!$H$13,Цены!$K$13,IF(AQ80=Цены!$H$14,Цены!$K$14,IF(AQ80=Цены!$H$14,Цены!$K$14,IF(AQ80=Цены!$H$15,Цены!$K$15,IF(AQ80=Цены!$H$16,Цены!$K$16,IF(AQ80=Цены!$H$17,Цены!$K$17,IF(AQ80=Цены!$H$18,Цены!$K$18,IF(AQ80=Цены!$H$19,Цены!$K$19,IF(AQ80=Цены!$H$20,Цены!$K$20,IF(AQ80=Цены!$H$21,Цены!$K$21,IF(AQ80=Цены!$H$22,Цены!$K$22,IF(AQ80=Цены!$H$23,Цены!$K$23,IF(AQ80=Цены!$H$24,Цены!$K$24,IF(AQ80=Цены!$H$25,Цены!$K$25,IF(AQ80=Цены!$H$26,Цены!$K$26,IF(AQ80=Цены!$H$27,Цены!$K$27,IF(AQ80=Цены!$H$28,Цены!$K$28,IF(AQ80=Цены!$H$29,Цены!$K$29,IF(AQ80=Цены!$H$30,Цены!$K$30,IF(AQ80=Цены!$H$31,Цены!$K$31,IF(AQ80=Цены!$H$32,Цены!$K$32,IF(AQ80=Цены!$H$33,Цены!$K$33,IF(AQ80=Цены!$H$34,Цены!$K$34,IF(AQ80=Цены!$H$35,Цены!$K$35,IF(AQ80=Цены!$H$36,Цены!$K$36,IF(AQ80=Цены!$H$37,Цены!$K$37,IF(AQ80=Цены!$H$38,Цены!$K$38,IF(AQ80=Цены!$H$39,Цены!$K$39,IF(AQ80=Цены!$H$40,Цены!$K$40,IF(AQ80=Цены!$H$41,Цены!$K$41,IF(AQ80=Цены!$H$42,Цены!$K$42,IF(AQ80=Цены!$H$43,Цены!$K$43,IF(AQ80=Цены!$H$44,Цены!$K$44,IF(AQ80=Цены!$H$45,Цены!$K$45,IF(AQ80=Цены!$H$46,Цены!$K$46,IF(AQ80=Цены!$H$47,Цены!$K$47,IF(AQ80=Цены!$H$48,Цены!$K$48,IF(AQ80=Цены!$H$49,Цены!$K$49,IF(AQ80=Цены!$H$50,Цены!$K$50,IF(AQ80=Цены!$H$51,Цены!$K$51,IF(AQ80=Цены!$H$52,Цены!$K$52,IF(AQ80=Цены!$H$53,Цены!$K$53,IF(AQ80=Цены!$H$54,Цены!$K$54,IF(AQ80=Цены!$H$55,Цены!$K$55))))))))))))))))))))))))))))))))))))))))))))))))))))))</f>
        <v>400</v>
      </c>
      <c r="AV80" s="265"/>
      <c r="AW80" s="265"/>
      <c r="AX80" s="272"/>
      <c r="AY80" s="273"/>
      <c r="AZ80" s="273"/>
      <c r="BA80" s="268"/>
      <c r="BB80" s="274"/>
      <c r="BC80" s="275"/>
      <c r="BD80" s="262"/>
      <c r="BE80" s="215" t="s">
        <v>96</v>
      </c>
      <c r="BF80" s="106">
        <v>4</v>
      </c>
      <c r="BG80" s="103">
        <f>IF(BE80=Цены!$H$3,Цены!$L$3,IF(BE80=Цены!$H$4,Цены!$L$4,IF(BE80=Цены!$H$5,Цены!$L$5,IF(BE80=Цены!$H$6,Цены!$L$6,IF(BE80=Цены!$H$7,Цены!$L$7,IF(BE80=Цены!$H$8,Цены!$L$8,IF(BE80=Цены!$H$9,Цены!$L$9,IF(BE80=Цены!$H$10,Цены!$L$10,IF(BE80=Цены!$H$11,Цены!$L$11,IF(BE80=Цены!$H$12,Цены!$L$12,IF(BE80=Цены!$H$13,Цены!$L$13,IF(BE80=Цены!$H$14,Цены!$L$14,IF(BE80=Цены!$H$14,Цены!$L$14,IF(BE80=Цены!$H$15,Цены!$L$15,IF(BE80=Цены!$H$16,Цены!$L$16,IF(BE80=Цены!$H$17,Цены!$L$17,IF(BE80=Цены!$H$18,Цены!$L$18,IF(BE80=Цены!$H$19,Цены!$L$19,IF(BE80=Цены!$H$20,Цены!$L$20,IF(BE80=Цены!$H$21,Цены!$L$21,IF(BE80=Цены!$H$22,Цены!$L$22,IF(BE80=Цены!$H$23,Цены!$L$23,IF(BE80=Цены!$H$24,Цены!$L$24,IF(BE80=Цены!$H$25,Цены!$L$25,IF(BE80=Цены!$H$26,Цены!$L$26,IF(BE80=Цены!$H$27,Цены!$L$27,IF(BE80=Цены!$H$28,Цены!$L$28,IF(BE80=Цены!$H$29,Цены!$L$29,IF(BE80=Цены!$H$30,Цены!$L$30,IF(BE80=Цены!$H$31,Цены!$L$31,IF(BE80=Цены!$H$32,Цены!$L$32,IF(BE80=Цены!$H$33,Цены!$L$33,IF(BE80=Цены!$H$34,Цены!$L$34,IF(BE80=Цены!$H$35,Цены!$L$35,IF(BE80=Цены!$H$36,Цены!$L$36,IF(BE80=Цены!$H$37,Цены!$L$37,IF(BE80=Цены!$H$38,Цены!$L$38,IF(BE80=Цены!$H$39,Цены!$L$39,IF(BE80=Цены!$H$40,Цены!$L$40,IF(BE80=Цены!$H$41,Цены!$L$41,IF(BE80=Цены!$H$42,Цены!$L$42,IF(BE80=Цены!$H$43,Цены!$L$43,IF(BE80=Цены!$H$44,Цены!$L$44,IF(BE80=Цены!$H$45,Цены!$L$45,IF(BE80=Цены!$H$46,Цены!$L$46,IF(BE80=Цены!$H$47,Цены!$L$47,IF(BE80=Цены!$H$48,Цены!$L$48,IF(BE80=Цены!$H$49,Цены!$L$49,IF(BE80=Цены!$H$50,Цены!$L$50,IF(BE80=Цены!$H$51,Цены!$L$51,IF(BE80=Цены!$H$52,Цены!$L$52,IF(BE80=Цены!$H$53,Цены!$L$53,IF(BE80=Цены!$H$54,Цены!$L$54,IF(BE80=Цены!$H$55,Цены!$L$55))))))))))))))))))))))))))))))))))))))))))))))))))))))</f>
        <v>0.78</v>
      </c>
      <c r="BH80" s="280"/>
      <c r="BI80" s="104">
        <f>IF(BE80=Цены!$H$3,Цены!$K$3,IF(BE80=Цены!$H$4,Цены!$K$4,IF(BE80=Цены!$H$5,Цены!$K$5,IF(BE80=Цены!$H$6,Цены!$K$6,IF(BE80=Цены!$H$7,Цены!$K$7,IF(BE80=Цены!$H$8,Цены!$K$8,IF(BE80=Цены!$H$9,Цены!$K$9,IF(BE80=Цены!$H$10,Цены!$K$10,IF(BE80=Цены!$H$11,Цены!$K$11,IF(BE80=Цены!$H$12,Цены!$K$12,IF(BE80=Цены!$H$13,Цены!$K$13,IF(BE80=Цены!$H$14,Цены!$K$14,IF(BE80=Цены!$H$14,Цены!$K$14,IF(BE80=Цены!$H$15,Цены!$K$15,IF(BE80=Цены!$H$16,Цены!$K$16,IF(BE80=Цены!$H$17,Цены!$K$17,IF(BE80=Цены!$H$18,Цены!$K$18,IF(BE80=Цены!$H$19,Цены!$K$19,IF(BE80=Цены!$H$20,Цены!$K$20,IF(BE80=Цены!$H$21,Цены!$K$21,IF(BE80=Цены!$H$22,Цены!$K$22,IF(BE80=Цены!$H$23,Цены!$K$23,IF(BE80=Цены!$H$24,Цены!$K$24,IF(BE80=Цены!$H$25,Цены!$K$25,IF(BE80=Цены!$H$26,Цены!$K$26,IF(BE80=Цены!$H$27,Цены!$K$27,IF(BE80=Цены!$H$28,Цены!$K$28,IF(BE80=Цены!$H$29,Цены!$K$29,IF(BE80=Цены!$H$30,Цены!$K$30,IF(BE80=Цены!$H$31,Цены!$K$31,IF(BE80=Цены!$H$32,Цены!$K$32,IF(BE80=Цены!$H$33,Цены!$K$33,IF(BE80=Цены!$H$34,Цены!$K$34,IF(BE80=Цены!$H$35,Цены!$K$35,IF(BE80=Цены!$H$36,Цены!$K$36,IF(BE80=Цены!$H$37,Цены!$K$37,IF(BE80=Цены!$H$38,Цены!$K$38,IF(BE80=Цены!$H$39,Цены!$K$39,IF(BE80=Цены!$H$40,Цены!$K$40,IF(BE80=Цены!$H$41,Цены!$K$41,IF(BE80=Цены!$H$42,Цены!$K$42,IF(BE80=Цены!$H$43,Цены!$K$43,IF(BE80=Цены!$H$44,Цены!$K$44,IF(BE80=Цены!$H$45,Цены!$K$45,IF(BE80=Цены!$H$46,Цены!$K$46,IF(BE80=Цены!$H$47,Цены!$K$47,IF(BE80=Цены!$H$48,Цены!$K$48,IF(BE80=Цены!$H$49,Цены!$K$49,IF(BE80=Цены!$H$50,Цены!$K$50,IF(BE80=Цены!$H$51,Цены!$K$51,IF(BE80=Цены!$H$52,Цены!$K$52,IF(BE80=Цены!$H$53,Цены!$K$53,IF(BE80=Цены!$H$54,Цены!$K$54,IF(BE80=Цены!$H$55,Цены!$K$55))))))))))))))))))))))))))))))))))))))))))))))))))))))</f>
        <v>447</v>
      </c>
      <c r="BJ80" s="265"/>
      <c r="BK80" s="265"/>
      <c r="BL80" s="272"/>
      <c r="BM80" s="273"/>
      <c r="BN80" s="273"/>
      <c r="BO80" s="268"/>
      <c r="BP80" s="281"/>
      <c r="BQ80" s="275"/>
      <c r="BR80" s="215" t="s">
        <v>96</v>
      </c>
      <c r="BS80" s="108">
        <v>3</v>
      </c>
      <c r="BT80" s="109">
        <f>IF(BR80=Цены!$H$3,Цены!$L$3,IF(BR80=Цены!$H$4,Цены!$L$4,IF(BR80=Цены!$H$5,Цены!$L$5,IF(BR80=Цены!$H$6,Цены!$L$6,IF(BR80=Цены!$H$7,Цены!$L$7,IF(BR80=Цены!$H$8,Цены!$L$8,IF(BR80=Цены!$H$9,Цены!$L$9,IF(BR80=Цены!$H$10,Цены!$L$10,IF(BR80=Цены!$H$11,Цены!$L$11,IF(BR80=Цены!$H$12,Цены!$L$12,IF(BR80=Цены!$H$13,Цены!$L$13,IF(BR80=Цены!$H$14,Цены!$L$14,IF(BR80=Цены!$H$14,Цены!$L$14,IF(BR80=Цены!$H$15,Цены!$L$15,IF(BR80=Цены!$H$16,Цены!$L$16,IF(BR80=Цены!$H$17,Цены!$L$17,IF(BR80=Цены!$H$18,Цены!$L$18,IF(BR80=Цены!$H$19,Цены!$L$19,IF(BR80=Цены!$H$20,Цены!$L$20,IF(BR80=Цены!$H$21,Цены!$L$21,IF(BR80=Цены!$H$22,Цены!$L$22,IF(BR80=Цены!$H$23,Цены!$L$23,IF(BR80=Цены!$H$24,Цены!$L$24,IF(BR80=Цены!$H$25,Цены!$L$25,IF(BR80=Цены!$H$26,Цены!$L$26,IF(BR80=Цены!$H$27,Цены!$L$27,IF(BR80=Цены!$H$28,Цены!$L$28,IF(BR80=Цены!$H$29,Цены!$L$29,IF(BR80=Цены!$H$30,Цены!$L$30,IF(BR80=Цены!$H$31,Цены!$L$31,IF(BR80=Цены!$H$32,Цены!$L$32,IF(BR80=Цены!$H$33,Цены!$L$33,IF(BR80=Цены!$H$34,Цены!$L$34,IF(BR80=Цены!$H$35,Цены!$L$35,IF(BR80=Цены!$H$36,Цены!$L$36,IF(BR80=Цены!$H$37,Цены!$L$37,IF(BR80=Цены!$H$38,Цены!$L$38,IF(BR80=Цены!$H$39,Цены!$L$39,IF(BR80=Цены!$H$40,Цены!$L$40,IF(BR80=Цены!$H$41,Цены!$L$41,IF(BR80=Цены!$H$42,Цены!$L$42,IF(BR80=Цены!$H$43,Цены!$L$43,IF(BR80=Цены!$H$44,Цены!$L$44,IF(BR80=Цены!$H$45,Цены!$L$45,IF(BR80=Цены!$H$46,Цены!$L$46,IF(BR80=Цены!$H$47,Цены!$L$47,IF(BR80=Цены!$H$48,Цены!$L$48,IF(BR80=Цены!$H$49,Цены!$L$49,IF(BR80=Цены!$H$50,Цены!$L$50,IF(BR80=Цены!$H$51,Цены!$L$51,IF(BR80=Цены!$H$52,Цены!$L$52,IF(BR80=Цены!$H$53,Цены!$L$53,IF(BR80=Цены!$H$54,Цены!$L$54,IF(BR80=Цены!$H$55,Цены!$L$55))))))))))))))))))))))))))))))))))))))))))))))))))))))</f>
        <v>0.78</v>
      </c>
      <c r="BU80" s="284"/>
      <c r="BV80" s="110">
        <f>IF(BR80=Цены!$H$3,Цены!$K$3,IF(BR80=Цены!$H$4,Цены!$K$4,IF(BR80=Цены!$H$5,Цены!$K$5,IF(BR80=Цены!$H$6,Цены!$K$6,IF(BR80=Цены!$H$7,Цены!$K$7,IF(BR80=Цены!$H$8,Цены!$K$8,IF(BR80=Цены!$H$9,Цены!$K$9,IF(BR80=Цены!$H$10,Цены!$K$10,IF(BR80=Цены!$H$11,Цены!$K$11,IF(BR80=Цены!$H$12,Цены!$K$12,IF(BR80=Цены!$H$13,Цены!$K$13,IF(BR80=Цены!$H$14,Цены!$K$14,IF(BR80=Цены!$H$14,Цены!$K$14,IF(BR80=Цены!$H$15,Цены!$K$15,IF(BR80=Цены!$H$16,Цены!$K$16,IF(BR80=Цены!$H$17,Цены!$K$17,IF(BR80=Цены!$H$18,Цены!$K$18,IF(BR80=Цены!$H$19,Цены!$K$19,IF(BR80=Цены!$H$20,Цены!$K$20,IF(BR80=Цены!$H$21,Цены!$K$21,IF(BR80=Цены!$H$22,Цены!$K$22,IF(BR80=Цены!$H$23,Цены!$K$23,IF(BR80=Цены!$H$24,Цены!$K$24,IF(BR80=Цены!$H$25,Цены!$K$25,IF(BR80=Цены!$H$26,Цены!$K$26,IF(BR80=Цены!$H$27,Цены!$K$27,IF(BR80=Цены!$H$28,Цены!$K$28,IF(BR80=Цены!$H$29,Цены!$K$29,IF(BR80=Цены!$H$30,Цены!$K$30,IF(BR80=Цены!$H$31,Цены!$K$31,IF(BR80=Цены!$H$32,Цены!$K$32,IF(BR80=Цены!$H$33,Цены!$K$33,IF(BR80=Цены!$H$34,Цены!$K$34,IF(BR80=Цены!$H$35,Цены!$K$35,IF(BR80=Цены!$H$36,Цены!$K$36,IF(BR80=Цены!$H$37,Цены!$K$37,IF(BR80=Цены!$H$38,Цены!$K$38,IF(BR80=Цены!$H$39,Цены!$K$39,IF(BR80=Цены!$H$40,Цены!$K$40,IF(BR80=Цены!$H$41,Цены!$K$41,IF(BR80=Цены!$H$42,Цены!$K$42,IF(BR80=Цены!$H$43,Цены!$K$43,IF(BR80=Цены!$H$44,Цены!$K$44,IF(BR80=Цены!$H$45,Цены!$K$45,IF(BR80=Цены!$H$46,Цены!$K$46,IF(BR80=Цены!$H$47,Цены!$K$47,IF(BR80=Цены!$H$48,Цены!$K$48,IF(BR80=Цены!$H$49,Цены!$K$49,IF(BR80=Цены!$H$50,Цены!$K$50,IF(BR80=Цены!$H$51,Цены!$K$51,IF(BR80=Цены!$H$52,Цены!$K$52,IF(BR80=Цены!$H$53,Цены!$K$53,IF(BR80=Цены!$H$54,Цены!$K$54,IF(BR80=Цены!$H$55,Цены!$K$55))))))))))))))))))))))))))))))))))))))))))))))))))))))</f>
        <v>447</v>
      </c>
      <c r="BW80" s="265"/>
      <c r="BX80" s="265"/>
      <c r="BY80" s="272"/>
      <c r="BZ80" s="273"/>
      <c r="CA80" s="273"/>
      <c r="CB80" s="268"/>
      <c r="CC80" s="285"/>
      <c r="CD80" s="275"/>
      <c r="CE80" s="173" t="s">
        <v>87</v>
      </c>
      <c r="CF80" s="112">
        <v>3</v>
      </c>
      <c r="CG80" s="113">
        <f>IF(CE80=Цены!$H$3,Цены!$L$3,IF(CE80=Цены!$H$4,Цены!$L$4,IF(CE80=Цены!$H$5,Цены!$L$5,IF(CE80=Цены!$H$6,Цены!$L$6,IF(CE80=Цены!$H$7,Цены!$L$7,IF(CE80=Цены!$H$8,Цены!$L$8,IF(CE80=Цены!$H$9,Цены!$L$9,IF(CE80=Цены!$H$10,Цены!$L$10,IF(CE80=Цены!$H$11,Цены!$L$11,IF(CE80=Цены!$H$12,Цены!$L$12,IF(CE80=Цены!$H$13,Цены!$L$13,IF(CE80=Цены!$H$14,Цены!$L$14,IF(CE80=Цены!$H$14,Цены!$L$14,IF(CE80=Цены!$H$15,Цены!$L$15,IF(CE80=Цены!$H$16,Цены!$L$16,IF(CE80=Цены!$H$17,Цены!$L$17,IF(CE80=Цены!$H$18,Цены!$L$18,IF(CE80=Цены!$H$19,Цены!$L$19,IF(CE80=Цены!$H$20,Цены!$L$20,IF(CE80=Цены!$H$21,Цены!$L$21,IF(CE80=Цены!$H$22,Цены!$L$22,IF(CE80=Цены!$H$23,Цены!$L$23,IF(CE80=Цены!$H$24,Цены!$L$24,IF(CE80=Цены!$H$25,Цены!$L$25,IF(CE80=Цены!$H$26,Цены!$L$26,IF(CE80=Цены!$H$27,Цены!$L$27,IF(CE80=Цены!$H$28,Цены!$L$28,IF(CE80=Цены!$H$29,Цены!$L$29,IF(CE80=Цены!$H$30,Цены!$L$30,IF(CE80=Цены!$H$31,Цены!$L$31,IF(CE80=Цены!$H$32,Цены!$L$32,IF(CE80=Цены!$H$33,Цены!$L$33,IF(CE80=Цены!$H$34,Цены!$L$34,IF(CE80=Цены!$H$35,Цены!$L$35,IF(CE80=Цены!$H$36,Цены!$L$36,IF(CE80=Цены!$H$37,Цены!$L$37,IF(CE80=Цены!$H$38,Цены!$L$38,IF(CE80=Цены!$H$39,Цены!$L$39,IF(CE80=Цены!$H$40,Цены!$L$40,IF(CE80=Цены!$H$41,Цены!$L$41,IF(CE80=Цены!$H$42,Цены!$L$42,IF(CE80=Цены!$H$43,Цены!$L$43,IF(CE80=Цены!$H$44,Цены!$L$44,IF(CE80=Цены!$H$45,Цены!$L$45,IF(CE80=Цены!$H$46,Цены!$L$46,IF(CE80=Цены!$H$47,Цены!$L$47,IF(CE80=Цены!$H$48,Цены!$L$48,IF(CE80=Цены!$H$49,Цены!$L$49,IF(CE80=Цены!$H$50,Цены!$L$50,IF(CE80=Цены!$H$51,Цены!$L$51,IF(CE80=Цены!$H$52,Цены!$L$52,IF(CE80=Цены!$H$53,Цены!$L$53,IF(CE80=Цены!$H$54,Цены!$L$54,IF(CE80=Цены!$H$55,Цены!$L$55))))))))))))))))))))))))))))))))))))))))))))))))))))))</f>
        <v>1.2</v>
      </c>
      <c r="CH80" s="282"/>
      <c r="CI80" s="114">
        <f>IF(CE80=Цены!$H$3,Цены!$K$3,IF(CE80=Цены!$H$4,Цены!$K$4,IF(CE80=Цены!$H$5,Цены!$K$5,IF(CE80=Цены!$H$6,Цены!$K$6,IF(CE80=Цены!$H$7,Цены!$K$7,IF(CE80=Цены!$H$8,Цены!$K$8,IF(CE80=Цены!$H$9,Цены!$K$9,IF(CE80=Цены!$H$10,Цены!$K$10,IF(CE80=Цены!$H$11,Цены!$K$11,IF(CE80=Цены!$H$12,Цены!$K$12,IF(CE80=Цены!$H$13,Цены!$K$13,IF(CE80=Цены!$H$14,Цены!$K$14,IF(CE80=Цены!$H$14,Цены!$K$14,IF(CE80=Цены!$H$15,Цены!$K$15,IF(CE80=Цены!$H$16,Цены!$K$16,IF(CE80=Цены!$H$17,Цены!$K$17,IF(CE80=Цены!$H$18,Цены!$K$18,IF(CE80=Цены!$H$19,Цены!$K$19,IF(CE80=Цены!$H$20,Цены!$K$20,IF(CE80=Цены!$H$21,Цены!$K$21,IF(CE80=Цены!$H$22,Цены!$K$22,IF(CE80=Цены!$H$23,Цены!$K$23,IF(CE80=Цены!$H$24,Цены!$K$24,IF(CE80=Цены!$H$25,Цены!$K$25,IF(CE80=Цены!$H$26,Цены!$K$26,IF(CE80=Цены!$H$27,Цены!$K$27,IF(CE80=Цены!$H$28,Цены!$K$28,IF(CE80=Цены!$H$29,Цены!$K$29,IF(CE80=Цены!$H$30,Цены!$K$30,IF(CE80=Цены!$H$31,Цены!$K$31,IF(CE80=Цены!$H$32,Цены!$K$32,IF(CE80=Цены!$H$33,Цены!$K$33,IF(CE80=Цены!$H$34,Цены!$K$34,IF(CE80=Цены!$H$35,Цены!$K$35,IF(CE80=Цены!$H$36,Цены!$K$36,IF(CE80=Цены!$H$37,Цены!$K$37,IF(CE80=Цены!$H$38,Цены!$K$38,IF(CE80=Цены!$H$39,Цены!$K$39,IF(CE80=Цены!$H$40,Цены!$K$40,IF(CE80=Цены!$H$41,Цены!$K$41,IF(CE80=Цены!$H$42,Цены!$K$42,IF(CE80=Цены!$H$43,Цены!$K$43,IF(CE80=Цены!$H$44,Цены!$K$44,IF(CE80=Цены!$H$45,Цены!$K$45,IF(CE80=Цены!$H$46,Цены!$K$46,IF(CE80=Цены!$H$47,Цены!$K$47,IF(CE80=Цены!$H$48,Цены!$K$48,IF(CE80=Цены!$H$49,Цены!$K$49,IF(CE80=Цены!$H$50,Цены!$K$50,IF(CE80=Цены!$H$51,Цены!$K$51,IF(CE80=Цены!$H$52,Цены!$K$52,IF(CE80=Цены!$H$53,Цены!$K$53,IF(CE80=Цены!$H$54,Цены!$K$54,IF(CE80=Цены!$H$55,Цены!$K$55))))))))))))))))))))))))))))))))))))))))))))))))))))))</f>
        <v>378</v>
      </c>
      <c r="CJ80" s="265"/>
      <c r="CK80" s="265"/>
      <c r="CL80" s="272"/>
      <c r="CM80" s="273"/>
      <c r="CN80" s="273"/>
      <c r="CO80" s="268"/>
      <c r="CP80" s="283"/>
      <c r="CQ80" s="275"/>
    </row>
    <row r="81" spans="1:95" s="40" customFormat="1" ht="15" customHeight="1" x14ac:dyDescent="0.25">
      <c r="A81" s="353"/>
      <c r="B81" s="265"/>
      <c r="C81" s="336"/>
      <c r="D81" s="174" t="s">
        <v>125</v>
      </c>
      <c r="E81" s="168">
        <v>4</v>
      </c>
      <c r="F81" s="46">
        <f>IF(D81=Цены!$H$3,Цены!$L$3,IF(D81=Цены!$H$4,Цены!$L$4,IF(D81=Цены!$H$5,Цены!$L$5,IF(D81=Цены!$H$6,Цены!$L$6,IF(D81=Цены!$H$7,Цены!$L$7,IF(D81=Цены!$H$8,Цены!$L$8,IF(D81=Цены!$H$9,Цены!$L$9,IF(D81=Цены!$H$10,Цены!$L$10,IF(D81=Цены!$H$11,Цены!$L$11,IF(D81=Цены!$H$12,Цены!$L$12,IF(D81=Цены!$H$13,Цены!$L$13,IF(D81=Цены!$H$14,Цены!$L$14,IF(D81=Цены!$H$14,Цены!$L$14,IF(D81=Цены!$H$15,Цены!$L$15,IF(D81=Цены!$H$16,Цены!$L$16,IF(D81=Цены!$H$17,Цены!$L$17,IF(D81=Цены!$H$18,Цены!$L$18,IF(D81=Цены!$H$19,Цены!$L$19,IF(D81=Цены!$H$20,Цены!$L$20,IF(D81=Цены!$H$21,Цены!$L$21,IF(D81=Цены!$H$22,Цены!$L$22,IF(D81=Цены!$H$23,Цены!$L$23,IF(D81=Цены!$H$24,Цены!$L$24,IF(D81=Цены!$H$25,Цены!$L$25,IF(D81=Цены!$H$26,Цены!$L$26,IF(D81=Цены!$H$27,Цены!$L$27,IF(D81=Цены!$H$28,Цены!$L$28,IF(D81=Цены!$H$29,Цены!$L$29,IF(D81=Цены!$H$30,Цены!$L$30,IF(D81=Цены!$H$31,Цены!$L$31,IF(D81=Цены!$H$32,Цены!$L$32,IF(D81=Цены!$H$33,Цены!$L$33,IF(D81=Цены!$H$34,Цены!$L$34,IF(D81=Цены!$H$35,Цены!$L$35,IF(D81=Цены!$H$36,Цены!$L$36,IF(D81=Цены!$H$37,Цены!$L$37,IF(D81=Цены!$H$38,Цены!$L$38,IF(D81=Цены!$H$39,Цены!$L$39,IF(D81=Цены!$H$40,Цены!$L$40,IF(D81=Цены!$H$41,Цены!$L$41,IF(D81=Цены!$H$42,Цены!$L$42,IF(D81=Цены!$H$43,Цены!$L$43,IF(D81=Цены!$H$44,Цены!$L$44,IF(D81=Цены!$H$45,Цены!$L$45,IF(D81=Цены!$H$46,Цены!$L$46,IF(D81=Цены!$H$47,Цены!$L$47,IF(D81=Цены!$H$48,Цены!$L$48,IF(D81=Цены!$H$49,Цены!$L$49,IF(D81=Цены!$H$50,Цены!$L$50,IF(D81=Цены!$H$51,Цены!$L$51,IF(D81=Цены!$H$52,Цены!$L$52,IF(D81=Цены!$H$53,Цены!$L$53,IF(D81=Цены!$H$54,Цены!$L$54,IF(D81=Цены!$H$55,Цены!$L$55))))))))))))))))))))))))))))))))))))))))))))))))))))))</f>
        <v>0.39</v>
      </c>
      <c r="G81" s="339"/>
      <c r="H81" s="47">
        <f>IF(D81=Цены!$H$3,Цены!$K$3,IF(D81=Цены!$H$4,Цены!$K$4,IF(D81=Цены!$H$5,Цены!$K$5,IF(D81=Цены!$H$6,Цены!$K$6,IF(D81=Цены!$H$7,Цены!$K$7,IF(D81=Цены!$H$8,Цены!$K$8,IF(D81=Цены!$H$9,Цены!$K$9,IF(D81=Цены!$H$10,Цены!$K$10,IF(D81=Цены!$H$11,Цены!$K$11,IF(D81=Цены!$H$12,Цены!$K$12,IF(D81=Цены!$H$13,Цены!$K$13,IF(D81=Цены!$H$14,Цены!$K$14,IF(D81=Цены!$H$14,Цены!$K$14,IF(D81=Цены!$H$15,Цены!$K$15,IF(D81=Цены!$H$16,Цены!$K$16,IF(D81=Цены!$H$17,Цены!$K$17,IF(D81=Цены!$H$18,Цены!$K$18,IF(D81=Цены!$H$19,Цены!$K$19,IF(D81=Цены!$H$20,Цены!$K$20,IF(D81=Цены!$H$21,Цены!$K$21,IF(D81=Цены!$H$22,Цены!$K$22,IF(D81=Цены!$H$23,Цены!$K$23,IF(D81=Цены!$H$24,Цены!$K$24,IF(D81=Цены!$H$25,Цены!$K$25,IF(D81=Цены!$H$26,Цены!$K$26,IF(D81=Цены!$H$27,Цены!$K$27,IF(D81=Цены!$H$28,Цены!$K$28,IF(D81=Цены!$H$29,Цены!$K$29,IF(D81=Цены!$H$30,Цены!$K$30,IF(D81=Цены!$H$31,Цены!$K$31,IF(D81=Цены!$H$32,Цены!$K$32,IF(D81=Цены!$H$33,Цены!$K$33,IF(D81=Цены!$H$34,Цены!$K$34,IF(D81=Цены!$H$35,Цены!$K$35,IF(D81=Цены!$H$36,Цены!$K$36,IF(D81=Цены!$H$37,Цены!$K$37,IF(D81=Цены!$H$38,Цены!$K$38,IF(D81=Цены!$H$39,Цены!$K$39,IF(D81=Цены!$H$40,Цены!$K$40,IF(D81=Цены!$H$41,Цены!$K$41,IF(D81=Цены!$H$42,Цены!$K$42,IF(D81=Цены!$H$43,Цены!$K$43,IF(D81=Цены!$H$44,Цены!$K$44,IF(D81=Цены!$H$45,Цены!$K$45,IF(D81=Цены!$H$46,Цены!$K$46,IF(D81=Цены!$H$47,Цены!$K$47,IF(D81=Цены!$H$48,Цены!$K$48,IF(D81=Цены!$H$49,Цены!$K$49,IF(D81=Цены!$H$50,Цены!$K$50,IF(D81=Цены!$H$51,Цены!$K$51,IF(D81=Цены!$H$52,Цены!$K$52,IF(D81=Цены!$H$53,Цены!$K$53,IF(D81=Цены!$H$54,Цены!$K$54,IF(D81=Цены!$H$55,Цены!$K$55))))))))))))))))))))))))))))))))))))))))))))))))))))))</f>
        <v>822</v>
      </c>
      <c r="I81" s="265"/>
      <c r="J81" s="265"/>
      <c r="K81" s="272"/>
      <c r="L81" s="273"/>
      <c r="M81" s="273"/>
      <c r="N81" s="268"/>
      <c r="O81" s="332"/>
      <c r="P81" s="275"/>
      <c r="Q81" s="174"/>
      <c r="R81" s="37"/>
      <c r="S81" s="38" t="b">
        <f>IF(Q81=Цены!$H$3,Цены!$L$3,IF(Q81=Цены!$H$4,Цены!$L$4,IF(Q81=Цены!$H$5,Цены!$L$5,IF(Q81=Цены!$H$6,Цены!$L$6,IF(Q81=Цены!$H$7,Цены!$L$7,IF(Q81=Цены!$H$8,Цены!$L$8,IF(Q81=Цены!$H$9,Цены!$L$9,IF(Q81=Цены!$H$10,Цены!$L$10,IF(Q81=Цены!$H$11,Цены!$L$11,IF(Q81=Цены!$H$12,Цены!$L$12,IF(Q81=Цены!$H$13,Цены!$L$13,IF(Q81=Цены!$H$14,Цены!$L$14,IF(Q81=Цены!$H$14,Цены!$L$14,IF(Q81=Цены!$H$15,Цены!$L$15,IF(Q81=Цены!$H$16,Цены!$L$16,IF(Q81=Цены!$H$17,Цены!$L$17,IF(Q81=Цены!$H$18,Цены!$L$18,IF(Q81=Цены!$H$19,Цены!$L$19,IF(Q81=Цены!$H$20,Цены!$L$20,IF(Q81=Цены!$H$21,Цены!$L$21,IF(Q81=Цены!$H$22,Цены!$L$22,IF(Q81=Цены!$H$23,Цены!$L$23,IF(Q81=Цены!$H$24,Цены!$L$24,IF(Q81=Цены!$H$25,Цены!$L$25,IF(Q81=Цены!$H$26,Цены!$L$26,IF(Q81=Цены!$H$27,Цены!$L$27,IF(Q81=Цены!$H$28,Цены!$L$28,IF(Q81=Цены!$H$29,Цены!$L$29,IF(Q81=Цены!$H$30,Цены!$L$30,IF(Q81=Цены!$H$31,Цены!$L$31,IF(Q81=Цены!$H$32,Цены!$L$32,IF(Q81=Цены!$H$33,Цены!$L$33,IF(Q81=Цены!$H$34,Цены!$L$34,IF(Q81=Цены!$H$35,Цены!$L$35,IF(Q81=Цены!$H$36,Цены!$L$36,IF(Q81=Цены!$H$37,Цены!$L$37,IF(Q81=Цены!$H$38,Цены!$L$38,IF(Q81=Цены!$H$39,Цены!$L$39,IF(Q81=Цены!$H$40,Цены!$L$40,IF(Q81=Цены!$H$41,Цены!$L$41,IF(Q81=Цены!$H$42,Цены!$L$42,IF(Q81=Цены!$H$43,Цены!$L$43,IF(Q81=Цены!$H$44,Цены!$L$44,IF(Q81=Цены!$H$45,Цены!$L$45,IF(Q81=Цены!$H$46,Цены!$L$46,IF(Q81=Цены!$H$47,Цены!$L$47,IF(Q81=Цены!$H$48,Цены!$L$48,IF(Q81=Цены!$H$49,Цены!$L$49,IF(Q81=Цены!$H$50,Цены!$L$50,IF(Q81=Цены!$H$51,Цены!$L$51,IF(Q81=Цены!$H$52,Цены!$L$52,IF(Q81=Цены!$H$53,Цены!$L$53,IF(Q81=Цены!$H$54,Цены!$L$54,IF(Q81=Цены!$H$55,Цены!$L$55))))))))))))))))))))))))))))))))))))))))))))))))))))))</f>
        <v>0</v>
      </c>
      <c r="T81" s="322"/>
      <c r="U81" s="161" t="b">
        <f>IF(Q81=Цены!$H$3,Цены!$K$3,IF(Q81=Цены!$H$4,Цены!$K$4,IF(Q81=Цены!$H$5,Цены!$K$5,IF(Q81=Цены!$H$6,Цены!$K$6,IF(Q81=Цены!$H$7,Цены!$K$7,IF(Q81=Цены!$H$8,Цены!$K$8,IF(Q81=Цены!$H$9,Цены!$K$9,IF(Q81=Цены!$H$10,Цены!$K$10,IF(Q81=Цены!$H$11,Цены!$K$11,IF(Q81=Цены!$H$12,Цены!$K$12,IF(Q81=Цены!$H$13,Цены!$K$13,IF(Q81=Цены!$H$14,Цены!$K$14,IF(Q81=Цены!$H$14,Цены!$K$14,IF(Q81=Цены!$H$15,Цены!$K$15,IF(Q81=Цены!$H$16,Цены!$K$16,IF(Q81=Цены!$H$17,Цены!$K$17,IF(Q81=Цены!$H$18,Цены!$K$18,IF(Q81=Цены!$H$19,Цены!$K$19,IF(Q81=Цены!$H$20,Цены!$K$20,IF(Q81=Цены!$H$21,Цены!$K$21,IF(Q81=Цены!$H$22,Цены!$K$22,IF(Q81=Цены!$H$23,Цены!$K$23,IF(Q81=Цены!$H$24,Цены!$K$24,IF(Q81=Цены!$H$25,Цены!$K$25,IF(Q81=Цены!$H$26,Цены!$K$26,IF(Q81=Цены!$H$27,Цены!$K$27,IF(Q81=Цены!$H$28,Цены!$K$28,IF(Q81=Цены!$H$29,Цены!$K$29,IF(Q81=Цены!$H$30,Цены!$K$30,IF(Q81=Цены!$H$31,Цены!$K$31,IF(Q81=Цены!$H$32,Цены!$K$32,IF(Q81=Цены!$H$33,Цены!$K$33,IF(Q81=Цены!$H$34,Цены!$K$34,IF(Q81=Цены!$H$35,Цены!$K$35,IF(Q81=Цены!$H$36,Цены!$K$36,IF(Q81=Цены!$H$37,Цены!$K$37,IF(Q81=Цены!$H$38,Цены!$K$38,IF(Q81=Цены!$H$39,Цены!$K$39,IF(Q81=Цены!$H$40,Цены!$K$40,IF(Q81=Цены!$H$41,Цены!$K$41,IF(Q81=Цены!$H$42,Цены!$K$42,IF(Q81=Цены!$H$43,Цены!$K$43,IF(Q81=Цены!$H$44,Цены!$K$44,IF(Q81=Цены!$H$45,Цены!$K$45,IF(Q81=Цены!$H$46,Цены!$K$46,IF(Q81=Цены!$H$47,Цены!$K$47,IF(Q81=Цены!$H$48,Цены!$K$48,IF(Q81=Цены!$H$49,Цены!$K$49,IF(Q81=Цены!$H$50,Цены!$K$50,IF(Q81=Цены!$H$51,Цены!$K$51,IF(Q81=Цены!$H$52,Цены!$K$52,IF(Q81=Цены!$H$53,Цены!$K$53,IF(Q81=Цены!$H$54,Цены!$K$54,IF(Q81=Цены!$H$55,Цены!$K$55))))))))))))))))))))))))))))))))))))))))))))))))))))))</f>
        <v>0</v>
      </c>
      <c r="V81" s="265"/>
      <c r="W81" s="265"/>
      <c r="X81" s="272"/>
      <c r="Y81" s="273"/>
      <c r="Z81" s="273"/>
      <c r="AA81" s="320"/>
      <c r="AB81" s="323"/>
      <c r="AC81" s="275"/>
      <c r="AD81" s="174" t="s">
        <v>95</v>
      </c>
      <c r="AE81" s="67">
        <v>5</v>
      </c>
      <c r="AF81" s="68">
        <f>IF(AD81=Цены!$H$3,Цены!$L$3,IF(AD81=Цены!$H$4,Цены!$L$4,IF(AD81=Цены!$H$5,Цены!$L$5,IF(AD81=Цены!$H$6,Цены!$L$6,IF(AD81=Цены!$H$7,Цены!$L$7,IF(AD81=Цены!$H$8,Цены!$L$8,IF(AD81=Цены!$H$9,Цены!$L$9,IF(AD81=Цены!$H$10,Цены!$L$10,IF(AD81=Цены!$H$11,Цены!$L$11,IF(AD81=Цены!$H$12,Цены!$L$12,IF(AD81=Цены!$H$13,Цены!$L$13,IF(AD81=Цены!$H$14,Цены!$L$14,IF(AD81=Цены!$H$14,Цены!$L$14,IF(AD81=Цены!$H$15,Цены!$L$15,IF(AD81=Цены!$H$16,Цены!$L$16,IF(AD81=Цены!$H$17,Цены!$L$17,IF(AD81=Цены!$H$18,Цены!$L$18,IF(AD81=Цены!$H$19,Цены!$L$19,IF(AD81=Цены!$H$20,Цены!$L$20,IF(AD81=Цены!$H$21,Цены!$L$21,IF(AD81=Цены!$H$22,Цены!$L$22,IF(AD81=Цены!$H$23,Цены!$L$23,IF(AD81=Цены!$H$24,Цены!$L$24,IF(AD81=Цены!$H$25,Цены!$L$25,IF(AD81=Цены!$H$26,Цены!$L$26,IF(AD81=Цены!$H$27,Цены!$L$27,IF(AD81=Цены!$H$28,Цены!$L$28,IF(AD81=Цены!$H$29,Цены!$L$29,IF(AD81=Цены!$H$30,Цены!$L$30,IF(AD81=Цены!$H$31,Цены!$L$31,IF(AD81=Цены!$H$32,Цены!$L$32,IF(AD81=Цены!$H$33,Цены!$L$33,IF(AD81=Цены!$H$34,Цены!$L$34,IF(AD81=Цены!$H$35,Цены!$L$35,IF(AD81=Цены!$H$36,Цены!$L$36,IF(AD81=Цены!$H$37,Цены!$L$37,IF(AD81=Цены!$H$38,Цены!$L$38,IF(AD81=Цены!$H$39,Цены!$L$39,IF(AD81=Цены!$H$40,Цены!$L$40,IF(AD81=Цены!$H$41,Цены!$L$41,IF(AD81=Цены!$H$42,Цены!$L$42,IF(AD81=Цены!$H$43,Цены!$L$43,IF(AD81=Цены!$H$44,Цены!$L$44,IF(AD81=Цены!$H$45,Цены!$L$45,IF(AD81=Цены!$H$46,Цены!$L$46,IF(AD81=Цены!$H$47,Цены!$L$47,IF(AD81=Цены!$H$48,Цены!$L$48,IF(AD81=Цены!$H$49,Цены!$L$49,IF(AD81=Цены!$H$50,Цены!$L$50,IF(AD81=Цены!$H$51,Цены!$L$51,IF(AD81=Цены!$H$52,Цены!$L$52,IF(AD81=Цены!$H$53,Цены!$L$53,IF(AD81=Цены!$H$54,Цены!$L$54,IF(AD81=Цены!$H$55,Цены!$L$55))))))))))))))))))))))))))))))))))))))))))))))))))))))</f>
        <v>2.6</v>
      </c>
      <c r="AG81" s="311"/>
      <c r="AH81" s="69">
        <f>IF(AD81=Цены!$H$3,Цены!$K$3,IF(AD81=Цены!$H$4,Цены!$K$4,IF(AD81=Цены!$H$5,Цены!$K$5,IF(AD81=Цены!$H$6,Цены!$K$6,IF(AD81=Цены!$H$7,Цены!$K$7,IF(AD81=Цены!$H$8,Цены!$K$8,IF(AD81=Цены!$H$9,Цены!$K$9,IF(AD81=Цены!$H$10,Цены!$K$10,IF(AD81=Цены!$H$11,Цены!$K$11,IF(AD81=Цены!$H$12,Цены!$K$12,IF(AD81=Цены!$H$13,Цены!$K$13,IF(AD81=Цены!$H$14,Цены!$K$14,IF(AD81=Цены!$H$14,Цены!$K$14,IF(AD81=Цены!$H$15,Цены!$K$15,IF(AD81=Цены!$H$16,Цены!$K$16,IF(AD81=Цены!$H$17,Цены!$K$17,IF(AD81=Цены!$H$18,Цены!$K$18,IF(AD81=Цены!$H$19,Цены!$K$19,IF(AD81=Цены!$H$20,Цены!$K$20,IF(AD81=Цены!$H$21,Цены!$K$21,IF(AD81=Цены!$H$22,Цены!$K$22,IF(AD81=Цены!$H$23,Цены!$K$23,IF(AD81=Цены!$H$24,Цены!$K$24,IF(AD81=Цены!$H$25,Цены!$K$25,IF(AD81=Цены!$H$26,Цены!$K$26,IF(AD81=Цены!$H$27,Цены!$K$27,IF(AD81=Цены!$H$28,Цены!$K$28,IF(AD81=Цены!$H$29,Цены!$K$29,IF(AD81=Цены!$H$30,Цены!$K$30,IF(AD81=Цены!$H$31,Цены!$K$31,IF(AD81=Цены!$H$32,Цены!$K$32,IF(AD81=Цены!$H$33,Цены!$K$33,IF(AD81=Цены!$H$34,Цены!$K$34,IF(AD81=Цены!$H$35,Цены!$K$35,IF(AD81=Цены!$H$36,Цены!$K$36,IF(AD81=Цены!$H$37,Цены!$K$37,IF(AD81=Цены!$H$38,Цены!$K$38,IF(AD81=Цены!$H$39,Цены!$K$39,IF(AD81=Цены!$H$40,Цены!$K$40,IF(AD81=Цены!$H$41,Цены!$K$41,IF(AD81=Цены!$H$42,Цены!$K$42,IF(AD81=Цены!$H$43,Цены!$K$43,IF(AD81=Цены!$H$44,Цены!$K$44,IF(AD81=Цены!$H$45,Цены!$K$45,IF(AD81=Цены!$H$46,Цены!$K$46,IF(AD81=Цены!$H$47,Цены!$K$47,IF(AD81=Цены!$H$48,Цены!$K$48,IF(AD81=Цены!$H$49,Цены!$K$49,IF(AD81=Цены!$H$50,Цены!$K$50,IF(AD81=Цены!$H$51,Цены!$K$51,IF(AD81=Цены!$H$52,Цены!$K$52,IF(AD81=Цены!$H$53,Цены!$K$53,IF(AD81=Цены!$H$54,Цены!$K$54,IF(AD81=Цены!$H$55,Цены!$K$55))))))))))))))))))))))))))))))))))))))))))))))))))))))</f>
        <v>552</v>
      </c>
      <c r="AI81" s="265"/>
      <c r="AJ81" s="265"/>
      <c r="AK81" s="272"/>
      <c r="AL81" s="273"/>
      <c r="AM81" s="273"/>
      <c r="AN81" s="268"/>
      <c r="AO81" s="312"/>
      <c r="AP81" s="275"/>
      <c r="AQ81" s="174" t="s">
        <v>147</v>
      </c>
      <c r="AR81" s="131">
        <v>3</v>
      </c>
      <c r="AS81" s="80">
        <f>IF(AQ81=Цены!$H$3,Цены!$L$3,IF(AQ81=Цены!$H$4,Цены!$L$4,IF(AQ81=Цены!$H$5,Цены!$L$5,IF(AQ81=Цены!$H$6,Цены!$L$6,IF(AQ81=Цены!$H$7,Цены!$L$7,IF(AQ81=Цены!$H$8,Цены!$L$8,IF(AQ81=Цены!$H$9,Цены!$L$9,IF(AQ81=Цены!$H$10,Цены!$L$10,IF(AQ81=Цены!$H$11,Цены!$L$11,IF(AQ81=Цены!$H$12,Цены!$L$12,IF(AQ81=Цены!$H$13,Цены!$L$13,IF(AQ81=Цены!$H$14,Цены!$L$14,IF(AQ81=Цены!$H$14,Цены!$L$14,IF(AQ81=Цены!$H$15,Цены!$L$15,IF(AQ81=Цены!$H$16,Цены!$L$16,IF(AQ81=Цены!$H$17,Цены!$L$17,IF(AQ81=Цены!$H$18,Цены!$L$18,IF(AQ81=Цены!$H$19,Цены!$L$19,IF(AQ81=Цены!$H$20,Цены!$L$20,IF(AQ81=Цены!$H$21,Цены!$L$21,IF(AQ81=Цены!$H$22,Цены!$L$22,IF(AQ81=Цены!$H$23,Цены!$L$23,IF(AQ81=Цены!$H$24,Цены!$L$24,IF(AQ81=Цены!$H$25,Цены!$L$25,IF(AQ81=Цены!$H$26,Цены!$L$26,IF(AQ81=Цены!$H$27,Цены!$L$27,IF(AQ81=Цены!$H$28,Цены!$L$28,IF(AQ81=Цены!$H$29,Цены!$L$29,IF(AQ81=Цены!$H$30,Цены!$L$30,IF(AQ81=Цены!$H$31,Цены!$L$31,IF(AQ81=Цены!$H$32,Цены!$L$32,IF(AQ81=Цены!$H$33,Цены!$L$33,IF(AQ81=Цены!$H$34,Цены!$L$34,IF(AQ81=Цены!$H$35,Цены!$L$35,IF(AQ81=Цены!$H$36,Цены!$L$36,IF(AQ81=Цены!$H$37,Цены!$L$37,IF(AQ81=Цены!$H$38,Цены!$L$38,IF(AQ81=Цены!$H$39,Цены!$L$39,IF(AQ81=Цены!$H$40,Цены!$L$40,IF(AQ81=Цены!$H$41,Цены!$L$41,IF(AQ81=Цены!$H$42,Цены!$L$42,IF(AQ81=Цены!$H$43,Цены!$L$43,IF(AQ81=Цены!$H$44,Цены!$L$44,IF(AQ81=Цены!$H$45,Цены!$L$45,IF(AQ81=Цены!$H$46,Цены!$L$46,IF(AQ81=Цены!$H$47,Цены!$L$47,IF(AQ81=Цены!$H$48,Цены!$L$48,IF(AQ81=Цены!$H$49,Цены!$L$49,IF(AQ81=Цены!$H$50,Цены!$L$50,IF(AQ81=Цены!$H$51,Цены!$L$51,IF(AQ81=Цены!$H$52,Цены!$L$52,IF(AQ81=Цены!$H$53,Цены!$L$53,IF(AQ81=Цены!$H$54,Цены!$L$54,IF(AQ81=Цены!$H$55,Цены!$L$55))))))))))))))))))))))))))))))))))))))))))))))))))))))</f>
        <v>2.6</v>
      </c>
      <c r="AT81" s="271"/>
      <c r="AU81" s="81">
        <f>IF(AQ81=Цены!$H$3,Цены!$K$3,IF(AQ81=Цены!$H$4,Цены!$K$4,IF(AQ81=Цены!$H$5,Цены!$K$5,IF(AQ81=Цены!$H$6,Цены!$K$6,IF(AQ81=Цены!$H$7,Цены!$K$7,IF(AQ81=Цены!$H$8,Цены!$K$8,IF(AQ81=Цены!$H$9,Цены!$K$9,IF(AQ81=Цены!$H$10,Цены!$K$10,IF(AQ81=Цены!$H$11,Цены!$K$11,IF(AQ81=Цены!$H$12,Цены!$K$12,IF(AQ81=Цены!$H$13,Цены!$K$13,IF(AQ81=Цены!$H$14,Цены!$K$14,IF(AQ81=Цены!$H$14,Цены!$K$14,IF(AQ81=Цены!$H$15,Цены!$K$15,IF(AQ81=Цены!$H$16,Цены!$K$16,IF(AQ81=Цены!$H$17,Цены!$K$17,IF(AQ81=Цены!$H$18,Цены!$K$18,IF(AQ81=Цены!$H$19,Цены!$K$19,IF(AQ81=Цены!$H$20,Цены!$K$20,IF(AQ81=Цены!$H$21,Цены!$K$21,IF(AQ81=Цены!$H$22,Цены!$K$22,IF(AQ81=Цены!$H$23,Цены!$K$23,IF(AQ81=Цены!$H$24,Цены!$K$24,IF(AQ81=Цены!$H$25,Цены!$K$25,IF(AQ81=Цены!$H$26,Цены!$K$26,IF(AQ81=Цены!$H$27,Цены!$K$27,IF(AQ81=Цены!$H$28,Цены!$K$28,IF(AQ81=Цены!$H$29,Цены!$K$29,IF(AQ81=Цены!$H$30,Цены!$K$30,IF(AQ81=Цены!$H$31,Цены!$K$31,IF(AQ81=Цены!$H$32,Цены!$K$32,IF(AQ81=Цены!$H$33,Цены!$K$33,IF(AQ81=Цены!$H$34,Цены!$K$34,IF(AQ81=Цены!$H$35,Цены!$K$35,IF(AQ81=Цены!$H$36,Цены!$K$36,IF(AQ81=Цены!$H$37,Цены!$K$37,IF(AQ81=Цены!$H$38,Цены!$K$38,IF(AQ81=Цены!$H$39,Цены!$K$39,IF(AQ81=Цены!$H$40,Цены!$K$40,IF(AQ81=Цены!$H$41,Цены!$K$41,IF(AQ81=Цены!$H$42,Цены!$K$42,IF(AQ81=Цены!$H$43,Цены!$K$43,IF(AQ81=Цены!$H$44,Цены!$K$44,IF(AQ81=Цены!$H$45,Цены!$K$45,IF(AQ81=Цены!$H$46,Цены!$K$46,IF(AQ81=Цены!$H$47,Цены!$K$47,IF(AQ81=Цены!$H$48,Цены!$K$48,IF(AQ81=Цены!$H$49,Цены!$K$49,IF(AQ81=Цены!$H$50,Цены!$K$50,IF(AQ81=Цены!$H$51,Цены!$K$51,IF(AQ81=Цены!$H$52,Цены!$K$52,IF(AQ81=Цены!$H$53,Цены!$K$53,IF(AQ81=Цены!$H$54,Цены!$K$54,IF(AQ81=Цены!$H$55,Цены!$K$55))))))))))))))))))))))))))))))))))))))))))))))))))))))</f>
        <v>552</v>
      </c>
      <c r="AV81" s="265"/>
      <c r="AW81" s="265"/>
      <c r="AX81" s="272"/>
      <c r="AY81" s="273"/>
      <c r="AZ81" s="273"/>
      <c r="BA81" s="268"/>
      <c r="BB81" s="274"/>
      <c r="BC81" s="275"/>
      <c r="BD81" s="262"/>
      <c r="BE81" s="174"/>
      <c r="BF81" s="106"/>
      <c r="BG81" s="103" t="b">
        <f>IF(BE81=Цены!$H$3,Цены!$L$3,IF(BE81=Цены!$H$4,Цены!$L$4,IF(BE81=Цены!$H$5,Цены!$L$5,IF(BE81=Цены!$H$6,Цены!$L$6,IF(BE81=Цены!$H$7,Цены!$L$7,IF(BE81=Цены!$H$8,Цены!$L$8,IF(BE81=Цены!$H$9,Цены!$L$9,IF(BE81=Цены!$H$10,Цены!$L$10,IF(BE81=Цены!$H$11,Цены!$L$11,IF(BE81=Цены!$H$12,Цены!$L$12,IF(BE81=Цены!$H$13,Цены!$L$13,IF(BE81=Цены!$H$14,Цены!$L$14,IF(BE81=Цены!$H$14,Цены!$L$14,IF(BE81=Цены!$H$15,Цены!$L$15,IF(BE81=Цены!$H$16,Цены!$L$16,IF(BE81=Цены!$H$17,Цены!$L$17,IF(BE81=Цены!$H$18,Цены!$L$18,IF(BE81=Цены!$H$19,Цены!$L$19,IF(BE81=Цены!$H$20,Цены!$L$20,IF(BE81=Цены!$H$21,Цены!$L$21,IF(BE81=Цены!$H$22,Цены!$L$22,IF(BE81=Цены!$H$23,Цены!$L$23,IF(BE81=Цены!$H$24,Цены!$L$24,IF(BE81=Цены!$H$25,Цены!$L$25,IF(BE81=Цены!$H$26,Цены!$L$26,IF(BE81=Цены!$H$27,Цены!$L$27,IF(BE81=Цены!$H$28,Цены!$L$28,IF(BE81=Цены!$H$29,Цены!$L$29,IF(BE81=Цены!$H$30,Цены!$L$30,IF(BE81=Цены!$H$31,Цены!$L$31,IF(BE81=Цены!$H$32,Цены!$L$32,IF(BE81=Цены!$H$33,Цены!$L$33,IF(BE81=Цены!$H$34,Цены!$L$34,IF(BE81=Цены!$H$35,Цены!$L$35,IF(BE81=Цены!$H$36,Цены!$L$36,IF(BE81=Цены!$H$37,Цены!$L$37,IF(BE81=Цены!$H$38,Цены!$L$38,IF(BE81=Цены!$H$39,Цены!$L$39,IF(BE81=Цены!$H$40,Цены!$L$40,IF(BE81=Цены!$H$41,Цены!$L$41,IF(BE81=Цены!$H$42,Цены!$L$42,IF(BE81=Цены!$H$43,Цены!$L$43,IF(BE81=Цены!$H$44,Цены!$L$44,IF(BE81=Цены!$H$45,Цены!$L$45,IF(BE81=Цены!$H$46,Цены!$L$46,IF(BE81=Цены!$H$47,Цены!$L$47,IF(BE81=Цены!$H$48,Цены!$L$48,IF(BE81=Цены!$H$49,Цены!$L$49,IF(BE81=Цены!$H$50,Цены!$L$50,IF(BE81=Цены!$H$51,Цены!$L$51,IF(BE81=Цены!$H$52,Цены!$L$52,IF(BE81=Цены!$H$53,Цены!$L$53,IF(BE81=Цены!$H$54,Цены!$L$54,IF(BE81=Цены!$H$55,Цены!$L$55))))))))))))))))))))))))))))))))))))))))))))))))))))))</f>
        <v>0</v>
      </c>
      <c r="BH81" s="280"/>
      <c r="BI81" s="104" t="b">
        <f>IF(BE81=Цены!$H$3,Цены!$K$3,IF(BE81=Цены!$H$4,Цены!$K$4,IF(BE81=Цены!$H$5,Цены!$K$5,IF(BE81=Цены!$H$6,Цены!$K$6,IF(BE81=Цены!$H$7,Цены!$K$7,IF(BE81=Цены!$H$8,Цены!$K$8,IF(BE81=Цены!$H$9,Цены!$K$9,IF(BE81=Цены!$H$10,Цены!$K$10,IF(BE81=Цены!$H$11,Цены!$K$11,IF(BE81=Цены!$H$12,Цены!$K$12,IF(BE81=Цены!$H$13,Цены!$K$13,IF(BE81=Цены!$H$14,Цены!$K$14,IF(BE81=Цены!$H$14,Цены!$K$14,IF(BE81=Цены!$H$15,Цены!$K$15,IF(BE81=Цены!$H$16,Цены!$K$16,IF(BE81=Цены!$H$17,Цены!$K$17,IF(BE81=Цены!$H$18,Цены!$K$18,IF(BE81=Цены!$H$19,Цены!$K$19,IF(BE81=Цены!$H$20,Цены!$K$20,IF(BE81=Цены!$H$21,Цены!$K$21,IF(BE81=Цены!$H$22,Цены!$K$22,IF(BE81=Цены!$H$23,Цены!$K$23,IF(BE81=Цены!$H$24,Цены!$K$24,IF(BE81=Цены!$H$25,Цены!$K$25,IF(BE81=Цены!$H$26,Цены!$K$26,IF(BE81=Цены!$H$27,Цены!$K$27,IF(BE81=Цены!$H$28,Цены!$K$28,IF(BE81=Цены!$H$29,Цены!$K$29,IF(BE81=Цены!$H$30,Цены!$K$30,IF(BE81=Цены!$H$31,Цены!$K$31,IF(BE81=Цены!$H$32,Цены!$K$32,IF(BE81=Цены!$H$33,Цены!$K$33,IF(BE81=Цены!$H$34,Цены!$K$34,IF(BE81=Цены!$H$35,Цены!$K$35,IF(BE81=Цены!$H$36,Цены!$K$36,IF(BE81=Цены!$H$37,Цены!$K$37,IF(BE81=Цены!$H$38,Цены!$K$38,IF(BE81=Цены!$H$39,Цены!$K$39,IF(BE81=Цены!$H$40,Цены!$K$40,IF(BE81=Цены!$H$41,Цены!$K$41,IF(BE81=Цены!$H$42,Цены!$K$42,IF(BE81=Цены!$H$43,Цены!$K$43,IF(BE81=Цены!$H$44,Цены!$K$44,IF(BE81=Цены!$H$45,Цены!$K$45,IF(BE81=Цены!$H$46,Цены!$K$46,IF(BE81=Цены!$H$47,Цены!$K$47,IF(BE81=Цены!$H$48,Цены!$K$48,IF(BE81=Цены!$H$49,Цены!$K$49,IF(BE81=Цены!$H$50,Цены!$K$50,IF(BE81=Цены!$H$51,Цены!$K$51,IF(BE81=Цены!$H$52,Цены!$K$52,IF(BE81=Цены!$H$53,Цены!$K$53,IF(BE81=Цены!$H$54,Цены!$K$54,IF(BE81=Цены!$H$55,Цены!$K$55))))))))))))))))))))))))))))))))))))))))))))))))))))))</f>
        <v>0</v>
      </c>
      <c r="BJ81" s="265"/>
      <c r="BK81" s="265"/>
      <c r="BL81" s="272"/>
      <c r="BM81" s="273"/>
      <c r="BN81" s="273"/>
      <c r="BO81" s="268"/>
      <c r="BP81" s="281"/>
      <c r="BQ81" s="275"/>
      <c r="BR81" s="174"/>
      <c r="BS81" s="108"/>
      <c r="BT81" s="109" t="b">
        <f>IF(BR81=Цены!$H$3,Цены!$L$3,IF(BR81=Цены!$H$4,Цены!$L$4,IF(BR81=Цены!$H$5,Цены!$L$5,IF(BR81=Цены!$H$6,Цены!$L$6,IF(BR81=Цены!$H$7,Цены!$L$7,IF(BR81=Цены!$H$8,Цены!$L$8,IF(BR81=Цены!$H$9,Цены!$L$9,IF(BR81=Цены!$H$10,Цены!$L$10,IF(BR81=Цены!$H$11,Цены!$L$11,IF(BR81=Цены!$H$12,Цены!$L$12,IF(BR81=Цены!$H$13,Цены!$L$13,IF(BR81=Цены!$H$14,Цены!$L$14,IF(BR81=Цены!$H$14,Цены!$L$14,IF(BR81=Цены!$H$15,Цены!$L$15,IF(BR81=Цены!$H$16,Цены!$L$16,IF(BR81=Цены!$H$17,Цены!$L$17,IF(BR81=Цены!$H$18,Цены!$L$18,IF(BR81=Цены!$H$19,Цены!$L$19,IF(BR81=Цены!$H$20,Цены!$L$20,IF(BR81=Цены!$H$21,Цены!$L$21,IF(BR81=Цены!$H$22,Цены!$L$22,IF(BR81=Цены!$H$23,Цены!$L$23,IF(BR81=Цены!$H$24,Цены!$L$24,IF(BR81=Цены!$H$25,Цены!$L$25,IF(BR81=Цены!$H$26,Цены!$L$26,IF(BR81=Цены!$H$27,Цены!$L$27,IF(BR81=Цены!$H$28,Цены!$L$28,IF(BR81=Цены!$H$29,Цены!$L$29,IF(BR81=Цены!$H$30,Цены!$L$30,IF(BR81=Цены!$H$31,Цены!$L$31,IF(BR81=Цены!$H$32,Цены!$L$32,IF(BR81=Цены!$H$33,Цены!$L$33,IF(BR81=Цены!$H$34,Цены!$L$34,IF(BR81=Цены!$H$35,Цены!$L$35,IF(BR81=Цены!$H$36,Цены!$L$36,IF(BR81=Цены!$H$37,Цены!$L$37,IF(BR81=Цены!$H$38,Цены!$L$38,IF(BR81=Цены!$H$39,Цены!$L$39,IF(BR81=Цены!$H$40,Цены!$L$40,IF(BR81=Цены!$H$41,Цены!$L$41,IF(BR81=Цены!$H$42,Цены!$L$42,IF(BR81=Цены!$H$43,Цены!$L$43,IF(BR81=Цены!$H$44,Цены!$L$44,IF(BR81=Цены!$H$45,Цены!$L$45,IF(BR81=Цены!$H$46,Цены!$L$46,IF(BR81=Цены!$H$47,Цены!$L$47,IF(BR81=Цены!$H$48,Цены!$L$48,IF(BR81=Цены!$H$49,Цены!$L$49,IF(BR81=Цены!$H$50,Цены!$L$50,IF(BR81=Цены!$H$51,Цены!$L$51,IF(BR81=Цены!$H$52,Цены!$L$52,IF(BR81=Цены!$H$53,Цены!$L$53,IF(BR81=Цены!$H$54,Цены!$L$54,IF(BR81=Цены!$H$55,Цены!$L$55))))))))))))))))))))))))))))))))))))))))))))))))))))))</f>
        <v>0</v>
      </c>
      <c r="BU81" s="284"/>
      <c r="BV81" s="110" t="b">
        <f>IF(BR81=Цены!$H$3,Цены!$K$3,IF(BR81=Цены!$H$4,Цены!$K$4,IF(BR81=Цены!$H$5,Цены!$K$5,IF(BR81=Цены!$H$6,Цены!$K$6,IF(BR81=Цены!$H$7,Цены!$K$7,IF(BR81=Цены!$H$8,Цены!$K$8,IF(BR81=Цены!$H$9,Цены!$K$9,IF(BR81=Цены!$H$10,Цены!$K$10,IF(BR81=Цены!$H$11,Цены!$K$11,IF(BR81=Цены!$H$12,Цены!$K$12,IF(BR81=Цены!$H$13,Цены!$K$13,IF(BR81=Цены!$H$14,Цены!$K$14,IF(BR81=Цены!$H$14,Цены!$K$14,IF(BR81=Цены!$H$15,Цены!$K$15,IF(BR81=Цены!$H$16,Цены!$K$16,IF(BR81=Цены!$H$17,Цены!$K$17,IF(BR81=Цены!$H$18,Цены!$K$18,IF(BR81=Цены!$H$19,Цены!$K$19,IF(BR81=Цены!$H$20,Цены!$K$20,IF(BR81=Цены!$H$21,Цены!$K$21,IF(BR81=Цены!$H$22,Цены!$K$22,IF(BR81=Цены!$H$23,Цены!$K$23,IF(BR81=Цены!$H$24,Цены!$K$24,IF(BR81=Цены!$H$25,Цены!$K$25,IF(BR81=Цены!$H$26,Цены!$K$26,IF(BR81=Цены!$H$27,Цены!$K$27,IF(BR81=Цены!$H$28,Цены!$K$28,IF(BR81=Цены!$H$29,Цены!$K$29,IF(BR81=Цены!$H$30,Цены!$K$30,IF(BR81=Цены!$H$31,Цены!$K$31,IF(BR81=Цены!$H$32,Цены!$K$32,IF(BR81=Цены!$H$33,Цены!$K$33,IF(BR81=Цены!$H$34,Цены!$K$34,IF(BR81=Цены!$H$35,Цены!$K$35,IF(BR81=Цены!$H$36,Цены!$K$36,IF(BR81=Цены!$H$37,Цены!$K$37,IF(BR81=Цены!$H$38,Цены!$K$38,IF(BR81=Цены!$H$39,Цены!$K$39,IF(BR81=Цены!$H$40,Цены!$K$40,IF(BR81=Цены!$H$41,Цены!$K$41,IF(BR81=Цены!$H$42,Цены!$K$42,IF(BR81=Цены!$H$43,Цены!$K$43,IF(BR81=Цены!$H$44,Цены!$K$44,IF(BR81=Цены!$H$45,Цены!$K$45,IF(BR81=Цены!$H$46,Цены!$K$46,IF(BR81=Цены!$H$47,Цены!$K$47,IF(BR81=Цены!$H$48,Цены!$K$48,IF(BR81=Цены!$H$49,Цены!$K$49,IF(BR81=Цены!$H$50,Цены!$K$50,IF(BR81=Цены!$H$51,Цены!$K$51,IF(BR81=Цены!$H$52,Цены!$K$52,IF(BR81=Цены!$H$53,Цены!$K$53,IF(BR81=Цены!$H$54,Цены!$K$54,IF(BR81=Цены!$H$55,Цены!$K$55))))))))))))))))))))))))))))))))))))))))))))))))))))))</f>
        <v>0</v>
      </c>
      <c r="BW81" s="265"/>
      <c r="BX81" s="265"/>
      <c r="BY81" s="272"/>
      <c r="BZ81" s="273"/>
      <c r="CA81" s="273"/>
      <c r="CB81" s="268"/>
      <c r="CC81" s="285"/>
      <c r="CD81" s="275"/>
      <c r="CE81" s="174" t="s">
        <v>125</v>
      </c>
      <c r="CF81" s="112">
        <v>2</v>
      </c>
      <c r="CG81" s="113">
        <f>IF(CE81=Цены!$H$3,Цены!$L$3,IF(CE81=Цены!$H$4,Цены!$L$4,IF(CE81=Цены!$H$5,Цены!$L$5,IF(CE81=Цены!$H$6,Цены!$L$6,IF(CE81=Цены!$H$7,Цены!$L$7,IF(CE81=Цены!$H$8,Цены!$L$8,IF(CE81=Цены!$H$9,Цены!$L$9,IF(CE81=Цены!$H$10,Цены!$L$10,IF(CE81=Цены!$H$11,Цены!$L$11,IF(CE81=Цены!$H$12,Цены!$L$12,IF(CE81=Цены!$H$13,Цены!$L$13,IF(CE81=Цены!$H$14,Цены!$L$14,IF(CE81=Цены!$H$14,Цены!$L$14,IF(CE81=Цены!$H$15,Цены!$L$15,IF(CE81=Цены!$H$16,Цены!$L$16,IF(CE81=Цены!$H$17,Цены!$L$17,IF(CE81=Цены!$H$18,Цены!$L$18,IF(CE81=Цены!$H$19,Цены!$L$19,IF(CE81=Цены!$H$20,Цены!$L$20,IF(CE81=Цены!$H$21,Цены!$L$21,IF(CE81=Цены!$H$22,Цены!$L$22,IF(CE81=Цены!$H$23,Цены!$L$23,IF(CE81=Цены!$H$24,Цены!$L$24,IF(CE81=Цены!$H$25,Цены!$L$25,IF(CE81=Цены!$H$26,Цены!$L$26,IF(CE81=Цены!$H$27,Цены!$L$27,IF(CE81=Цены!$H$28,Цены!$L$28,IF(CE81=Цены!$H$29,Цены!$L$29,IF(CE81=Цены!$H$30,Цены!$L$30,IF(CE81=Цены!$H$31,Цены!$L$31,IF(CE81=Цены!$H$32,Цены!$L$32,IF(CE81=Цены!$H$33,Цены!$L$33,IF(CE81=Цены!$H$34,Цены!$L$34,IF(CE81=Цены!$H$35,Цены!$L$35,IF(CE81=Цены!$H$36,Цены!$L$36,IF(CE81=Цены!$H$37,Цены!$L$37,IF(CE81=Цены!$H$38,Цены!$L$38,IF(CE81=Цены!$H$39,Цены!$L$39,IF(CE81=Цены!$H$40,Цены!$L$40,IF(CE81=Цены!$H$41,Цены!$L$41,IF(CE81=Цены!$H$42,Цены!$L$42,IF(CE81=Цены!$H$43,Цены!$L$43,IF(CE81=Цены!$H$44,Цены!$L$44,IF(CE81=Цены!$H$45,Цены!$L$45,IF(CE81=Цены!$H$46,Цены!$L$46,IF(CE81=Цены!$H$47,Цены!$L$47,IF(CE81=Цены!$H$48,Цены!$L$48,IF(CE81=Цены!$H$49,Цены!$L$49,IF(CE81=Цены!$H$50,Цены!$L$50,IF(CE81=Цены!$H$51,Цены!$L$51,IF(CE81=Цены!$H$52,Цены!$L$52,IF(CE81=Цены!$H$53,Цены!$L$53,IF(CE81=Цены!$H$54,Цены!$L$54,IF(CE81=Цены!$H$55,Цены!$L$55))))))))))))))))))))))))))))))))))))))))))))))))))))))</f>
        <v>0.39</v>
      </c>
      <c r="CH81" s="282"/>
      <c r="CI81" s="114">
        <f>IF(CE81=Цены!$H$3,Цены!$K$3,IF(CE81=Цены!$H$4,Цены!$K$4,IF(CE81=Цены!$H$5,Цены!$K$5,IF(CE81=Цены!$H$6,Цены!$K$6,IF(CE81=Цены!$H$7,Цены!$K$7,IF(CE81=Цены!$H$8,Цены!$K$8,IF(CE81=Цены!$H$9,Цены!$K$9,IF(CE81=Цены!$H$10,Цены!$K$10,IF(CE81=Цены!$H$11,Цены!$K$11,IF(CE81=Цены!$H$12,Цены!$K$12,IF(CE81=Цены!$H$13,Цены!$K$13,IF(CE81=Цены!$H$14,Цены!$K$14,IF(CE81=Цены!$H$14,Цены!$K$14,IF(CE81=Цены!$H$15,Цены!$K$15,IF(CE81=Цены!$H$16,Цены!$K$16,IF(CE81=Цены!$H$17,Цены!$K$17,IF(CE81=Цены!$H$18,Цены!$K$18,IF(CE81=Цены!$H$19,Цены!$K$19,IF(CE81=Цены!$H$20,Цены!$K$20,IF(CE81=Цены!$H$21,Цены!$K$21,IF(CE81=Цены!$H$22,Цены!$K$22,IF(CE81=Цены!$H$23,Цены!$K$23,IF(CE81=Цены!$H$24,Цены!$K$24,IF(CE81=Цены!$H$25,Цены!$K$25,IF(CE81=Цены!$H$26,Цены!$K$26,IF(CE81=Цены!$H$27,Цены!$K$27,IF(CE81=Цены!$H$28,Цены!$K$28,IF(CE81=Цены!$H$29,Цены!$K$29,IF(CE81=Цены!$H$30,Цены!$K$30,IF(CE81=Цены!$H$31,Цены!$K$31,IF(CE81=Цены!$H$32,Цены!$K$32,IF(CE81=Цены!$H$33,Цены!$K$33,IF(CE81=Цены!$H$34,Цены!$K$34,IF(CE81=Цены!$H$35,Цены!$K$35,IF(CE81=Цены!$H$36,Цены!$K$36,IF(CE81=Цены!$H$37,Цены!$K$37,IF(CE81=Цены!$H$38,Цены!$K$38,IF(CE81=Цены!$H$39,Цены!$K$39,IF(CE81=Цены!$H$40,Цены!$K$40,IF(CE81=Цены!$H$41,Цены!$K$41,IF(CE81=Цены!$H$42,Цены!$K$42,IF(CE81=Цены!$H$43,Цены!$K$43,IF(CE81=Цены!$H$44,Цены!$K$44,IF(CE81=Цены!$H$45,Цены!$K$45,IF(CE81=Цены!$H$46,Цены!$K$46,IF(CE81=Цены!$H$47,Цены!$K$47,IF(CE81=Цены!$H$48,Цены!$K$48,IF(CE81=Цены!$H$49,Цены!$K$49,IF(CE81=Цены!$H$50,Цены!$K$50,IF(CE81=Цены!$H$51,Цены!$K$51,IF(CE81=Цены!$H$52,Цены!$K$52,IF(CE81=Цены!$H$53,Цены!$K$53,IF(CE81=Цены!$H$54,Цены!$K$54,IF(CE81=Цены!$H$55,Цены!$K$55))))))))))))))))))))))))))))))))))))))))))))))))))))))</f>
        <v>822</v>
      </c>
      <c r="CJ81" s="265"/>
      <c r="CK81" s="265"/>
      <c r="CL81" s="272"/>
      <c r="CM81" s="273"/>
      <c r="CN81" s="273"/>
      <c r="CO81" s="268"/>
      <c r="CP81" s="283"/>
      <c r="CQ81" s="275"/>
    </row>
    <row r="82" spans="1:95" s="40" customFormat="1" ht="15.75" customHeight="1" thickBot="1" x14ac:dyDescent="0.3">
      <c r="A82" s="353"/>
      <c r="B82" s="265"/>
      <c r="C82" s="336"/>
      <c r="D82" s="221" t="s">
        <v>121</v>
      </c>
      <c r="E82" s="222">
        <v>3</v>
      </c>
      <c r="F82" s="223">
        <f>IF(D82=Цены!$H$3,Цены!$L$3,IF(D82=Цены!$H$4,Цены!$L$4,IF(D82=Цены!$H$5,Цены!$L$5,IF(D82=Цены!$H$6,Цены!$L$6,IF(D82=Цены!$H$7,Цены!$L$7,IF(D82=Цены!$H$8,Цены!$L$8,IF(D82=Цены!$H$9,Цены!$L$9,IF(D82=Цены!$H$10,Цены!$L$10,IF(D82=Цены!$H$11,Цены!$L$11,IF(D82=Цены!$H$12,Цены!$L$12,IF(D82=Цены!$H$13,Цены!$L$13,IF(D82=Цены!$H$14,Цены!$L$14,IF(D82=Цены!$H$14,Цены!$L$14,IF(D82=Цены!$H$15,Цены!$L$15,IF(D82=Цены!$H$16,Цены!$L$16,IF(D82=Цены!$H$17,Цены!$L$17,IF(D82=Цены!$H$18,Цены!$L$18,IF(D82=Цены!$H$19,Цены!$L$19,IF(D82=Цены!$H$20,Цены!$L$20,IF(D82=Цены!$H$21,Цены!$L$21,IF(D82=Цены!$H$22,Цены!$L$22,IF(D82=Цены!$H$23,Цены!$L$23,IF(D82=Цены!$H$24,Цены!$L$24,IF(D82=Цены!$H$25,Цены!$L$25,IF(D82=Цены!$H$26,Цены!$L$26,IF(D82=Цены!$H$27,Цены!$L$27,IF(D82=Цены!$H$28,Цены!$L$28,IF(D82=Цены!$H$29,Цены!$L$29,IF(D82=Цены!$H$30,Цены!$L$30,IF(D82=Цены!$H$31,Цены!$L$31,IF(D82=Цены!$H$32,Цены!$L$32,IF(D82=Цены!$H$33,Цены!$L$33,IF(D82=Цены!$H$34,Цены!$L$34,IF(D82=Цены!$H$35,Цены!$L$35,IF(D82=Цены!$H$36,Цены!$L$36,IF(D82=Цены!$H$37,Цены!$L$37,IF(D82=Цены!$H$38,Цены!$L$38,IF(D82=Цены!$H$39,Цены!$L$39,IF(D82=Цены!$H$40,Цены!$L$40,IF(D82=Цены!$H$41,Цены!$L$41,IF(D82=Цены!$H$42,Цены!$L$42,IF(D82=Цены!$H$43,Цены!$L$43,IF(D82=Цены!$H$44,Цены!$L$44,IF(D82=Цены!$H$45,Цены!$L$45,IF(D82=Цены!$H$46,Цены!$L$46,IF(D82=Цены!$H$47,Цены!$L$47,IF(D82=Цены!$H$48,Цены!$L$48,IF(D82=Цены!$H$49,Цены!$L$49,IF(D82=Цены!$H$50,Цены!$L$50,IF(D82=Цены!$H$51,Цены!$L$51,IF(D82=Цены!$H$52,Цены!$L$52,IF(D82=Цены!$H$53,Цены!$L$53,IF(D82=Цены!$H$54,Цены!$L$54,IF(D82=Цены!$H$55,Цены!$L$55))))))))))))))))))))))))))))))))))))))))))))))))))))))</f>
        <v>1.32E-2</v>
      </c>
      <c r="G82" s="354"/>
      <c r="H82" s="224">
        <f>IF(D82=Цены!$H$3,Цены!$K$3,IF(D82=Цены!$H$4,Цены!$K$4,IF(D82=Цены!$H$5,Цены!$K$5,IF(D82=Цены!$H$6,Цены!$K$6,IF(D82=Цены!$H$7,Цены!$K$7,IF(D82=Цены!$H$8,Цены!$K$8,IF(D82=Цены!$H$9,Цены!$K$9,IF(D82=Цены!$H$10,Цены!$K$10,IF(D82=Цены!$H$11,Цены!$K$11,IF(D82=Цены!$H$12,Цены!$K$12,IF(D82=Цены!$H$13,Цены!$K$13,IF(D82=Цены!$H$14,Цены!$K$14,IF(D82=Цены!$H$14,Цены!$K$14,IF(D82=Цены!$H$15,Цены!$K$15,IF(D82=Цены!$H$16,Цены!$K$16,IF(D82=Цены!$H$17,Цены!$K$17,IF(D82=Цены!$H$18,Цены!$K$18,IF(D82=Цены!$H$19,Цены!$K$19,IF(D82=Цены!$H$20,Цены!$K$20,IF(D82=Цены!$H$21,Цены!$K$21,IF(D82=Цены!$H$22,Цены!$K$22,IF(D82=Цены!$H$23,Цены!$K$23,IF(D82=Цены!$H$24,Цены!$K$24,IF(D82=Цены!$H$25,Цены!$K$25,IF(D82=Цены!$H$26,Цены!$K$26,IF(D82=Цены!$H$27,Цены!$K$27,IF(D82=Цены!$H$28,Цены!$K$28,IF(D82=Цены!$H$29,Цены!$K$29,IF(D82=Цены!$H$30,Цены!$K$30,IF(D82=Цены!$H$31,Цены!$K$31,IF(D82=Цены!$H$32,Цены!$K$32,IF(D82=Цены!$H$33,Цены!$K$33,IF(D82=Цены!$H$34,Цены!$K$34,IF(D82=Цены!$H$35,Цены!$K$35,IF(D82=Цены!$H$36,Цены!$K$36,IF(D82=Цены!$H$37,Цены!$K$37,IF(D82=Цены!$H$38,Цены!$K$38,IF(D82=Цены!$H$39,Цены!$K$39,IF(D82=Цены!$H$40,Цены!$K$40,IF(D82=Цены!$H$41,Цены!$K$41,IF(D82=Цены!$H$42,Цены!$K$42,IF(D82=Цены!$H$43,Цены!$K$43,IF(D82=Цены!$H$44,Цены!$K$44,IF(D82=Цены!$H$45,Цены!$K$45,IF(D82=Цены!$H$46,Цены!$K$46,IF(D82=Цены!$H$47,Цены!$K$47,IF(D82=Цены!$H$48,Цены!$K$48,IF(D82=Цены!$H$49,Цены!$K$49,IF(D82=Цены!$H$50,Цены!$K$50,IF(D82=Цены!$H$51,Цены!$K$51,IF(D82=Цены!$H$52,Цены!$K$52,IF(D82=Цены!$H$53,Цены!$K$53,IF(D82=Цены!$H$54,Цены!$K$54,IF(D82=Цены!$H$55,Цены!$K$55))))))))))))))))))))))))))))))))))))))))))))))))))))))</f>
        <v>54</v>
      </c>
      <c r="I82" s="351"/>
      <c r="J82" s="351"/>
      <c r="K82" s="360"/>
      <c r="L82" s="335"/>
      <c r="M82" s="335"/>
      <c r="N82" s="333"/>
      <c r="O82" s="350"/>
      <c r="P82" s="261"/>
      <c r="Q82" s="208"/>
      <c r="R82" s="37"/>
      <c r="S82" s="38" t="b">
        <f>IF(Q82=Цены!$H$3,Цены!$L$3,IF(Q82=Цены!$H$4,Цены!$L$4,IF(Q82=Цены!$H$5,Цены!$L$5,IF(Q82=Цены!$H$6,Цены!$L$6,IF(Q82=Цены!$H$7,Цены!$L$7,IF(Q82=Цены!$H$8,Цены!$L$8,IF(Q82=Цены!$H$9,Цены!$L$9,IF(Q82=Цены!$H$10,Цены!$L$10,IF(Q82=Цены!$H$11,Цены!$L$11,IF(Q82=Цены!$H$12,Цены!$L$12,IF(Q82=Цены!$H$13,Цены!$L$13,IF(Q82=Цены!$H$14,Цены!$L$14,IF(Q82=Цены!$H$14,Цены!$L$14,IF(Q82=Цены!$H$15,Цены!$L$15,IF(Q82=Цены!$H$16,Цены!$L$16,IF(Q82=Цены!$H$17,Цены!$L$17,IF(Q82=Цены!$H$18,Цены!$L$18,IF(Q82=Цены!$H$19,Цены!$L$19,IF(Q82=Цены!$H$20,Цены!$L$20,IF(Q82=Цены!$H$21,Цены!$L$21,IF(Q82=Цены!$H$22,Цены!$L$22,IF(Q82=Цены!$H$23,Цены!$L$23,IF(Q82=Цены!$H$24,Цены!$L$24,IF(Q82=Цены!$H$25,Цены!$L$25,IF(Q82=Цены!$H$26,Цены!$L$26,IF(Q82=Цены!$H$27,Цены!$L$27,IF(Q82=Цены!$H$28,Цены!$L$28,IF(Q82=Цены!$H$29,Цены!$L$29,IF(Q82=Цены!$H$30,Цены!$L$30,IF(Q82=Цены!$H$31,Цены!$L$31,IF(Q82=Цены!$H$32,Цены!$L$32,IF(Q82=Цены!$H$33,Цены!$L$33,IF(Q82=Цены!$H$34,Цены!$L$34,IF(Q82=Цены!$H$35,Цены!$L$35,IF(Q82=Цены!$H$36,Цены!$L$36,IF(Q82=Цены!$H$37,Цены!$L$37,IF(Q82=Цены!$H$38,Цены!$L$38,IF(Q82=Цены!$H$39,Цены!$L$39,IF(Q82=Цены!$H$40,Цены!$L$40,IF(Q82=Цены!$H$41,Цены!$L$41,IF(Q82=Цены!$H$42,Цены!$L$42,IF(Q82=Цены!$H$43,Цены!$L$43,IF(Q82=Цены!$H$44,Цены!$L$44,IF(Q82=Цены!$H$45,Цены!$L$45,IF(Q82=Цены!$H$46,Цены!$L$46,IF(Q82=Цены!$H$47,Цены!$L$47,IF(Q82=Цены!$H$48,Цены!$L$48,IF(Q82=Цены!$H$49,Цены!$L$49,IF(Q82=Цены!$H$50,Цены!$L$50,IF(Q82=Цены!$H$51,Цены!$L$51,IF(Q82=Цены!$H$52,Цены!$L$52,IF(Q82=Цены!$H$53,Цены!$L$53,IF(Q82=Цены!$H$54,Цены!$L$54,IF(Q82=Цены!$H$55,Цены!$L$55))))))))))))))))))))))))))))))))))))))))))))))))))))))</f>
        <v>0</v>
      </c>
      <c r="T82" s="322"/>
      <c r="U82" s="161" t="b">
        <f>IF(Q82=Цены!$H$3,Цены!$K$3,IF(Q82=Цены!$H$4,Цены!$K$4,IF(Q82=Цены!$H$5,Цены!$K$5,IF(Q82=Цены!$H$6,Цены!$K$6,IF(Q82=Цены!$H$7,Цены!$K$7,IF(Q82=Цены!$H$8,Цены!$K$8,IF(Q82=Цены!$H$9,Цены!$K$9,IF(Q82=Цены!$H$10,Цены!$K$10,IF(Q82=Цены!$H$11,Цены!$K$11,IF(Q82=Цены!$H$12,Цены!$K$12,IF(Q82=Цены!$H$13,Цены!$K$13,IF(Q82=Цены!$H$14,Цены!$K$14,IF(Q82=Цены!$H$14,Цены!$K$14,IF(Q82=Цены!$H$15,Цены!$K$15,IF(Q82=Цены!$H$16,Цены!$K$16,IF(Q82=Цены!$H$17,Цены!$K$17,IF(Q82=Цены!$H$18,Цены!$K$18,IF(Q82=Цены!$H$19,Цены!$K$19,IF(Q82=Цены!$H$20,Цены!$K$20,IF(Q82=Цены!$H$21,Цены!$K$21,IF(Q82=Цены!$H$22,Цены!$K$22,IF(Q82=Цены!$H$23,Цены!$K$23,IF(Q82=Цены!$H$24,Цены!$K$24,IF(Q82=Цены!$H$25,Цены!$K$25,IF(Q82=Цены!$H$26,Цены!$K$26,IF(Q82=Цены!$H$27,Цены!$K$27,IF(Q82=Цены!$H$28,Цены!$K$28,IF(Q82=Цены!$H$29,Цены!$K$29,IF(Q82=Цены!$H$30,Цены!$K$30,IF(Q82=Цены!$H$31,Цены!$K$31,IF(Q82=Цены!$H$32,Цены!$K$32,IF(Q82=Цены!$H$33,Цены!$K$33,IF(Q82=Цены!$H$34,Цены!$K$34,IF(Q82=Цены!$H$35,Цены!$K$35,IF(Q82=Цены!$H$36,Цены!$K$36,IF(Q82=Цены!$H$37,Цены!$K$37,IF(Q82=Цены!$H$38,Цены!$K$38,IF(Q82=Цены!$H$39,Цены!$K$39,IF(Q82=Цены!$H$40,Цены!$K$40,IF(Q82=Цены!$H$41,Цены!$K$41,IF(Q82=Цены!$H$42,Цены!$K$42,IF(Q82=Цены!$H$43,Цены!$K$43,IF(Q82=Цены!$H$44,Цены!$K$44,IF(Q82=Цены!$H$45,Цены!$K$45,IF(Q82=Цены!$H$46,Цены!$K$46,IF(Q82=Цены!$H$47,Цены!$K$47,IF(Q82=Цены!$H$48,Цены!$K$48,IF(Q82=Цены!$H$49,Цены!$K$49,IF(Q82=Цены!$H$50,Цены!$K$50,IF(Q82=Цены!$H$51,Цены!$K$51,IF(Q82=Цены!$H$52,Цены!$K$52,IF(Q82=Цены!$H$53,Цены!$K$53,IF(Q82=Цены!$H$54,Цены!$K$54,IF(Q82=Цены!$H$55,Цены!$K$55))))))))))))))))))))))))))))))))))))))))))))))))))))))</f>
        <v>0</v>
      </c>
      <c r="V82" s="265"/>
      <c r="W82" s="265"/>
      <c r="X82" s="272"/>
      <c r="Y82" s="273"/>
      <c r="Z82" s="273"/>
      <c r="AA82" s="321"/>
      <c r="AB82" s="323"/>
      <c r="AC82" s="275"/>
      <c r="AD82" s="212" t="s">
        <v>89</v>
      </c>
      <c r="AE82" s="67">
        <v>10</v>
      </c>
      <c r="AF82" s="68">
        <f>IF(AD82=Цены!$H$3,Цены!$L$3,IF(AD82=Цены!$H$4,Цены!$L$4,IF(AD82=Цены!$H$5,Цены!$L$5,IF(AD82=Цены!$H$6,Цены!$L$6,IF(AD82=Цены!$H$7,Цены!$L$7,IF(AD82=Цены!$H$8,Цены!$L$8,IF(AD82=Цены!$H$9,Цены!$L$9,IF(AD82=Цены!$H$10,Цены!$L$10,IF(AD82=Цены!$H$11,Цены!$L$11,IF(AD82=Цены!$H$12,Цены!$L$12,IF(AD82=Цены!$H$13,Цены!$L$13,IF(AD82=Цены!$H$14,Цены!$L$14,IF(AD82=Цены!$H$14,Цены!$L$14,IF(AD82=Цены!$H$15,Цены!$L$15,IF(AD82=Цены!$H$16,Цены!$L$16,IF(AD82=Цены!$H$17,Цены!$L$17,IF(AD82=Цены!$H$18,Цены!$L$18,IF(AD82=Цены!$H$19,Цены!$L$19,IF(AD82=Цены!$H$20,Цены!$L$20,IF(AD82=Цены!$H$21,Цены!$L$21,IF(AD82=Цены!$H$22,Цены!$L$22,IF(AD82=Цены!$H$23,Цены!$L$23,IF(AD82=Цены!$H$24,Цены!$L$24,IF(AD82=Цены!$H$25,Цены!$L$25,IF(AD82=Цены!$H$26,Цены!$L$26,IF(AD82=Цены!$H$27,Цены!$L$27,IF(AD82=Цены!$H$28,Цены!$L$28,IF(AD82=Цены!$H$29,Цены!$L$29,IF(AD82=Цены!$H$30,Цены!$L$30,IF(AD82=Цены!$H$31,Цены!$L$31,IF(AD82=Цены!$H$32,Цены!$L$32,IF(AD82=Цены!$H$33,Цены!$L$33,IF(AD82=Цены!$H$34,Цены!$L$34,IF(AD82=Цены!$H$35,Цены!$L$35,IF(AD82=Цены!$H$36,Цены!$L$36,IF(AD82=Цены!$H$37,Цены!$L$37,IF(AD82=Цены!$H$38,Цены!$L$38,IF(AD82=Цены!$H$39,Цены!$L$39,IF(AD82=Цены!$H$40,Цены!$L$40,IF(AD82=Цены!$H$41,Цены!$L$41,IF(AD82=Цены!$H$42,Цены!$L$42,IF(AD82=Цены!$H$43,Цены!$L$43,IF(AD82=Цены!$H$44,Цены!$L$44,IF(AD82=Цены!$H$45,Цены!$L$45,IF(AD82=Цены!$H$46,Цены!$L$46,IF(AD82=Цены!$H$47,Цены!$L$47,IF(AD82=Цены!$H$48,Цены!$L$48,IF(AD82=Цены!$H$49,Цены!$L$49,IF(AD82=Цены!$H$50,Цены!$L$50,IF(AD82=Цены!$H$51,Цены!$L$51,IF(AD82=Цены!$H$52,Цены!$L$52,IF(AD82=Цены!$H$53,Цены!$L$53,IF(AD82=Цены!$H$54,Цены!$L$54,IF(AD82=Цены!$H$55,Цены!$L$55))))))))))))))))))))))))))))))))))))))))))))))))))))))</f>
        <v>1.1499999999999999</v>
      </c>
      <c r="AG82" s="311"/>
      <c r="AH82" s="69">
        <f>IF(AD82=Цены!$H$3,Цены!$K$3,IF(AD82=Цены!$H$4,Цены!$K$4,IF(AD82=Цены!$H$5,Цены!$K$5,IF(AD82=Цены!$H$6,Цены!$K$6,IF(AD82=Цены!$H$7,Цены!$K$7,IF(AD82=Цены!$H$8,Цены!$K$8,IF(AD82=Цены!$H$9,Цены!$K$9,IF(AD82=Цены!$H$10,Цены!$K$10,IF(AD82=Цены!$H$11,Цены!$K$11,IF(AD82=Цены!$H$12,Цены!$K$12,IF(AD82=Цены!$H$13,Цены!$K$13,IF(AD82=Цены!$H$14,Цены!$K$14,IF(AD82=Цены!$H$14,Цены!$K$14,IF(AD82=Цены!$H$15,Цены!$K$15,IF(AD82=Цены!$H$16,Цены!$K$16,IF(AD82=Цены!$H$17,Цены!$K$17,IF(AD82=Цены!$H$18,Цены!$K$18,IF(AD82=Цены!$H$19,Цены!$K$19,IF(AD82=Цены!$H$20,Цены!$K$20,IF(AD82=Цены!$H$21,Цены!$K$21,IF(AD82=Цены!$H$22,Цены!$K$22,IF(AD82=Цены!$H$23,Цены!$K$23,IF(AD82=Цены!$H$24,Цены!$K$24,IF(AD82=Цены!$H$25,Цены!$K$25,IF(AD82=Цены!$H$26,Цены!$K$26,IF(AD82=Цены!$H$27,Цены!$K$27,IF(AD82=Цены!$H$28,Цены!$K$28,IF(AD82=Цены!$H$29,Цены!$K$29,IF(AD82=Цены!$H$30,Цены!$K$30,IF(AD82=Цены!$H$31,Цены!$K$31,IF(AD82=Цены!$H$32,Цены!$K$32,IF(AD82=Цены!$H$33,Цены!$K$33,IF(AD82=Цены!$H$34,Цены!$K$34,IF(AD82=Цены!$H$35,Цены!$K$35,IF(AD82=Цены!$H$36,Цены!$K$36,IF(AD82=Цены!$H$37,Цены!$K$37,IF(AD82=Цены!$H$38,Цены!$K$38,IF(AD82=Цены!$H$39,Цены!$K$39,IF(AD82=Цены!$H$40,Цены!$K$40,IF(AD82=Цены!$H$41,Цены!$K$41,IF(AD82=Цены!$H$42,Цены!$K$42,IF(AD82=Цены!$H$43,Цены!$K$43,IF(AD82=Цены!$H$44,Цены!$K$44,IF(AD82=Цены!$H$45,Цены!$K$45,IF(AD82=Цены!$H$46,Цены!$K$46,IF(AD82=Цены!$H$47,Цены!$K$47,IF(AD82=Цены!$H$48,Цены!$K$48,IF(AD82=Цены!$H$49,Цены!$K$49,IF(AD82=Цены!$H$50,Цены!$K$50,IF(AD82=Цены!$H$51,Цены!$K$51,IF(AD82=Цены!$H$52,Цены!$K$52,IF(AD82=Цены!$H$53,Цены!$K$53,IF(AD82=Цены!$H$54,Цены!$K$54,IF(AD82=Цены!$H$55,Цены!$K$55))))))))))))))))))))))))))))))))))))))))))))))))))))))</f>
        <v>400</v>
      </c>
      <c r="AI82" s="265"/>
      <c r="AJ82" s="265"/>
      <c r="AK82" s="272"/>
      <c r="AL82" s="273"/>
      <c r="AM82" s="273"/>
      <c r="AN82" s="268"/>
      <c r="AO82" s="312"/>
      <c r="AP82" s="275"/>
      <c r="AQ82" s="211" t="s">
        <v>179</v>
      </c>
      <c r="AR82" s="131"/>
      <c r="AS82" s="80">
        <f>IF(AQ82=Цены!$H$3,Цены!$L$3,IF(AQ82=Цены!$H$4,Цены!$L$4,IF(AQ82=Цены!$H$5,Цены!$L$5,IF(AQ82=Цены!$H$6,Цены!$L$6,IF(AQ82=Цены!$H$7,Цены!$L$7,IF(AQ82=Цены!$H$8,Цены!$L$8,IF(AQ82=Цены!$H$9,Цены!$L$9,IF(AQ82=Цены!$H$10,Цены!$L$10,IF(AQ82=Цены!$H$11,Цены!$L$11,IF(AQ82=Цены!$H$12,Цены!$L$12,IF(AQ82=Цены!$H$13,Цены!$L$13,IF(AQ82=Цены!$H$14,Цены!$L$14,IF(AQ82=Цены!$H$14,Цены!$L$14,IF(AQ82=Цены!$H$15,Цены!$L$15,IF(AQ82=Цены!$H$16,Цены!$L$16,IF(AQ82=Цены!$H$17,Цены!$L$17,IF(AQ82=Цены!$H$18,Цены!$L$18,IF(AQ82=Цены!$H$19,Цены!$L$19,IF(AQ82=Цены!$H$20,Цены!$L$20,IF(AQ82=Цены!$H$21,Цены!$L$21,IF(AQ82=Цены!$H$22,Цены!$L$22,IF(AQ82=Цены!$H$23,Цены!$L$23,IF(AQ82=Цены!$H$24,Цены!$L$24,IF(AQ82=Цены!$H$25,Цены!$L$25,IF(AQ82=Цены!$H$26,Цены!$L$26,IF(AQ82=Цены!$H$27,Цены!$L$27,IF(AQ82=Цены!$H$28,Цены!$L$28,IF(AQ82=Цены!$H$29,Цены!$L$29,IF(AQ82=Цены!$H$30,Цены!$L$30,IF(AQ82=Цены!$H$31,Цены!$L$31,IF(AQ82=Цены!$H$32,Цены!$L$32,IF(AQ82=Цены!$H$33,Цены!$L$33,IF(AQ82=Цены!$H$34,Цены!$L$34,IF(AQ82=Цены!$H$35,Цены!$L$35,IF(AQ82=Цены!$H$36,Цены!$L$36,IF(AQ82=Цены!$H$37,Цены!$L$37,IF(AQ82=Цены!$H$38,Цены!$L$38,IF(AQ82=Цены!$H$39,Цены!$L$39,IF(AQ82=Цены!$H$40,Цены!$L$40,IF(AQ82=Цены!$H$41,Цены!$L$41,IF(AQ82=Цены!$H$42,Цены!$L$42,IF(AQ82=Цены!$H$43,Цены!$L$43,IF(AQ82=Цены!$H$44,Цены!$L$44,IF(AQ82=Цены!$H$45,Цены!$L$45,IF(AQ82=Цены!$H$46,Цены!$L$46,IF(AQ82=Цены!$H$47,Цены!$L$47,IF(AQ82=Цены!$H$48,Цены!$L$48,IF(AQ82=Цены!$H$49,Цены!$L$49,IF(AQ82=Цены!$H$50,Цены!$L$50,IF(AQ82=Цены!$H$51,Цены!$L$51,IF(AQ82=Цены!$H$52,Цены!$L$52,IF(AQ82=Цены!$H$53,Цены!$L$53,IF(AQ82=Цены!$H$54,Цены!$L$54,IF(AQ82=Цены!$H$55,Цены!$L$55))))))))))))))))))))))))))))))))))))))))))))))))))))))</f>
        <v>0</v>
      </c>
      <c r="AT82" s="271"/>
      <c r="AU82" s="81">
        <f>IF(AQ82=Цены!$H$3,Цены!$K$3,IF(AQ82=Цены!$H$4,Цены!$K$4,IF(AQ82=Цены!$H$5,Цены!$K$5,IF(AQ82=Цены!$H$6,Цены!$K$6,IF(AQ82=Цены!$H$7,Цены!$K$7,IF(AQ82=Цены!$H$8,Цены!$K$8,IF(AQ82=Цены!$H$9,Цены!$K$9,IF(AQ82=Цены!$H$10,Цены!$K$10,IF(AQ82=Цены!$H$11,Цены!$K$11,IF(AQ82=Цены!$H$12,Цены!$K$12,IF(AQ82=Цены!$H$13,Цены!$K$13,IF(AQ82=Цены!$H$14,Цены!$K$14,IF(AQ82=Цены!$H$14,Цены!$K$14,IF(AQ82=Цены!$H$15,Цены!$K$15,IF(AQ82=Цены!$H$16,Цены!$K$16,IF(AQ82=Цены!$H$17,Цены!$K$17,IF(AQ82=Цены!$H$18,Цены!$K$18,IF(AQ82=Цены!$H$19,Цены!$K$19,IF(AQ82=Цены!$H$20,Цены!$K$20,IF(AQ82=Цены!$H$21,Цены!$K$21,IF(AQ82=Цены!$H$22,Цены!$K$22,IF(AQ82=Цены!$H$23,Цены!$K$23,IF(AQ82=Цены!$H$24,Цены!$K$24,IF(AQ82=Цены!$H$25,Цены!$K$25,IF(AQ82=Цены!$H$26,Цены!$K$26,IF(AQ82=Цены!$H$27,Цены!$K$27,IF(AQ82=Цены!$H$28,Цены!$K$28,IF(AQ82=Цены!$H$29,Цены!$K$29,IF(AQ82=Цены!$H$30,Цены!$K$30,IF(AQ82=Цены!$H$31,Цены!$K$31,IF(AQ82=Цены!$H$32,Цены!$K$32,IF(AQ82=Цены!$H$33,Цены!$K$33,IF(AQ82=Цены!$H$34,Цены!$K$34,IF(AQ82=Цены!$H$35,Цены!$K$35,IF(AQ82=Цены!$H$36,Цены!$K$36,IF(AQ82=Цены!$H$37,Цены!$K$37,IF(AQ82=Цены!$H$38,Цены!$K$38,IF(AQ82=Цены!$H$39,Цены!$K$39,IF(AQ82=Цены!$H$40,Цены!$K$40,IF(AQ82=Цены!$H$41,Цены!$K$41,IF(AQ82=Цены!$H$42,Цены!$K$42,IF(AQ82=Цены!$H$43,Цены!$K$43,IF(AQ82=Цены!$H$44,Цены!$K$44,IF(AQ82=Цены!$H$45,Цены!$K$45,IF(AQ82=Цены!$H$46,Цены!$K$46,IF(AQ82=Цены!$H$47,Цены!$K$47,IF(AQ82=Цены!$H$48,Цены!$K$48,IF(AQ82=Цены!$H$49,Цены!$K$49,IF(AQ82=Цены!$H$50,Цены!$K$50,IF(AQ82=Цены!$H$51,Цены!$K$51,IF(AQ82=Цены!$H$52,Цены!$K$52,IF(AQ82=Цены!$H$53,Цены!$K$53,IF(AQ82=Цены!$H$54,Цены!$K$54,IF(AQ82=Цены!$H$55,Цены!$K$55))))))))))))))))))))))))))))))))))))))))))))))))))))))</f>
        <v>432</v>
      </c>
      <c r="AV82" s="265"/>
      <c r="AW82" s="265"/>
      <c r="AX82" s="272"/>
      <c r="AY82" s="273"/>
      <c r="AZ82" s="273"/>
      <c r="BA82" s="268"/>
      <c r="BB82" s="274"/>
      <c r="BC82" s="275"/>
      <c r="BD82" s="263"/>
      <c r="BE82" s="211"/>
      <c r="BF82" s="106"/>
      <c r="BG82" s="103" t="b">
        <f>IF(BE82=Цены!$H$3,Цены!$L$3,IF(BE82=Цены!$H$4,Цены!$L$4,IF(BE82=Цены!$H$5,Цены!$L$5,IF(BE82=Цены!$H$6,Цены!$L$6,IF(BE82=Цены!$H$7,Цены!$L$7,IF(BE82=Цены!$H$8,Цены!$L$8,IF(BE82=Цены!$H$9,Цены!$L$9,IF(BE82=Цены!$H$10,Цены!$L$10,IF(BE82=Цены!$H$11,Цены!$L$11,IF(BE82=Цены!$H$12,Цены!$L$12,IF(BE82=Цены!$H$13,Цены!$L$13,IF(BE82=Цены!$H$14,Цены!$L$14,IF(BE82=Цены!$H$14,Цены!$L$14,IF(BE82=Цены!$H$15,Цены!$L$15,IF(BE82=Цены!$H$16,Цены!$L$16,IF(BE82=Цены!$H$17,Цены!$L$17,IF(BE82=Цены!$H$18,Цены!$L$18,IF(BE82=Цены!$H$19,Цены!$L$19,IF(BE82=Цены!$H$20,Цены!$L$20,IF(BE82=Цены!$H$21,Цены!$L$21,IF(BE82=Цены!$H$22,Цены!$L$22,IF(BE82=Цены!$H$23,Цены!$L$23,IF(BE82=Цены!$H$24,Цены!$L$24,IF(BE82=Цены!$H$25,Цены!$L$25,IF(BE82=Цены!$H$26,Цены!$L$26,IF(BE82=Цены!$H$27,Цены!$L$27,IF(BE82=Цены!$H$28,Цены!$L$28,IF(BE82=Цены!$H$29,Цены!$L$29,IF(BE82=Цены!$H$30,Цены!$L$30,IF(BE82=Цены!$H$31,Цены!$L$31,IF(BE82=Цены!$H$32,Цены!$L$32,IF(BE82=Цены!$H$33,Цены!$L$33,IF(BE82=Цены!$H$34,Цены!$L$34,IF(BE82=Цены!$H$35,Цены!$L$35,IF(BE82=Цены!$H$36,Цены!$L$36,IF(BE82=Цены!$H$37,Цены!$L$37,IF(BE82=Цены!$H$38,Цены!$L$38,IF(BE82=Цены!$H$39,Цены!$L$39,IF(BE82=Цены!$H$40,Цены!$L$40,IF(BE82=Цены!$H$41,Цены!$L$41,IF(BE82=Цены!$H$42,Цены!$L$42,IF(BE82=Цены!$H$43,Цены!$L$43,IF(BE82=Цены!$H$44,Цены!$L$44,IF(BE82=Цены!$H$45,Цены!$L$45,IF(BE82=Цены!$H$46,Цены!$L$46,IF(BE82=Цены!$H$47,Цены!$L$47,IF(BE82=Цены!$H$48,Цены!$L$48,IF(BE82=Цены!$H$49,Цены!$L$49,IF(BE82=Цены!$H$50,Цены!$L$50,IF(BE82=Цены!$H$51,Цены!$L$51,IF(BE82=Цены!$H$52,Цены!$L$52,IF(BE82=Цены!$H$53,Цены!$L$53,IF(BE82=Цены!$H$54,Цены!$L$54,IF(BE82=Цены!$H$55,Цены!$L$55))))))))))))))))))))))))))))))))))))))))))))))))))))))</f>
        <v>0</v>
      </c>
      <c r="BH82" s="280"/>
      <c r="BI82" s="104" t="b">
        <f>IF(BE82=Цены!$H$3,Цены!$K$3,IF(BE82=Цены!$H$4,Цены!$K$4,IF(BE82=Цены!$H$5,Цены!$K$5,IF(BE82=Цены!$H$6,Цены!$K$6,IF(BE82=Цены!$H$7,Цены!$K$7,IF(BE82=Цены!$H$8,Цены!$K$8,IF(BE82=Цены!$H$9,Цены!$K$9,IF(BE82=Цены!$H$10,Цены!$K$10,IF(BE82=Цены!$H$11,Цены!$K$11,IF(BE82=Цены!$H$12,Цены!$K$12,IF(BE82=Цены!$H$13,Цены!$K$13,IF(BE82=Цены!$H$14,Цены!$K$14,IF(BE82=Цены!$H$14,Цены!$K$14,IF(BE82=Цены!$H$15,Цены!$K$15,IF(BE82=Цены!$H$16,Цены!$K$16,IF(BE82=Цены!$H$17,Цены!$K$17,IF(BE82=Цены!$H$18,Цены!$K$18,IF(BE82=Цены!$H$19,Цены!$K$19,IF(BE82=Цены!$H$20,Цены!$K$20,IF(BE82=Цены!$H$21,Цены!$K$21,IF(BE82=Цены!$H$22,Цены!$K$22,IF(BE82=Цены!$H$23,Цены!$K$23,IF(BE82=Цены!$H$24,Цены!$K$24,IF(BE82=Цены!$H$25,Цены!$K$25,IF(BE82=Цены!$H$26,Цены!$K$26,IF(BE82=Цены!$H$27,Цены!$K$27,IF(BE82=Цены!$H$28,Цены!$K$28,IF(BE82=Цены!$H$29,Цены!$K$29,IF(BE82=Цены!$H$30,Цены!$K$30,IF(BE82=Цены!$H$31,Цены!$K$31,IF(BE82=Цены!$H$32,Цены!$K$32,IF(BE82=Цены!$H$33,Цены!$K$33,IF(BE82=Цены!$H$34,Цены!$K$34,IF(BE82=Цены!$H$35,Цены!$K$35,IF(BE82=Цены!$H$36,Цены!$K$36,IF(BE82=Цены!$H$37,Цены!$K$37,IF(BE82=Цены!$H$38,Цены!$K$38,IF(BE82=Цены!$H$39,Цены!$K$39,IF(BE82=Цены!$H$40,Цены!$K$40,IF(BE82=Цены!$H$41,Цены!$K$41,IF(BE82=Цены!$H$42,Цены!$K$42,IF(BE82=Цены!$H$43,Цены!$K$43,IF(BE82=Цены!$H$44,Цены!$K$44,IF(BE82=Цены!$H$45,Цены!$K$45,IF(BE82=Цены!$H$46,Цены!$K$46,IF(BE82=Цены!$H$47,Цены!$K$47,IF(BE82=Цены!$H$48,Цены!$K$48,IF(BE82=Цены!$H$49,Цены!$K$49,IF(BE82=Цены!$H$50,Цены!$K$50,IF(BE82=Цены!$H$51,Цены!$K$51,IF(BE82=Цены!$H$52,Цены!$K$52,IF(BE82=Цены!$H$53,Цены!$K$53,IF(BE82=Цены!$H$54,Цены!$K$54,IF(BE82=Цены!$H$55,Цены!$K$55))))))))))))))))))))))))))))))))))))))))))))))))))))))</f>
        <v>0</v>
      </c>
      <c r="BJ82" s="265"/>
      <c r="BK82" s="265"/>
      <c r="BL82" s="272"/>
      <c r="BM82" s="273"/>
      <c r="BN82" s="273"/>
      <c r="BO82" s="268"/>
      <c r="BP82" s="281"/>
      <c r="BQ82" s="275"/>
      <c r="BR82" s="211"/>
      <c r="BS82" s="108"/>
      <c r="BT82" s="109" t="b">
        <f>IF(BR82=Цены!$H$3,Цены!$L$3,IF(BR82=Цены!$H$4,Цены!$L$4,IF(BR82=Цены!$H$5,Цены!$L$5,IF(BR82=Цены!$H$6,Цены!$L$6,IF(BR82=Цены!$H$7,Цены!$L$7,IF(BR82=Цены!$H$8,Цены!$L$8,IF(BR82=Цены!$H$9,Цены!$L$9,IF(BR82=Цены!$H$10,Цены!$L$10,IF(BR82=Цены!$H$11,Цены!$L$11,IF(BR82=Цены!$H$12,Цены!$L$12,IF(BR82=Цены!$H$13,Цены!$L$13,IF(BR82=Цены!$H$14,Цены!$L$14,IF(BR82=Цены!$H$14,Цены!$L$14,IF(BR82=Цены!$H$15,Цены!$L$15,IF(BR82=Цены!$H$16,Цены!$L$16,IF(BR82=Цены!$H$17,Цены!$L$17,IF(BR82=Цены!$H$18,Цены!$L$18,IF(BR82=Цены!$H$19,Цены!$L$19,IF(BR82=Цены!$H$20,Цены!$L$20,IF(BR82=Цены!$H$21,Цены!$L$21,IF(BR82=Цены!$H$22,Цены!$L$22,IF(BR82=Цены!$H$23,Цены!$L$23,IF(BR82=Цены!$H$24,Цены!$L$24,IF(BR82=Цены!$H$25,Цены!$L$25,IF(BR82=Цены!$H$26,Цены!$L$26,IF(BR82=Цены!$H$27,Цены!$L$27,IF(BR82=Цены!$H$28,Цены!$L$28,IF(BR82=Цены!$H$29,Цены!$L$29,IF(BR82=Цены!$H$30,Цены!$L$30,IF(BR82=Цены!$H$31,Цены!$L$31,IF(BR82=Цены!$H$32,Цены!$L$32,IF(BR82=Цены!$H$33,Цены!$L$33,IF(BR82=Цены!$H$34,Цены!$L$34,IF(BR82=Цены!$H$35,Цены!$L$35,IF(BR82=Цены!$H$36,Цены!$L$36,IF(BR82=Цены!$H$37,Цены!$L$37,IF(BR82=Цены!$H$38,Цены!$L$38,IF(BR82=Цены!$H$39,Цены!$L$39,IF(BR82=Цены!$H$40,Цены!$L$40,IF(BR82=Цены!$H$41,Цены!$L$41,IF(BR82=Цены!$H$42,Цены!$L$42,IF(BR82=Цены!$H$43,Цены!$L$43,IF(BR82=Цены!$H$44,Цены!$L$44,IF(BR82=Цены!$H$45,Цены!$L$45,IF(BR82=Цены!$H$46,Цены!$L$46,IF(BR82=Цены!$H$47,Цены!$L$47,IF(BR82=Цены!$H$48,Цены!$L$48,IF(BR82=Цены!$H$49,Цены!$L$49,IF(BR82=Цены!$H$50,Цены!$L$50,IF(BR82=Цены!$H$51,Цены!$L$51,IF(BR82=Цены!$H$52,Цены!$L$52,IF(BR82=Цены!$H$53,Цены!$L$53,IF(BR82=Цены!$H$54,Цены!$L$54,IF(BR82=Цены!$H$55,Цены!$L$55))))))))))))))))))))))))))))))))))))))))))))))))))))))</f>
        <v>0</v>
      </c>
      <c r="BU82" s="284"/>
      <c r="BV82" s="110" t="b">
        <f>IF(BR82=Цены!$H$3,Цены!$K$3,IF(BR82=Цены!$H$4,Цены!$K$4,IF(BR82=Цены!$H$5,Цены!$K$5,IF(BR82=Цены!$H$6,Цены!$K$6,IF(BR82=Цены!$H$7,Цены!$K$7,IF(BR82=Цены!$H$8,Цены!$K$8,IF(BR82=Цены!$H$9,Цены!$K$9,IF(BR82=Цены!$H$10,Цены!$K$10,IF(BR82=Цены!$H$11,Цены!$K$11,IF(BR82=Цены!$H$12,Цены!$K$12,IF(BR82=Цены!$H$13,Цены!$K$13,IF(BR82=Цены!$H$14,Цены!$K$14,IF(BR82=Цены!$H$14,Цены!$K$14,IF(BR82=Цены!$H$15,Цены!$K$15,IF(BR82=Цены!$H$16,Цены!$K$16,IF(BR82=Цены!$H$17,Цены!$K$17,IF(BR82=Цены!$H$18,Цены!$K$18,IF(BR82=Цены!$H$19,Цены!$K$19,IF(BR82=Цены!$H$20,Цены!$K$20,IF(BR82=Цены!$H$21,Цены!$K$21,IF(BR82=Цены!$H$22,Цены!$K$22,IF(BR82=Цены!$H$23,Цены!$K$23,IF(BR82=Цены!$H$24,Цены!$K$24,IF(BR82=Цены!$H$25,Цены!$K$25,IF(BR82=Цены!$H$26,Цены!$K$26,IF(BR82=Цены!$H$27,Цены!$K$27,IF(BR82=Цены!$H$28,Цены!$K$28,IF(BR82=Цены!$H$29,Цены!$K$29,IF(BR82=Цены!$H$30,Цены!$K$30,IF(BR82=Цены!$H$31,Цены!$K$31,IF(BR82=Цены!$H$32,Цены!$K$32,IF(BR82=Цены!$H$33,Цены!$K$33,IF(BR82=Цены!$H$34,Цены!$K$34,IF(BR82=Цены!$H$35,Цены!$K$35,IF(BR82=Цены!$H$36,Цены!$K$36,IF(BR82=Цены!$H$37,Цены!$K$37,IF(BR82=Цены!$H$38,Цены!$K$38,IF(BR82=Цены!$H$39,Цены!$K$39,IF(BR82=Цены!$H$40,Цены!$K$40,IF(BR82=Цены!$H$41,Цены!$K$41,IF(BR82=Цены!$H$42,Цены!$K$42,IF(BR82=Цены!$H$43,Цены!$K$43,IF(BR82=Цены!$H$44,Цены!$K$44,IF(BR82=Цены!$H$45,Цены!$K$45,IF(BR82=Цены!$H$46,Цены!$K$46,IF(BR82=Цены!$H$47,Цены!$K$47,IF(BR82=Цены!$H$48,Цены!$K$48,IF(BR82=Цены!$H$49,Цены!$K$49,IF(BR82=Цены!$H$50,Цены!$K$50,IF(BR82=Цены!$H$51,Цены!$K$51,IF(BR82=Цены!$H$52,Цены!$K$52,IF(BR82=Цены!$H$53,Цены!$K$53,IF(BR82=Цены!$H$54,Цены!$K$54,IF(BR82=Цены!$H$55,Цены!$K$55))))))))))))))))))))))))))))))))))))))))))))))))))))))</f>
        <v>0</v>
      </c>
      <c r="BW82" s="265"/>
      <c r="BX82" s="265"/>
      <c r="BY82" s="272"/>
      <c r="BZ82" s="273"/>
      <c r="CA82" s="273"/>
      <c r="CB82" s="268"/>
      <c r="CC82" s="285"/>
      <c r="CD82" s="275"/>
      <c r="CE82" s="183" t="s">
        <v>121</v>
      </c>
      <c r="CF82" s="112">
        <v>2</v>
      </c>
      <c r="CG82" s="113">
        <f>IF(CE82=Цены!$H$3,Цены!$L$3,IF(CE82=Цены!$H$4,Цены!$L$4,IF(CE82=Цены!$H$5,Цены!$L$5,IF(CE82=Цены!$H$6,Цены!$L$6,IF(CE82=Цены!$H$7,Цены!$L$7,IF(CE82=Цены!$H$8,Цены!$L$8,IF(CE82=Цены!$H$9,Цены!$L$9,IF(CE82=Цены!$H$10,Цены!$L$10,IF(CE82=Цены!$H$11,Цены!$L$11,IF(CE82=Цены!$H$12,Цены!$L$12,IF(CE82=Цены!$H$13,Цены!$L$13,IF(CE82=Цены!$H$14,Цены!$L$14,IF(CE82=Цены!$H$14,Цены!$L$14,IF(CE82=Цены!$H$15,Цены!$L$15,IF(CE82=Цены!$H$16,Цены!$L$16,IF(CE82=Цены!$H$17,Цены!$L$17,IF(CE82=Цены!$H$18,Цены!$L$18,IF(CE82=Цены!$H$19,Цены!$L$19,IF(CE82=Цены!$H$20,Цены!$L$20,IF(CE82=Цены!$H$21,Цены!$L$21,IF(CE82=Цены!$H$22,Цены!$L$22,IF(CE82=Цены!$H$23,Цены!$L$23,IF(CE82=Цены!$H$24,Цены!$L$24,IF(CE82=Цены!$H$25,Цены!$L$25,IF(CE82=Цены!$H$26,Цены!$L$26,IF(CE82=Цены!$H$27,Цены!$L$27,IF(CE82=Цены!$H$28,Цены!$L$28,IF(CE82=Цены!$H$29,Цены!$L$29,IF(CE82=Цены!$H$30,Цены!$L$30,IF(CE82=Цены!$H$31,Цены!$L$31,IF(CE82=Цены!$H$32,Цены!$L$32,IF(CE82=Цены!$H$33,Цены!$L$33,IF(CE82=Цены!$H$34,Цены!$L$34,IF(CE82=Цены!$H$35,Цены!$L$35,IF(CE82=Цены!$H$36,Цены!$L$36,IF(CE82=Цены!$H$37,Цены!$L$37,IF(CE82=Цены!$H$38,Цены!$L$38,IF(CE82=Цены!$H$39,Цены!$L$39,IF(CE82=Цены!$H$40,Цены!$L$40,IF(CE82=Цены!$H$41,Цены!$L$41,IF(CE82=Цены!$H$42,Цены!$L$42,IF(CE82=Цены!$H$43,Цены!$L$43,IF(CE82=Цены!$H$44,Цены!$L$44,IF(CE82=Цены!$H$45,Цены!$L$45,IF(CE82=Цены!$H$46,Цены!$L$46,IF(CE82=Цены!$H$47,Цены!$L$47,IF(CE82=Цены!$H$48,Цены!$L$48,IF(CE82=Цены!$H$49,Цены!$L$49,IF(CE82=Цены!$H$50,Цены!$L$50,IF(CE82=Цены!$H$51,Цены!$L$51,IF(CE82=Цены!$H$52,Цены!$L$52,IF(CE82=Цены!$H$53,Цены!$L$53,IF(CE82=Цены!$H$54,Цены!$L$54,IF(CE82=Цены!$H$55,Цены!$L$55))))))))))))))))))))))))))))))))))))))))))))))))))))))</f>
        <v>1.32E-2</v>
      </c>
      <c r="CH82" s="282"/>
      <c r="CI82" s="114">
        <f>IF(CE82=Цены!$H$3,Цены!$K$3,IF(CE82=Цены!$H$4,Цены!$K$4,IF(CE82=Цены!$H$5,Цены!$K$5,IF(CE82=Цены!$H$6,Цены!$K$6,IF(CE82=Цены!$H$7,Цены!$K$7,IF(CE82=Цены!$H$8,Цены!$K$8,IF(CE82=Цены!$H$9,Цены!$K$9,IF(CE82=Цены!$H$10,Цены!$K$10,IF(CE82=Цены!$H$11,Цены!$K$11,IF(CE82=Цены!$H$12,Цены!$K$12,IF(CE82=Цены!$H$13,Цены!$K$13,IF(CE82=Цены!$H$14,Цены!$K$14,IF(CE82=Цены!$H$14,Цены!$K$14,IF(CE82=Цены!$H$15,Цены!$K$15,IF(CE82=Цены!$H$16,Цены!$K$16,IF(CE82=Цены!$H$17,Цены!$K$17,IF(CE82=Цены!$H$18,Цены!$K$18,IF(CE82=Цены!$H$19,Цены!$K$19,IF(CE82=Цены!$H$20,Цены!$K$20,IF(CE82=Цены!$H$21,Цены!$K$21,IF(CE82=Цены!$H$22,Цены!$K$22,IF(CE82=Цены!$H$23,Цены!$K$23,IF(CE82=Цены!$H$24,Цены!$K$24,IF(CE82=Цены!$H$25,Цены!$K$25,IF(CE82=Цены!$H$26,Цены!$K$26,IF(CE82=Цены!$H$27,Цены!$K$27,IF(CE82=Цены!$H$28,Цены!$K$28,IF(CE82=Цены!$H$29,Цены!$K$29,IF(CE82=Цены!$H$30,Цены!$K$30,IF(CE82=Цены!$H$31,Цены!$K$31,IF(CE82=Цены!$H$32,Цены!$K$32,IF(CE82=Цены!$H$33,Цены!$K$33,IF(CE82=Цены!$H$34,Цены!$K$34,IF(CE82=Цены!$H$35,Цены!$K$35,IF(CE82=Цены!$H$36,Цены!$K$36,IF(CE82=Цены!$H$37,Цены!$K$37,IF(CE82=Цены!$H$38,Цены!$K$38,IF(CE82=Цены!$H$39,Цены!$K$39,IF(CE82=Цены!$H$40,Цены!$K$40,IF(CE82=Цены!$H$41,Цены!$K$41,IF(CE82=Цены!$H$42,Цены!$K$42,IF(CE82=Цены!$H$43,Цены!$K$43,IF(CE82=Цены!$H$44,Цены!$K$44,IF(CE82=Цены!$H$45,Цены!$K$45,IF(CE82=Цены!$H$46,Цены!$K$46,IF(CE82=Цены!$H$47,Цены!$K$47,IF(CE82=Цены!$H$48,Цены!$K$48,IF(CE82=Цены!$H$49,Цены!$K$49,IF(CE82=Цены!$H$50,Цены!$K$50,IF(CE82=Цены!$H$51,Цены!$K$51,IF(CE82=Цены!$H$52,Цены!$K$52,IF(CE82=Цены!$H$53,Цены!$K$53,IF(CE82=Цены!$H$54,Цены!$K$54,IF(CE82=Цены!$H$55,Цены!$K$55))))))))))))))))))))))))))))))))))))))))))))))))))))))</f>
        <v>54</v>
      </c>
      <c r="CJ82" s="265"/>
      <c r="CK82" s="265"/>
      <c r="CL82" s="272"/>
      <c r="CM82" s="273"/>
      <c r="CN82" s="273"/>
      <c r="CO82" s="268"/>
      <c r="CP82" s="283"/>
      <c r="CQ82" s="275"/>
    </row>
    <row r="83" spans="1:95" ht="24.95" customHeight="1" x14ac:dyDescent="0.25">
      <c r="A83" s="342" t="s">
        <v>107</v>
      </c>
      <c r="B83" s="384" t="s">
        <v>119</v>
      </c>
      <c r="C83" s="384"/>
      <c r="D83" s="372" t="s">
        <v>138</v>
      </c>
      <c r="E83" s="372"/>
      <c r="F83" s="372"/>
      <c r="G83" s="372"/>
      <c r="H83" s="372"/>
      <c r="I83" s="372"/>
      <c r="J83" s="372"/>
      <c r="K83" s="372"/>
      <c r="L83" s="372"/>
      <c r="M83" s="372"/>
      <c r="N83" s="372"/>
      <c r="O83" s="372"/>
      <c r="P83" s="372"/>
    </row>
    <row r="84" spans="1:95" ht="32.25" thickBot="1" x14ac:dyDescent="0.3">
      <c r="A84" s="342"/>
      <c r="B84" s="384"/>
      <c r="C84" s="384"/>
      <c r="D84" s="169" t="s">
        <v>151</v>
      </c>
      <c r="E84" s="278"/>
      <c r="F84" s="278"/>
      <c r="G84" s="225"/>
      <c r="H84" s="226" t="s">
        <v>177</v>
      </c>
      <c r="I84" s="226" t="s">
        <v>129</v>
      </c>
      <c r="J84" s="227"/>
      <c r="K84" s="227"/>
      <c r="L84" s="227"/>
      <c r="M84" s="227"/>
      <c r="N84" s="226" t="s">
        <v>131</v>
      </c>
      <c r="O84" s="226"/>
      <c r="P84" s="226" t="s">
        <v>130</v>
      </c>
      <c r="Q84" s="136"/>
      <c r="R84" s="136"/>
      <c r="S84" s="136"/>
      <c r="T84" s="136"/>
      <c r="U84" s="164"/>
    </row>
    <row r="85" spans="1:95" hidden="1" x14ac:dyDescent="0.25">
      <c r="A85" s="341" t="s">
        <v>106</v>
      </c>
      <c r="B85" s="265" t="s">
        <v>112</v>
      </c>
      <c r="C85" s="286" t="s">
        <v>113</v>
      </c>
      <c r="D85" s="373">
        <f>G3+T3+AG3+AT3+BH3+BU3+CH3</f>
        <v>21.419599999999999</v>
      </c>
      <c r="E85" s="279"/>
      <c r="F85" s="279"/>
      <c r="G85" s="141"/>
      <c r="H85" s="375">
        <f>K3+X3+AK3+AX3+BL3+BY3+CL3</f>
        <v>11071.5</v>
      </c>
      <c r="I85" s="357">
        <v>12</v>
      </c>
      <c r="J85" s="357"/>
      <c r="K85" s="356"/>
      <c r="L85" s="357">
        <f>I85*J85</f>
        <v>0</v>
      </c>
      <c r="M85" s="356">
        <f>K85+L85</f>
        <v>0</v>
      </c>
      <c r="N85" s="357">
        <f>I85*J85*1.1</f>
        <v>0</v>
      </c>
      <c r="O85" s="356"/>
      <c r="P85" s="358">
        <f>MROUND(M85+N85,500)</f>
        <v>0</v>
      </c>
      <c r="Q85" s="137"/>
      <c r="R85" s="136"/>
      <c r="S85" s="136"/>
      <c r="T85" s="137"/>
      <c r="U85" s="164"/>
    </row>
    <row r="86" spans="1:95" s="23" customFormat="1" hidden="1" x14ac:dyDescent="0.25">
      <c r="A86" s="341"/>
      <c r="B86" s="265"/>
      <c r="C86" s="286"/>
      <c r="D86" s="374"/>
      <c r="E86" s="279"/>
      <c r="F86" s="279"/>
      <c r="G86" s="136"/>
      <c r="H86" s="375"/>
      <c r="I86" s="357"/>
      <c r="J86" s="357"/>
      <c r="K86" s="356"/>
      <c r="L86" s="357"/>
      <c r="M86" s="356"/>
      <c r="N86" s="357"/>
      <c r="O86" s="356"/>
      <c r="P86" s="358"/>
      <c r="Q86" s="137"/>
      <c r="R86" s="136"/>
      <c r="S86" s="136"/>
      <c r="T86" s="137"/>
      <c r="U86" s="164"/>
    </row>
    <row r="87" spans="1:95" hidden="1" x14ac:dyDescent="0.25">
      <c r="A87" s="341"/>
      <c r="B87" s="265"/>
      <c r="C87" s="286"/>
      <c r="D87" s="374"/>
      <c r="E87" s="279"/>
      <c r="F87" s="279"/>
      <c r="G87" s="141"/>
      <c r="H87" s="375"/>
      <c r="I87" s="357"/>
      <c r="J87" s="357"/>
      <c r="K87" s="356"/>
      <c r="L87" s="357"/>
      <c r="M87" s="357"/>
      <c r="N87" s="357"/>
      <c r="O87" s="356"/>
      <c r="P87" s="358"/>
      <c r="Q87" s="137"/>
      <c r="R87" s="136"/>
      <c r="S87" s="136"/>
      <c r="T87" s="137"/>
      <c r="U87" s="164"/>
    </row>
    <row r="88" spans="1:95" hidden="1" x14ac:dyDescent="0.25">
      <c r="A88" s="341"/>
      <c r="B88" s="265"/>
      <c r="C88" s="286"/>
      <c r="D88" s="374"/>
      <c r="E88" s="279"/>
      <c r="F88" s="279"/>
      <c r="G88" s="141"/>
      <c r="H88" s="375"/>
      <c r="I88" s="357"/>
      <c r="J88" s="357"/>
      <c r="K88" s="356"/>
      <c r="L88" s="357"/>
      <c r="M88" s="357"/>
      <c r="N88" s="357"/>
      <c r="O88" s="356"/>
      <c r="P88" s="358"/>
      <c r="Q88" s="137"/>
      <c r="R88" s="136"/>
      <c r="S88" s="136"/>
      <c r="T88" s="137"/>
      <c r="U88" s="164"/>
    </row>
    <row r="89" spans="1:95" hidden="1" x14ac:dyDescent="0.25">
      <c r="A89" s="341"/>
      <c r="B89" s="265"/>
      <c r="C89" s="286"/>
      <c r="D89" s="374"/>
      <c r="E89" s="279"/>
      <c r="F89" s="279"/>
      <c r="G89" s="141"/>
      <c r="H89" s="375"/>
      <c r="I89" s="357"/>
      <c r="J89" s="357"/>
      <c r="K89" s="356"/>
      <c r="L89" s="357"/>
      <c r="M89" s="357"/>
      <c r="N89" s="357"/>
      <c r="O89" s="356"/>
      <c r="P89" s="358"/>
      <c r="Q89" s="136"/>
      <c r="R89" s="136"/>
      <c r="S89" s="136"/>
      <c r="T89" s="136"/>
      <c r="U89" s="164"/>
    </row>
    <row r="90" spans="1:95" hidden="1" x14ac:dyDescent="0.25">
      <c r="A90" s="341"/>
      <c r="B90" s="265"/>
      <c r="C90" s="336" t="s">
        <v>120</v>
      </c>
      <c r="D90" s="359">
        <f>G7+T7+AG7+AT7+BH7+BU7+CH7</f>
        <v>75.789599999999993</v>
      </c>
      <c r="E90" s="279"/>
      <c r="F90" s="279"/>
      <c r="G90" s="141"/>
      <c r="H90" s="375">
        <f>K7+X7+AK7+AX7+BL7+BY7+CL7</f>
        <v>25471</v>
      </c>
      <c r="I90" s="357"/>
      <c r="J90" s="357"/>
      <c r="K90" s="356"/>
      <c r="L90" s="357">
        <f>I85*J85</f>
        <v>0</v>
      </c>
      <c r="M90" s="356">
        <f t="shared" ref="M90" si="162">K90+L90</f>
        <v>0</v>
      </c>
      <c r="N90" s="357"/>
      <c r="O90" s="356"/>
      <c r="P90" s="358">
        <f>MROUND(M90+N85,500)</f>
        <v>0</v>
      </c>
      <c r="Q90" s="136"/>
      <c r="R90" s="136"/>
      <c r="S90" s="136"/>
      <c r="T90" s="136"/>
      <c r="U90" s="164"/>
    </row>
    <row r="91" spans="1:95" s="23" customFormat="1" hidden="1" x14ac:dyDescent="0.25">
      <c r="A91" s="341"/>
      <c r="B91" s="265"/>
      <c r="C91" s="336"/>
      <c r="D91" s="359"/>
      <c r="E91" s="279"/>
      <c r="F91" s="279"/>
      <c r="G91" s="136"/>
      <c r="H91" s="375"/>
      <c r="I91" s="357"/>
      <c r="J91" s="357"/>
      <c r="K91" s="356"/>
      <c r="L91" s="357"/>
      <c r="M91" s="356"/>
      <c r="N91" s="357"/>
      <c r="O91" s="356"/>
      <c r="P91" s="358"/>
      <c r="Q91" s="136"/>
      <c r="R91" s="136"/>
      <c r="S91" s="136"/>
      <c r="T91" s="136"/>
      <c r="U91" s="164"/>
    </row>
    <row r="92" spans="1:95" hidden="1" x14ac:dyDescent="0.25">
      <c r="A92" s="341"/>
      <c r="B92" s="265"/>
      <c r="C92" s="336"/>
      <c r="D92" s="359"/>
      <c r="E92" s="279"/>
      <c r="F92" s="279"/>
      <c r="G92" s="141"/>
      <c r="H92" s="375"/>
      <c r="I92" s="357"/>
      <c r="J92" s="357"/>
      <c r="K92" s="356"/>
      <c r="L92" s="357"/>
      <c r="M92" s="357"/>
      <c r="N92" s="357"/>
      <c r="O92" s="356"/>
      <c r="P92" s="358"/>
      <c r="Q92" s="136"/>
      <c r="R92" s="136"/>
      <c r="S92" s="136"/>
      <c r="T92" s="136"/>
      <c r="U92" s="164"/>
    </row>
    <row r="93" spans="1:95" hidden="1" x14ac:dyDescent="0.25">
      <c r="A93" s="341"/>
      <c r="B93" s="265"/>
      <c r="C93" s="336"/>
      <c r="D93" s="359"/>
      <c r="E93" s="279"/>
      <c r="F93" s="279"/>
      <c r="G93" s="141"/>
      <c r="H93" s="375"/>
      <c r="I93" s="357"/>
      <c r="J93" s="357"/>
      <c r="K93" s="356"/>
      <c r="L93" s="357"/>
      <c r="M93" s="357"/>
      <c r="N93" s="357"/>
      <c r="O93" s="356"/>
      <c r="P93" s="358"/>
      <c r="Q93" s="136"/>
    </row>
    <row r="94" spans="1:95" hidden="1" x14ac:dyDescent="0.25">
      <c r="A94" s="341"/>
      <c r="B94" s="265"/>
      <c r="C94" s="336"/>
      <c r="D94" s="359"/>
      <c r="E94" s="279"/>
      <c r="F94" s="279"/>
      <c r="G94" s="141"/>
      <c r="H94" s="375"/>
      <c r="I94" s="357"/>
      <c r="J94" s="357"/>
      <c r="K94" s="356"/>
      <c r="L94" s="357"/>
      <c r="M94" s="357"/>
      <c r="N94" s="357"/>
      <c r="O94" s="356"/>
      <c r="P94" s="358"/>
      <c r="Q94" s="136"/>
    </row>
    <row r="95" spans="1:95" hidden="1" x14ac:dyDescent="0.25">
      <c r="A95" s="340" t="s">
        <v>108</v>
      </c>
      <c r="B95" s="265" t="s">
        <v>112</v>
      </c>
      <c r="C95" s="265" t="s">
        <v>113</v>
      </c>
      <c r="D95" s="374">
        <f>G11+T11+AG11+AT11+BH11+BU11+CH11</f>
        <v>24.969599999999996</v>
      </c>
      <c r="E95" s="279"/>
      <c r="F95" s="279"/>
      <c r="G95" s="141"/>
      <c r="H95" s="375">
        <f>K11+X11+AK11+AX11+BL11+BY11+CL11</f>
        <v>13098</v>
      </c>
      <c r="I95" s="357">
        <v>13</v>
      </c>
      <c r="J95" s="357"/>
      <c r="K95" s="356"/>
      <c r="L95" s="357">
        <f>I95*J95</f>
        <v>0</v>
      </c>
      <c r="M95" s="356">
        <f>K95+L95</f>
        <v>0</v>
      </c>
      <c r="N95" s="357">
        <f>I95*J95*1.1</f>
        <v>0</v>
      </c>
      <c r="O95" s="356"/>
      <c r="P95" s="358">
        <f>MROUND(M95+N95,500)</f>
        <v>0</v>
      </c>
      <c r="Q95" s="136"/>
    </row>
    <row r="96" spans="1:95" s="23" customFormat="1" hidden="1" x14ac:dyDescent="0.25">
      <c r="A96" s="340"/>
      <c r="B96" s="265"/>
      <c r="C96" s="265"/>
      <c r="D96" s="374"/>
      <c r="E96" s="279"/>
      <c r="F96" s="279"/>
      <c r="G96" s="136"/>
      <c r="H96" s="375"/>
      <c r="I96" s="357"/>
      <c r="J96" s="357"/>
      <c r="K96" s="356"/>
      <c r="L96" s="357"/>
      <c r="M96" s="356"/>
      <c r="N96" s="357"/>
      <c r="O96" s="356"/>
      <c r="P96" s="358"/>
      <c r="Q96" s="136"/>
      <c r="U96" s="163">
        <v>15</v>
      </c>
      <c r="V96" s="23">
        <v>0.9</v>
      </c>
      <c r="X96" s="23">
        <f>U96*V96</f>
        <v>13.5</v>
      </c>
    </row>
    <row r="97" spans="1:24" hidden="1" x14ac:dyDescent="0.25">
      <c r="A97" s="341"/>
      <c r="B97" s="265"/>
      <c r="C97" s="265"/>
      <c r="D97" s="374"/>
      <c r="E97" s="279"/>
      <c r="F97" s="279"/>
      <c r="G97" s="141"/>
      <c r="H97" s="375"/>
      <c r="I97" s="357"/>
      <c r="J97" s="357"/>
      <c r="K97" s="356"/>
      <c r="L97" s="357"/>
      <c r="M97" s="357"/>
      <c r="N97" s="357"/>
      <c r="O97" s="356"/>
      <c r="P97" s="358"/>
      <c r="Q97" s="136"/>
      <c r="U97" s="163">
        <v>25</v>
      </c>
      <c r="V97" s="12">
        <v>1.19</v>
      </c>
      <c r="X97" s="23">
        <f t="shared" ref="X97:X104" si="163">U97*V97</f>
        <v>29.75</v>
      </c>
    </row>
    <row r="98" spans="1:24" hidden="1" x14ac:dyDescent="0.25">
      <c r="A98" s="341"/>
      <c r="B98" s="265"/>
      <c r="C98" s="265"/>
      <c r="D98" s="374"/>
      <c r="E98" s="279"/>
      <c r="F98" s="279"/>
      <c r="G98" s="141"/>
      <c r="H98" s="375"/>
      <c r="I98" s="357"/>
      <c r="J98" s="357"/>
      <c r="K98" s="356"/>
      <c r="L98" s="357"/>
      <c r="M98" s="357"/>
      <c r="N98" s="357"/>
      <c r="O98" s="356"/>
      <c r="P98" s="358"/>
      <c r="Q98" s="136"/>
      <c r="U98" s="163">
        <v>4</v>
      </c>
      <c r="V98" s="12">
        <v>2.4</v>
      </c>
      <c r="X98" s="23">
        <f t="shared" si="163"/>
        <v>9.6</v>
      </c>
    </row>
    <row r="99" spans="1:24" hidden="1" x14ac:dyDescent="0.25">
      <c r="A99" s="341"/>
      <c r="B99" s="265"/>
      <c r="C99" s="265"/>
      <c r="D99" s="374"/>
      <c r="E99" s="279"/>
      <c r="F99" s="279"/>
      <c r="G99" s="141"/>
      <c r="H99" s="375"/>
      <c r="I99" s="357"/>
      <c r="J99" s="357"/>
      <c r="K99" s="356"/>
      <c r="L99" s="357"/>
      <c r="M99" s="357"/>
      <c r="N99" s="357"/>
      <c r="O99" s="356"/>
      <c r="P99" s="358"/>
      <c r="Q99" s="136"/>
      <c r="U99" s="163">
        <v>4</v>
      </c>
      <c r="V99" s="12">
        <v>0.39</v>
      </c>
      <c r="X99" s="23">
        <f t="shared" si="163"/>
        <v>1.56</v>
      </c>
    </row>
    <row r="100" spans="1:24" hidden="1" x14ac:dyDescent="0.25">
      <c r="A100" s="341"/>
      <c r="B100" s="265"/>
      <c r="C100" s="336" t="s">
        <v>120</v>
      </c>
      <c r="D100" s="359">
        <f>G15+T15+AG15+AT15+BH15+BU15+CH15</f>
        <v>87.48960000000001</v>
      </c>
      <c r="E100" s="279"/>
      <c r="F100" s="279"/>
      <c r="G100" s="141"/>
      <c r="H100" s="375">
        <f>K15+X15+AK15+AX15+BL15+BY15+CL15</f>
        <v>28509</v>
      </c>
      <c r="I100" s="357"/>
      <c r="J100" s="357"/>
      <c r="K100" s="356"/>
      <c r="L100" s="357">
        <f>I95*J95</f>
        <v>0</v>
      </c>
      <c r="M100" s="356">
        <f t="shared" ref="M100" si="164">K100+L100</f>
        <v>0</v>
      </c>
      <c r="N100" s="357"/>
      <c r="O100" s="356"/>
      <c r="P100" s="358">
        <f>MROUND(M100+N95,500)</f>
        <v>0</v>
      </c>
      <c r="Q100" s="136"/>
      <c r="U100" s="163">
        <v>21</v>
      </c>
      <c r="V100" s="138">
        <v>1.8</v>
      </c>
      <c r="X100" s="23">
        <f t="shared" si="163"/>
        <v>37.800000000000004</v>
      </c>
    </row>
    <row r="101" spans="1:24" hidden="1" x14ac:dyDescent="0.25">
      <c r="A101" s="341"/>
      <c r="B101" s="265"/>
      <c r="C101" s="336"/>
      <c r="D101" s="359"/>
      <c r="E101" s="279"/>
      <c r="F101" s="279"/>
      <c r="G101" s="141"/>
      <c r="H101" s="375"/>
      <c r="I101" s="357"/>
      <c r="J101" s="357"/>
      <c r="K101" s="356"/>
      <c r="L101" s="357"/>
      <c r="M101" s="357"/>
      <c r="N101" s="357"/>
      <c r="O101" s="356"/>
      <c r="P101" s="358"/>
      <c r="Q101" s="136"/>
      <c r="U101" s="163">
        <v>12</v>
      </c>
      <c r="V101" s="12">
        <v>0.37</v>
      </c>
      <c r="X101" s="23">
        <f t="shared" si="163"/>
        <v>4.4399999999999995</v>
      </c>
    </row>
    <row r="102" spans="1:24" s="23" customFormat="1" hidden="1" x14ac:dyDescent="0.25">
      <c r="A102" s="341"/>
      <c r="B102" s="265"/>
      <c r="C102" s="336"/>
      <c r="D102" s="359"/>
      <c r="E102" s="279"/>
      <c r="F102" s="279"/>
      <c r="G102" s="136"/>
      <c r="H102" s="375"/>
      <c r="I102" s="357"/>
      <c r="J102" s="357"/>
      <c r="K102" s="356"/>
      <c r="L102" s="357"/>
      <c r="M102" s="357"/>
      <c r="N102" s="357"/>
      <c r="O102" s="356"/>
      <c r="P102" s="358"/>
      <c r="Q102" s="136"/>
      <c r="U102" s="163">
        <v>6</v>
      </c>
      <c r="V102" s="23">
        <v>0.78</v>
      </c>
      <c r="X102" s="23">
        <f t="shared" si="163"/>
        <v>4.68</v>
      </c>
    </row>
    <row r="103" spans="1:24" hidden="1" x14ac:dyDescent="0.25">
      <c r="A103" s="341"/>
      <c r="B103" s="265"/>
      <c r="C103" s="336"/>
      <c r="D103" s="359"/>
      <c r="E103" s="279"/>
      <c r="F103" s="279"/>
      <c r="G103" s="141"/>
      <c r="H103" s="375"/>
      <c r="I103" s="357"/>
      <c r="J103" s="357"/>
      <c r="K103" s="356"/>
      <c r="L103" s="357"/>
      <c r="M103" s="357"/>
      <c r="N103" s="357"/>
      <c r="O103" s="356"/>
      <c r="P103" s="358"/>
      <c r="Q103" s="136"/>
      <c r="U103" s="163">
        <v>6</v>
      </c>
      <c r="V103" s="12">
        <v>1.2</v>
      </c>
      <c r="X103" s="23">
        <f t="shared" si="163"/>
        <v>7.1999999999999993</v>
      </c>
    </row>
    <row r="104" spans="1:24" hidden="1" x14ac:dyDescent="0.25">
      <c r="A104" s="341"/>
      <c r="B104" s="265"/>
      <c r="C104" s="336"/>
      <c r="D104" s="359"/>
      <c r="E104" s="279"/>
      <c r="F104" s="279"/>
      <c r="G104" s="141"/>
      <c r="H104" s="375"/>
      <c r="I104" s="357"/>
      <c r="J104" s="357"/>
      <c r="K104" s="356"/>
      <c r="L104" s="357"/>
      <c r="M104" s="357"/>
      <c r="N104" s="357"/>
      <c r="O104" s="356"/>
      <c r="P104" s="358"/>
      <c r="Q104" s="136"/>
      <c r="U104" s="163">
        <v>3</v>
      </c>
      <c r="V104" s="12">
        <v>0.6</v>
      </c>
      <c r="X104" s="23">
        <f t="shared" si="163"/>
        <v>1.7999999999999998</v>
      </c>
    </row>
    <row r="105" spans="1:24" x14ac:dyDescent="0.25">
      <c r="A105" s="337" t="s">
        <v>169</v>
      </c>
      <c r="B105" s="265" t="s">
        <v>112</v>
      </c>
      <c r="C105" s="265" t="s">
        <v>113</v>
      </c>
      <c r="D105" s="361">
        <f>G19+AG19+BH19+AT19+CH19</f>
        <v>60.022800000000004</v>
      </c>
      <c r="E105" s="279"/>
      <c r="F105" s="279"/>
      <c r="G105" s="141"/>
      <c r="H105" s="264">
        <f>K19+AK19+AX19+BL19+CL19</f>
        <v>19981</v>
      </c>
      <c r="I105" s="264">
        <f>L19+AL19+AY19+BM19+CM19</f>
        <v>25500</v>
      </c>
      <c r="J105" s="357"/>
      <c r="K105" s="356"/>
      <c r="L105" s="356"/>
      <c r="M105" s="266">
        <f>H105+I105</f>
        <v>45481</v>
      </c>
      <c r="N105" s="362">
        <f>N19+AN19+BA19+BO19+CO19</f>
        <v>29000</v>
      </c>
      <c r="O105" s="356"/>
      <c r="P105" s="363">
        <f>MROUND(M105+N105,500)</f>
        <v>74500</v>
      </c>
      <c r="Q105" s="136"/>
      <c r="X105" s="12">
        <f>SUM(X96:X104)</f>
        <v>110.33000000000001</v>
      </c>
    </row>
    <row r="106" spans="1:24" s="23" customFormat="1" x14ac:dyDescent="0.25">
      <c r="A106" s="385"/>
      <c r="B106" s="265"/>
      <c r="C106" s="265"/>
      <c r="D106" s="361"/>
      <c r="E106" s="279"/>
      <c r="F106" s="279"/>
      <c r="G106" s="136"/>
      <c r="H106" s="264"/>
      <c r="I106" s="264"/>
      <c r="J106" s="357"/>
      <c r="K106" s="356"/>
      <c r="L106" s="356"/>
      <c r="M106" s="266"/>
      <c r="N106" s="362"/>
      <c r="O106" s="356"/>
      <c r="P106" s="364"/>
      <c r="Q106" s="136"/>
      <c r="U106" s="163"/>
    </row>
    <row r="107" spans="1:24" x14ac:dyDescent="0.25">
      <c r="A107" s="267"/>
      <c r="B107" s="265"/>
      <c r="C107" s="265"/>
      <c r="D107" s="361"/>
      <c r="E107" s="279"/>
      <c r="F107" s="279"/>
      <c r="G107" s="141"/>
      <c r="H107" s="264"/>
      <c r="I107" s="264"/>
      <c r="J107" s="357"/>
      <c r="K107" s="356"/>
      <c r="L107" s="356"/>
      <c r="M107" s="267"/>
      <c r="N107" s="362"/>
      <c r="O107" s="356"/>
      <c r="P107" s="364"/>
      <c r="Q107" s="136"/>
    </row>
    <row r="108" spans="1:24" x14ac:dyDescent="0.25">
      <c r="A108" s="267"/>
      <c r="B108" s="265"/>
      <c r="C108" s="265"/>
      <c r="D108" s="361"/>
      <c r="E108" s="279"/>
      <c r="F108" s="279"/>
      <c r="G108" s="141"/>
      <c r="H108" s="264"/>
      <c r="I108" s="264"/>
      <c r="J108" s="357"/>
      <c r="K108" s="356"/>
      <c r="L108" s="356"/>
      <c r="M108" s="267"/>
      <c r="N108" s="362"/>
      <c r="O108" s="356"/>
      <c r="P108" s="364"/>
      <c r="Q108" s="136"/>
    </row>
    <row r="109" spans="1:24" ht="15.75" thickBot="1" x14ac:dyDescent="0.3">
      <c r="A109" s="267"/>
      <c r="B109" s="265"/>
      <c r="C109" s="265"/>
      <c r="D109" s="361"/>
      <c r="E109" s="279"/>
      <c r="F109" s="279"/>
      <c r="G109" s="141"/>
      <c r="H109" s="264"/>
      <c r="I109" s="264"/>
      <c r="J109" s="357"/>
      <c r="K109" s="356"/>
      <c r="L109" s="356"/>
      <c r="M109" s="267"/>
      <c r="N109" s="362"/>
      <c r="O109" s="356"/>
      <c r="P109" s="365"/>
      <c r="Q109" s="136"/>
    </row>
    <row r="110" spans="1:24" x14ac:dyDescent="0.25">
      <c r="A110" s="267"/>
      <c r="B110" s="265"/>
      <c r="C110" s="336" t="s">
        <v>120</v>
      </c>
      <c r="D110" s="366">
        <f>G23+AG23+BH23+AT23+CH23</f>
        <v>80.006</v>
      </c>
      <c r="E110" s="279"/>
      <c r="F110" s="279"/>
      <c r="G110" s="141"/>
      <c r="H110" s="277">
        <f>K23+AK23+AX23+BL23+CL23</f>
        <v>27731</v>
      </c>
      <c r="I110" s="277">
        <f>L23+AL23+AY23+BM23+CM23</f>
        <v>25500</v>
      </c>
      <c r="J110" s="357"/>
      <c r="K110" s="356"/>
      <c r="L110" s="357"/>
      <c r="M110" s="272">
        <f>H110+I110</f>
        <v>53231</v>
      </c>
      <c r="N110" s="362"/>
      <c r="O110" s="356"/>
      <c r="P110" s="369">
        <f>MROUND(M110+N105,500)</f>
        <v>82000</v>
      </c>
      <c r="Q110" s="136"/>
    </row>
    <row r="111" spans="1:24" s="23" customFormat="1" x14ac:dyDescent="0.25">
      <c r="A111" s="267"/>
      <c r="B111" s="265"/>
      <c r="C111" s="336"/>
      <c r="D111" s="367"/>
      <c r="E111" s="279"/>
      <c r="F111" s="279"/>
      <c r="G111" s="136"/>
      <c r="H111" s="277"/>
      <c r="I111" s="277"/>
      <c r="J111" s="357"/>
      <c r="K111" s="356"/>
      <c r="L111" s="357"/>
      <c r="M111" s="272"/>
      <c r="N111" s="362"/>
      <c r="O111" s="356"/>
      <c r="P111" s="370"/>
      <c r="Q111" s="136"/>
      <c r="U111" s="163"/>
    </row>
    <row r="112" spans="1:24" x14ac:dyDescent="0.25">
      <c r="A112" s="267"/>
      <c r="B112" s="265"/>
      <c r="C112" s="336"/>
      <c r="D112" s="367"/>
      <c r="E112" s="279"/>
      <c r="F112" s="279"/>
      <c r="G112" s="141"/>
      <c r="H112" s="277"/>
      <c r="I112" s="277"/>
      <c r="J112" s="357"/>
      <c r="K112" s="356"/>
      <c r="L112" s="357"/>
      <c r="M112" s="273"/>
      <c r="N112" s="362"/>
      <c r="O112" s="356"/>
      <c r="P112" s="370"/>
      <c r="Q112" s="136"/>
    </row>
    <row r="113" spans="1:24" x14ac:dyDescent="0.25">
      <c r="A113" s="267"/>
      <c r="B113" s="265"/>
      <c r="C113" s="336"/>
      <c r="D113" s="367"/>
      <c r="E113" s="279"/>
      <c r="F113" s="279"/>
      <c r="G113" s="141"/>
      <c r="H113" s="277"/>
      <c r="I113" s="277"/>
      <c r="J113" s="357"/>
      <c r="K113" s="356"/>
      <c r="L113" s="357"/>
      <c r="M113" s="273"/>
      <c r="N113" s="362"/>
      <c r="O113" s="356"/>
      <c r="P113" s="370"/>
      <c r="Q113" s="136"/>
    </row>
    <row r="114" spans="1:24" ht="15.75" thickBot="1" x14ac:dyDescent="0.3">
      <c r="A114" s="267"/>
      <c r="B114" s="265"/>
      <c r="C114" s="336"/>
      <c r="D114" s="368"/>
      <c r="E114" s="279"/>
      <c r="F114" s="279"/>
      <c r="G114" s="141"/>
      <c r="H114" s="277"/>
      <c r="I114" s="277"/>
      <c r="J114" s="357"/>
      <c r="K114" s="356"/>
      <c r="L114" s="357"/>
      <c r="M114" s="273"/>
      <c r="N114" s="362"/>
      <c r="O114" s="356"/>
      <c r="P114" s="371"/>
      <c r="Q114" s="136"/>
    </row>
    <row r="115" spans="1:24" x14ac:dyDescent="0.25">
      <c r="A115" s="337" t="s">
        <v>170</v>
      </c>
      <c r="B115" s="265" t="s">
        <v>112</v>
      </c>
      <c r="C115" s="265" t="s">
        <v>113</v>
      </c>
      <c r="D115" s="361">
        <f>G27+AG27+AT27+BH27+CH27</f>
        <v>61.442800000000005</v>
      </c>
      <c r="E115" s="279"/>
      <c r="F115" s="279"/>
      <c r="G115" s="141"/>
      <c r="H115" s="264">
        <f>K27+AK27+AX27+BL27+CL27</f>
        <v>20684</v>
      </c>
      <c r="I115" s="264">
        <f>L27+AL27+AY27+BM27+CM27</f>
        <v>25500</v>
      </c>
      <c r="J115" s="357"/>
      <c r="K115" s="356"/>
      <c r="L115" s="357"/>
      <c r="M115" s="266">
        <f>H115+I115</f>
        <v>46184</v>
      </c>
      <c r="N115" s="319">
        <f>N27+AN19+BA19+BO19+CO19</f>
        <v>29000</v>
      </c>
      <c r="O115" s="356"/>
      <c r="P115" s="363">
        <f>MROUND(M115+N115,500)</f>
        <v>75000</v>
      </c>
      <c r="Q115" s="136"/>
    </row>
    <row r="116" spans="1:24" x14ac:dyDescent="0.25">
      <c r="A116" s="267"/>
      <c r="B116" s="265"/>
      <c r="C116" s="265"/>
      <c r="D116" s="361"/>
      <c r="E116" s="279"/>
      <c r="F116" s="279"/>
      <c r="G116" s="141"/>
      <c r="H116" s="264"/>
      <c r="I116" s="264"/>
      <c r="J116" s="357"/>
      <c r="K116" s="356"/>
      <c r="L116" s="357"/>
      <c r="M116" s="267"/>
      <c r="N116" s="320"/>
      <c r="O116" s="356"/>
      <c r="P116" s="364"/>
      <c r="Q116" s="136"/>
    </row>
    <row r="117" spans="1:24" x14ac:dyDescent="0.25">
      <c r="A117" s="267"/>
      <c r="B117" s="265"/>
      <c r="C117" s="265"/>
      <c r="D117" s="361"/>
      <c r="E117" s="279"/>
      <c r="F117" s="279"/>
      <c r="G117" s="141"/>
      <c r="H117" s="264"/>
      <c r="I117" s="264"/>
      <c r="J117" s="357"/>
      <c r="K117" s="356"/>
      <c r="L117" s="357"/>
      <c r="M117" s="267"/>
      <c r="N117" s="320"/>
      <c r="O117" s="356"/>
      <c r="P117" s="364"/>
      <c r="Q117" s="136"/>
    </row>
    <row r="118" spans="1:24" ht="15.75" thickBot="1" x14ac:dyDescent="0.3">
      <c r="A118" s="267"/>
      <c r="B118" s="265"/>
      <c r="C118" s="265"/>
      <c r="D118" s="361"/>
      <c r="E118" s="279"/>
      <c r="F118" s="279"/>
      <c r="G118" s="141"/>
      <c r="H118" s="264"/>
      <c r="I118" s="264"/>
      <c r="J118" s="357"/>
      <c r="K118" s="356"/>
      <c r="L118" s="357"/>
      <c r="M118" s="267"/>
      <c r="N118" s="320"/>
      <c r="O118" s="356"/>
      <c r="P118" s="365"/>
      <c r="Q118" s="136"/>
    </row>
    <row r="119" spans="1:24" x14ac:dyDescent="0.25">
      <c r="A119" s="267"/>
      <c r="B119" s="265"/>
      <c r="C119" s="336" t="s">
        <v>120</v>
      </c>
      <c r="D119" s="376">
        <f>G31+AG31+AT31+BH31+CH31</f>
        <v>82.105999999999995</v>
      </c>
      <c r="E119" s="279"/>
      <c r="F119" s="279"/>
      <c r="G119" s="141"/>
      <c r="H119" s="277">
        <f>K31+AK31+AX31+BL31+CL31</f>
        <v>28879</v>
      </c>
      <c r="I119" s="277">
        <f>L31+AL31+AY31+BM31+CM31</f>
        <v>25500</v>
      </c>
      <c r="J119" s="357"/>
      <c r="K119" s="356"/>
      <c r="L119" s="357"/>
      <c r="M119" s="272">
        <f>H119+I119</f>
        <v>54379</v>
      </c>
      <c r="N119" s="320"/>
      <c r="O119" s="356"/>
      <c r="P119" s="369">
        <f>MROUND(M119+N115,500)</f>
        <v>83500</v>
      </c>
      <c r="Q119" s="136"/>
      <c r="U119" s="165" t="s">
        <v>159</v>
      </c>
      <c r="V119" s="12">
        <f>22*1.5</f>
        <v>33</v>
      </c>
      <c r="W119" s="12">
        <v>304</v>
      </c>
      <c r="X119" s="12">
        <f>V119*W119</f>
        <v>10032</v>
      </c>
    </row>
    <row r="120" spans="1:24" x14ac:dyDescent="0.25">
      <c r="A120" s="267"/>
      <c r="B120" s="265"/>
      <c r="C120" s="336"/>
      <c r="D120" s="376"/>
      <c r="E120" s="279"/>
      <c r="F120" s="279"/>
      <c r="G120" s="141"/>
      <c r="H120" s="277"/>
      <c r="I120" s="277"/>
      <c r="J120" s="357"/>
      <c r="K120" s="356"/>
      <c r="L120" s="357"/>
      <c r="M120" s="273"/>
      <c r="N120" s="320"/>
      <c r="O120" s="356"/>
      <c r="P120" s="370"/>
      <c r="Q120" s="136"/>
      <c r="U120" s="165" t="s">
        <v>160</v>
      </c>
      <c r="V120" s="12">
        <v>4</v>
      </c>
      <c r="W120" s="12">
        <v>1061</v>
      </c>
      <c r="X120" s="23">
        <f t="shared" ref="X120:X124" si="165">V120*W120</f>
        <v>4244</v>
      </c>
    </row>
    <row r="121" spans="1:24" x14ac:dyDescent="0.25">
      <c r="A121" s="267"/>
      <c r="B121" s="265"/>
      <c r="C121" s="336"/>
      <c r="D121" s="376"/>
      <c r="E121" s="279"/>
      <c r="F121" s="279"/>
      <c r="G121" s="141"/>
      <c r="H121" s="277"/>
      <c r="I121" s="277"/>
      <c r="J121" s="357"/>
      <c r="K121" s="356"/>
      <c r="L121" s="357"/>
      <c r="M121" s="273"/>
      <c r="N121" s="320"/>
      <c r="O121" s="356"/>
      <c r="P121" s="370"/>
      <c r="Q121" s="136"/>
      <c r="U121" s="165" t="s">
        <v>161</v>
      </c>
      <c r="V121" s="12">
        <f>16*1.5</f>
        <v>24</v>
      </c>
      <c r="W121" s="12">
        <v>270</v>
      </c>
      <c r="X121" s="23">
        <f t="shared" si="165"/>
        <v>6480</v>
      </c>
    </row>
    <row r="122" spans="1:24" ht="15.75" thickBot="1" x14ac:dyDescent="0.3">
      <c r="A122" s="267"/>
      <c r="B122" s="265"/>
      <c r="C122" s="336"/>
      <c r="D122" s="376"/>
      <c r="E122" s="279"/>
      <c r="F122" s="279"/>
      <c r="G122" s="141"/>
      <c r="H122" s="277"/>
      <c r="I122" s="277"/>
      <c r="J122" s="357"/>
      <c r="K122" s="356"/>
      <c r="L122" s="357"/>
      <c r="M122" s="273"/>
      <c r="N122" s="321"/>
      <c r="O122" s="356"/>
      <c r="P122" s="371"/>
      <c r="Q122" s="136"/>
      <c r="U122" s="165" t="s">
        <v>162</v>
      </c>
      <c r="V122" s="12">
        <v>22</v>
      </c>
      <c r="W122" s="12">
        <v>667</v>
      </c>
      <c r="X122" s="23">
        <f t="shared" si="165"/>
        <v>14674</v>
      </c>
    </row>
    <row r="123" spans="1:24" x14ac:dyDescent="0.25">
      <c r="A123" s="352" t="s">
        <v>171</v>
      </c>
      <c r="B123" s="265" t="s">
        <v>112</v>
      </c>
      <c r="C123" s="265" t="s">
        <v>113</v>
      </c>
      <c r="D123" s="361">
        <f>G35+AG35+AT35+BH35+CH35</f>
        <v>68.412800000000004</v>
      </c>
      <c r="E123" s="279"/>
      <c r="F123" s="279"/>
      <c r="G123" s="141"/>
      <c r="H123" s="264">
        <f>K35+AK35+AX35+BL35+CL35</f>
        <v>22341</v>
      </c>
      <c r="I123" s="264">
        <f>L35+AL35+AY35+BM35+CM35</f>
        <v>28000</v>
      </c>
      <c r="J123" s="357"/>
      <c r="K123" s="356"/>
      <c r="L123" s="357"/>
      <c r="M123" s="266">
        <f>H123+I123</f>
        <v>50341</v>
      </c>
      <c r="N123" s="333">
        <f>N35+AN35+BA35+BO35+CO35</f>
        <v>31000</v>
      </c>
      <c r="O123" s="356"/>
      <c r="P123" s="363">
        <f>MROUND(M123+N123,500)</f>
        <v>81500</v>
      </c>
      <c r="Q123" s="136"/>
      <c r="U123" s="165" t="s">
        <v>163</v>
      </c>
      <c r="V123" s="12">
        <v>11</v>
      </c>
      <c r="W123" s="12">
        <v>579</v>
      </c>
      <c r="X123" s="23">
        <f t="shared" si="165"/>
        <v>6369</v>
      </c>
    </row>
    <row r="124" spans="1:24" x14ac:dyDescent="0.25">
      <c r="A124" s="353"/>
      <c r="B124" s="265"/>
      <c r="C124" s="265"/>
      <c r="D124" s="361"/>
      <c r="E124" s="279"/>
      <c r="F124" s="279"/>
      <c r="G124" s="141"/>
      <c r="H124" s="264"/>
      <c r="I124" s="264"/>
      <c r="J124" s="357"/>
      <c r="K124" s="356"/>
      <c r="L124" s="357"/>
      <c r="M124" s="267"/>
      <c r="N124" s="377"/>
      <c r="O124" s="356"/>
      <c r="P124" s="364"/>
      <c r="Q124" s="136"/>
      <c r="U124" s="165" t="s">
        <v>164</v>
      </c>
      <c r="V124" s="12">
        <v>3</v>
      </c>
      <c r="W124" s="12">
        <v>504</v>
      </c>
      <c r="X124" s="23">
        <f t="shared" si="165"/>
        <v>1512</v>
      </c>
    </row>
    <row r="125" spans="1:24" x14ac:dyDescent="0.25">
      <c r="A125" s="353"/>
      <c r="B125" s="265"/>
      <c r="C125" s="265"/>
      <c r="D125" s="361"/>
      <c r="E125" s="279"/>
      <c r="F125" s="279"/>
      <c r="G125" s="141"/>
      <c r="H125" s="264"/>
      <c r="I125" s="264"/>
      <c r="J125" s="357"/>
      <c r="K125" s="356"/>
      <c r="L125" s="357"/>
      <c r="M125" s="267"/>
      <c r="N125" s="377"/>
      <c r="O125" s="356"/>
      <c r="P125" s="364"/>
      <c r="Q125" s="136"/>
      <c r="X125" s="12">
        <f>X119+X120+X121+X122+X123+X124</f>
        <v>43311</v>
      </c>
    </row>
    <row r="126" spans="1:24" ht="15.75" thickBot="1" x14ac:dyDescent="0.3">
      <c r="A126" s="353"/>
      <c r="B126" s="265"/>
      <c r="C126" s="265"/>
      <c r="D126" s="361"/>
      <c r="E126" s="279"/>
      <c r="F126" s="279"/>
      <c r="G126" s="141"/>
      <c r="H126" s="264"/>
      <c r="I126" s="264"/>
      <c r="J126" s="357"/>
      <c r="K126" s="356"/>
      <c r="L126" s="357"/>
      <c r="M126" s="267"/>
      <c r="N126" s="377"/>
      <c r="O126" s="356"/>
      <c r="P126" s="365"/>
      <c r="Q126" s="136"/>
    </row>
    <row r="127" spans="1:24" x14ac:dyDescent="0.25">
      <c r="A127" s="353"/>
      <c r="B127" s="265"/>
      <c r="C127" s="336" t="s">
        <v>120</v>
      </c>
      <c r="D127" s="376">
        <f>G39+AG39+AT39+BH39+CH39</f>
        <v>88.925999999999988</v>
      </c>
      <c r="E127" s="279"/>
      <c r="F127" s="279"/>
      <c r="G127" s="141"/>
      <c r="H127" s="277">
        <f>K39+AK39+AX39+BL39+CL39</f>
        <v>30757</v>
      </c>
      <c r="I127" s="277">
        <f>L39+AL39+AY39+BM39+CM39</f>
        <v>28000</v>
      </c>
      <c r="J127" s="357"/>
      <c r="K127" s="356"/>
      <c r="L127" s="357"/>
      <c r="M127" s="272">
        <f>H127+I127</f>
        <v>58757</v>
      </c>
      <c r="N127" s="377"/>
      <c r="O127" s="356"/>
      <c r="P127" s="369">
        <f>MROUND(M127+N123,500)</f>
        <v>90000</v>
      </c>
      <c r="Q127" s="136"/>
    </row>
    <row r="128" spans="1:24" x14ac:dyDescent="0.25">
      <c r="A128" s="353"/>
      <c r="B128" s="265"/>
      <c r="C128" s="336"/>
      <c r="D128" s="376"/>
      <c r="E128" s="279"/>
      <c r="F128" s="279"/>
      <c r="G128" s="141"/>
      <c r="H128" s="277"/>
      <c r="I128" s="277"/>
      <c r="J128" s="357"/>
      <c r="K128" s="356"/>
      <c r="L128" s="357"/>
      <c r="M128" s="273"/>
      <c r="N128" s="377"/>
      <c r="O128" s="356"/>
      <c r="P128" s="370"/>
      <c r="Q128" s="136"/>
    </row>
    <row r="129" spans="1:17" x14ac:dyDescent="0.25">
      <c r="A129" s="353"/>
      <c r="B129" s="265"/>
      <c r="C129" s="336"/>
      <c r="D129" s="376"/>
      <c r="E129" s="279"/>
      <c r="F129" s="279"/>
      <c r="G129" s="141"/>
      <c r="H129" s="277"/>
      <c r="I129" s="277"/>
      <c r="J129" s="357"/>
      <c r="K129" s="356"/>
      <c r="L129" s="357"/>
      <c r="M129" s="273"/>
      <c r="N129" s="377"/>
      <c r="O129" s="356"/>
      <c r="P129" s="370"/>
      <c r="Q129" s="136"/>
    </row>
    <row r="130" spans="1:17" ht="15.75" thickBot="1" x14ac:dyDescent="0.3">
      <c r="A130" s="353"/>
      <c r="B130" s="265"/>
      <c r="C130" s="336"/>
      <c r="D130" s="376"/>
      <c r="E130" s="279"/>
      <c r="F130" s="279"/>
      <c r="G130" s="141"/>
      <c r="H130" s="277"/>
      <c r="I130" s="277"/>
      <c r="J130" s="357"/>
      <c r="K130" s="356"/>
      <c r="L130" s="357"/>
      <c r="M130" s="273"/>
      <c r="N130" s="378"/>
      <c r="O130" s="356"/>
      <c r="P130" s="371"/>
      <c r="Q130" s="136"/>
    </row>
    <row r="131" spans="1:17" ht="15" hidden="1" customHeight="1" x14ac:dyDescent="0.25">
      <c r="A131" s="352" t="s">
        <v>176</v>
      </c>
      <c r="B131" s="265" t="s">
        <v>112</v>
      </c>
      <c r="C131" s="265" t="s">
        <v>113</v>
      </c>
      <c r="D131" s="374">
        <f>G43+T43+AG43+AT43+BH43+BU43+CH43</f>
        <v>30.206</v>
      </c>
      <c r="E131" s="279"/>
      <c r="F131" s="279"/>
      <c r="G131" s="141"/>
      <c r="H131" s="386">
        <f>K43+X43+AK43+AX43+BL43+BY43+CL43</f>
        <v>15790</v>
      </c>
      <c r="I131" s="220">
        <v>16</v>
      </c>
      <c r="J131" s="357"/>
      <c r="K131" s="356"/>
      <c r="L131" s="357"/>
      <c r="M131" s="379"/>
      <c r="N131" s="333">
        <f>I131*J131*1.1</f>
        <v>0</v>
      </c>
      <c r="O131" s="356"/>
      <c r="P131" s="381">
        <f>MROUND(M131+N131,500)</f>
        <v>0</v>
      </c>
      <c r="Q131" s="136"/>
    </row>
    <row r="132" spans="1:17" ht="15" hidden="1" customHeight="1" x14ac:dyDescent="0.25">
      <c r="A132" s="353"/>
      <c r="B132" s="265"/>
      <c r="C132" s="265"/>
      <c r="D132" s="374"/>
      <c r="E132" s="279"/>
      <c r="F132" s="279"/>
      <c r="G132" s="141"/>
      <c r="H132" s="386"/>
      <c r="I132" s="220"/>
      <c r="J132" s="357"/>
      <c r="K132" s="356"/>
      <c r="L132" s="357"/>
      <c r="M132" s="380"/>
      <c r="N132" s="377"/>
      <c r="O132" s="356"/>
      <c r="P132" s="382"/>
      <c r="Q132" s="136"/>
    </row>
    <row r="133" spans="1:17" ht="15" hidden="1" customHeight="1" x14ac:dyDescent="0.25">
      <c r="A133" s="353"/>
      <c r="B133" s="265"/>
      <c r="C133" s="265"/>
      <c r="D133" s="374"/>
      <c r="E133" s="279"/>
      <c r="F133" s="279"/>
      <c r="G133" s="141"/>
      <c r="H133" s="386"/>
      <c r="I133" s="220"/>
      <c r="J133" s="357"/>
      <c r="K133" s="356"/>
      <c r="L133" s="357"/>
      <c r="M133" s="380"/>
      <c r="N133" s="377"/>
      <c r="O133" s="356"/>
      <c r="P133" s="382"/>
      <c r="Q133" s="136"/>
    </row>
    <row r="134" spans="1:17" ht="15" hidden="1" customHeight="1" x14ac:dyDescent="0.25">
      <c r="A134" s="353"/>
      <c r="B134" s="265"/>
      <c r="C134" s="265"/>
      <c r="D134" s="374"/>
      <c r="E134" s="279"/>
      <c r="F134" s="279"/>
      <c r="G134" s="141"/>
      <c r="H134" s="386"/>
      <c r="I134" s="220"/>
      <c r="J134" s="357"/>
      <c r="K134" s="356"/>
      <c r="L134" s="357"/>
      <c r="M134" s="380"/>
      <c r="N134" s="377"/>
      <c r="O134" s="356"/>
      <c r="P134" s="382"/>
      <c r="Q134" s="136"/>
    </row>
    <row r="135" spans="1:17" ht="15" hidden="1" customHeight="1" x14ac:dyDescent="0.25">
      <c r="A135" s="353"/>
      <c r="B135" s="265"/>
      <c r="C135" s="336" t="s">
        <v>120</v>
      </c>
      <c r="D135" s="359">
        <f>G47+T47+AG47+AT47+BH47+BU47+CH47</f>
        <v>117.91600000000001</v>
      </c>
      <c r="E135" s="279"/>
      <c r="F135" s="279"/>
      <c r="G135" s="141"/>
      <c r="H135" s="386">
        <f>K47+X47+AK47+AX47+BL47+BY47+CL47</f>
        <v>37711</v>
      </c>
      <c r="I135" s="220"/>
      <c r="J135" s="357"/>
      <c r="K135" s="356"/>
      <c r="L135" s="357"/>
      <c r="M135" s="379"/>
      <c r="N135" s="377"/>
      <c r="O135" s="356"/>
      <c r="P135" s="382">
        <f>MROUND(M135+N131,500)</f>
        <v>0</v>
      </c>
      <c r="Q135" s="136"/>
    </row>
    <row r="136" spans="1:17" ht="15" hidden="1" customHeight="1" x14ac:dyDescent="0.25">
      <c r="A136" s="353"/>
      <c r="B136" s="265"/>
      <c r="C136" s="336"/>
      <c r="D136" s="359"/>
      <c r="E136" s="279"/>
      <c r="F136" s="279"/>
      <c r="G136" s="141"/>
      <c r="H136" s="386"/>
      <c r="I136" s="220"/>
      <c r="J136" s="357"/>
      <c r="K136" s="356"/>
      <c r="L136" s="357"/>
      <c r="M136" s="380"/>
      <c r="N136" s="377"/>
      <c r="O136" s="356"/>
      <c r="P136" s="382"/>
      <c r="Q136" s="136"/>
    </row>
    <row r="137" spans="1:17" ht="15" hidden="1" customHeight="1" x14ac:dyDescent="0.25">
      <c r="A137" s="353"/>
      <c r="B137" s="265"/>
      <c r="C137" s="336"/>
      <c r="D137" s="359"/>
      <c r="E137" s="279"/>
      <c r="F137" s="279"/>
      <c r="G137" s="141"/>
      <c r="H137" s="386"/>
      <c r="I137" s="220"/>
      <c r="J137" s="357"/>
      <c r="K137" s="356"/>
      <c r="L137" s="357"/>
      <c r="M137" s="380"/>
      <c r="N137" s="377"/>
      <c r="O137" s="356"/>
      <c r="P137" s="382"/>
      <c r="Q137" s="136"/>
    </row>
    <row r="138" spans="1:17" ht="15" hidden="1" customHeight="1" x14ac:dyDescent="0.25">
      <c r="A138" s="353"/>
      <c r="B138" s="265"/>
      <c r="C138" s="336"/>
      <c r="D138" s="359"/>
      <c r="E138" s="279"/>
      <c r="F138" s="279"/>
      <c r="G138" s="141"/>
      <c r="H138" s="386"/>
      <c r="I138" s="220"/>
      <c r="J138" s="357"/>
      <c r="K138" s="356"/>
      <c r="L138" s="357"/>
      <c r="M138" s="380"/>
      <c r="N138" s="378"/>
      <c r="O138" s="356"/>
      <c r="P138" s="382"/>
      <c r="Q138" s="136"/>
    </row>
    <row r="139" spans="1:17" ht="15" hidden="1" customHeight="1" x14ac:dyDescent="0.25">
      <c r="A139" s="385" t="s">
        <v>110</v>
      </c>
      <c r="B139" s="265" t="s">
        <v>112</v>
      </c>
      <c r="C139" s="265" t="s">
        <v>113</v>
      </c>
      <c r="D139" s="374">
        <f>G51+T51+AG51+AT51+BH51+BU51+CH51</f>
        <v>27.4528</v>
      </c>
      <c r="E139" s="279"/>
      <c r="F139" s="279"/>
      <c r="G139" s="141"/>
      <c r="H139" s="386">
        <f>K51+X51+AK51+AX51+BL51+BY51+CL51</f>
        <v>13359.5</v>
      </c>
      <c r="I139" s="220">
        <v>16</v>
      </c>
      <c r="J139" s="357"/>
      <c r="K139" s="356"/>
      <c r="L139" s="357"/>
      <c r="M139" s="379"/>
      <c r="N139" s="333">
        <f>I139*J139*1.1</f>
        <v>0</v>
      </c>
      <c r="O139" s="356"/>
      <c r="P139" s="382">
        <f>MROUND(M139+N139,500)</f>
        <v>0</v>
      </c>
      <c r="Q139" s="136"/>
    </row>
    <row r="140" spans="1:17" ht="15" hidden="1" customHeight="1" x14ac:dyDescent="0.25">
      <c r="A140" s="267"/>
      <c r="B140" s="265"/>
      <c r="C140" s="265"/>
      <c r="D140" s="374"/>
      <c r="E140" s="279"/>
      <c r="F140" s="279"/>
      <c r="G140" s="141"/>
      <c r="H140" s="386"/>
      <c r="I140" s="220"/>
      <c r="J140" s="357"/>
      <c r="K140" s="356"/>
      <c r="L140" s="357"/>
      <c r="M140" s="380"/>
      <c r="N140" s="377"/>
      <c r="O140" s="356"/>
      <c r="P140" s="382"/>
      <c r="Q140" s="136"/>
    </row>
    <row r="141" spans="1:17" ht="15" hidden="1" customHeight="1" x14ac:dyDescent="0.25">
      <c r="A141" s="267"/>
      <c r="B141" s="265"/>
      <c r="C141" s="265"/>
      <c r="D141" s="374"/>
      <c r="E141" s="279"/>
      <c r="F141" s="279"/>
      <c r="G141" s="141"/>
      <c r="H141" s="386"/>
      <c r="I141" s="220"/>
      <c r="J141" s="357"/>
      <c r="K141" s="356"/>
      <c r="L141" s="357"/>
      <c r="M141" s="380"/>
      <c r="N141" s="377"/>
      <c r="O141" s="356"/>
      <c r="P141" s="382"/>
      <c r="Q141" s="136"/>
    </row>
    <row r="142" spans="1:17" ht="15" hidden="1" customHeight="1" x14ac:dyDescent="0.25">
      <c r="A142" s="267"/>
      <c r="B142" s="265"/>
      <c r="C142" s="265"/>
      <c r="D142" s="374"/>
      <c r="E142" s="279"/>
      <c r="F142" s="279"/>
      <c r="G142" s="141"/>
      <c r="H142" s="386"/>
      <c r="I142" s="220"/>
      <c r="J142" s="357"/>
      <c r="K142" s="356"/>
      <c r="L142" s="357"/>
      <c r="M142" s="380"/>
      <c r="N142" s="377"/>
      <c r="O142" s="356"/>
      <c r="P142" s="382"/>
      <c r="Q142" s="136"/>
    </row>
    <row r="143" spans="1:17" ht="15" hidden="1" customHeight="1" x14ac:dyDescent="0.25">
      <c r="A143" s="267"/>
      <c r="B143" s="265"/>
      <c r="C143" s="336" t="s">
        <v>120</v>
      </c>
      <c r="D143" s="359">
        <f>G55+T55+AG55+AT55+BH55+BU55+CH55</f>
        <v>105.04280000000001</v>
      </c>
      <c r="E143" s="279"/>
      <c r="F143" s="279"/>
      <c r="G143" s="141"/>
      <c r="H143" s="386">
        <f>K55+X55+AK55+AX55+BL55+BY55+CL55</f>
        <v>34219</v>
      </c>
      <c r="I143" s="220"/>
      <c r="J143" s="357"/>
      <c r="K143" s="356"/>
      <c r="L143" s="357"/>
      <c r="M143" s="379"/>
      <c r="N143" s="377"/>
      <c r="O143" s="356"/>
      <c r="P143" s="382">
        <f>MROUND(M143+N139,500)</f>
        <v>0</v>
      </c>
      <c r="Q143" s="136"/>
    </row>
    <row r="144" spans="1:17" ht="15" hidden="1" customHeight="1" x14ac:dyDescent="0.25">
      <c r="A144" s="267"/>
      <c r="B144" s="265"/>
      <c r="C144" s="336"/>
      <c r="D144" s="359"/>
      <c r="E144" s="279"/>
      <c r="F144" s="279"/>
      <c r="G144" s="141"/>
      <c r="H144" s="386"/>
      <c r="I144" s="220"/>
      <c r="J144" s="357"/>
      <c r="K144" s="356"/>
      <c r="L144" s="357"/>
      <c r="M144" s="380"/>
      <c r="N144" s="377"/>
      <c r="O144" s="356"/>
      <c r="P144" s="382"/>
      <c r="Q144" s="136"/>
    </row>
    <row r="145" spans="1:17" ht="15" hidden="1" customHeight="1" x14ac:dyDescent="0.25">
      <c r="A145" s="267"/>
      <c r="B145" s="265"/>
      <c r="C145" s="336"/>
      <c r="D145" s="359"/>
      <c r="E145" s="279"/>
      <c r="F145" s="279"/>
      <c r="G145" s="141"/>
      <c r="H145" s="386"/>
      <c r="I145" s="220"/>
      <c r="J145" s="357"/>
      <c r="K145" s="356"/>
      <c r="L145" s="357"/>
      <c r="M145" s="380"/>
      <c r="N145" s="377"/>
      <c r="O145" s="356"/>
      <c r="P145" s="382"/>
      <c r="Q145" s="136"/>
    </row>
    <row r="146" spans="1:17" ht="15" hidden="1" customHeight="1" x14ac:dyDescent="0.25">
      <c r="A146" s="267"/>
      <c r="B146" s="265"/>
      <c r="C146" s="336"/>
      <c r="D146" s="359"/>
      <c r="E146" s="279"/>
      <c r="F146" s="279"/>
      <c r="G146" s="141"/>
      <c r="H146" s="386"/>
      <c r="I146" s="220"/>
      <c r="J146" s="357"/>
      <c r="K146" s="356"/>
      <c r="L146" s="357"/>
      <c r="M146" s="380"/>
      <c r="N146" s="378"/>
      <c r="O146" s="356"/>
      <c r="P146" s="382"/>
      <c r="Q146" s="136"/>
    </row>
    <row r="147" spans="1:17" ht="15" hidden="1" customHeight="1" x14ac:dyDescent="0.25">
      <c r="A147" s="385" t="s">
        <v>111</v>
      </c>
      <c r="B147" s="265" t="s">
        <v>112</v>
      </c>
      <c r="C147" s="265" t="s">
        <v>113</v>
      </c>
      <c r="D147" s="374">
        <f>G59+T59+AG59+AT59+BH59+BU59+CH59</f>
        <v>29.449199999999998</v>
      </c>
      <c r="E147" s="279"/>
      <c r="F147" s="279"/>
      <c r="G147" s="141"/>
      <c r="H147" s="386">
        <f>K59+X59+AK59+AX59+BL59+BY59+CL59</f>
        <v>16340</v>
      </c>
      <c r="I147" s="220">
        <v>24</v>
      </c>
      <c r="J147" s="357"/>
      <c r="K147" s="356"/>
      <c r="L147" s="357"/>
      <c r="M147" s="379"/>
      <c r="N147" s="333">
        <f>I147*J147*1.1</f>
        <v>0</v>
      </c>
      <c r="O147" s="356"/>
      <c r="P147" s="382">
        <f>MROUND(M147+N147,500)</f>
        <v>0</v>
      </c>
      <c r="Q147" s="136"/>
    </row>
    <row r="148" spans="1:17" ht="15" hidden="1" customHeight="1" x14ac:dyDescent="0.25">
      <c r="A148" s="267"/>
      <c r="B148" s="265"/>
      <c r="C148" s="265"/>
      <c r="D148" s="374"/>
      <c r="E148" s="279"/>
      <c r="F148" s="279"/>
      <c r="G148" s="141"/>
      <c r="H148" s="386"/>
      <c r="I148" s="220"/>
      <c r="J148" s="357"/>
      <c r="K148" s="356"/>
      <c r="L148" s="357"/>
      <c r="M148" s="380"/>
      <c r="N148" s="377"/>
      <c r="O148" s="356"/>
      <c r="P148" s="382"/>
      <c r="Q148" s="136"/>
    </row>
    <row r="149" spans="1:17" ht="15" hidden="1" customHeight="1" x14ac:dyDescent="0.25">
      <c r="A149" s="267"/>
      <c r="B149" s="265"/>
      <c r="C149" s="265"/>
      <c r="D149" s="374"/>
      <c r="E149" s="279"/>
      <c r="F149" s="279"/>
      <c r="G149" s="141"/>
      <c r="H149" s="386"/>
      <c r="I149" s="220"/>
      <c r="J149" s="357"/>
      <c r="K149" s="356"/>
      <c r="L149" s="357"/>
      <c r="M149" s="380"/>
      <c r="N149" s="377"/>
      <c r="O149" s="356"/>
      <c r="P149" s="382"/>
      <c r="Q149" s="136"/>
    </row>
    <row r="150" spans="1:17" ht="15" hidden="1" customHeight="1" x14ac:dyDescent="0.25">
      <c r="A150" s="267"/>
      <c r="B150" s="265"/>
      <c r="C150" s="265"/>
      <c r="D150" s="374"/>
      <c r="E150" s="279"/>
      <c r="F150" s="279"/>
      <c r="G150" s="141"/>
      <c r="H150" s="386"/>
      <c r="I150" s="220"/>
      <c r="J150" s="357"/>
      <c r="K150" s="356"/>
      <c r="L150" s="357"/>
      <c r="M150" s="380"/>
      <c r="N150" s="377"/>
      <c r="O150" s="356"/>
      <c r="P150" s="382"/>
      <c r="Q150" s="136"/>
    </row>
    <row r="151" spans="1:17" ht="15" hidden="1" customHeight="1" x14ac:dyDescent="0.25">
      <c r="A151" s="267"/>
      <c r="B151" s="265"/>
      <c r="C151" s="336" t="s">
        <v>120</v>
      </c>
      <c r="D151" s="359">
        <f>G63+T63+AG63+AT63+BH63+BU63+CH63</f>
        <v>122.6992</v>
      </c>
      <c r="E151" s="279"/>
      <c r="F151" s="279"/>
      <c r="G151" s="141"/>
      <c r="H151" s="386">
        <f>K63+X63+AK63+AX63+BL63+BY63+CL63</f>
        <v>39581</v>
      </c>
      <c r="I151" s="220"/>
      <c r="J151" s="357"/>
      <c r="K151" s="356"/>
      <c r="L151" s="357"/>
      <c r="M151" s="379"/>
      <c r="N151" s="377"/>
      <c r="O151" s="356"/>
      <c r="P151" s="382">
        <f>MROUND(M151+N147,500)</f>
        <v>0</v>
      </c>
      <c r="Q151" s="136"/>
    </row>
    <row r="152" spans="1:17" ht="15" hidden="1" customHeight="1" x14ac:dyDescent="0.25">
      <c r="A152" s="267"/>
      <c r="B152" s="265"/>
      <c r="C152" s="336"/>
      <c r="D152" s="359"/>
      <c r="E152" s="279"/>
      <c r="F152" s="279"/>
      <c r="G152" s="141"/>
      <c r="H152" s="386"/>
      <c r="I152" s="220"/>
      <c r="J152" s="357"/>
      <c r="K152" s="356"/>
      <c r="L152" s="357"/>
      <c r="M152" s="380"/>
      <c r="N152" s="377"/>
      <c r="O152" s="356"/>
      <c r="P152" s="382"/>
      <c r="Q152" s="136"/>
    </row>
    <row r="153" spans="1:17" ht="15" hidden="1" customHeight="1" x14ac:dyDescent="0.25">
      <c r="A153" s="267"/>
      <c r="B153" s="265"/>
      <c r="C153" s="336"/>
      <c r="D153" s="359"/>
      <c r="E153" s="279"/>
      <c r="F153" s="279"/>
      <c r="G153" s="141"/>
      <c r="H153" s="386"/>
      <c r="I153" s="220"/>
      <c r="J153" s="357"/>
      <c r="K153" s="356"/>
      <c r="L153" s="357"/>
      <c r="M153" s="380"/>
      <c r="N153" s="377"/>
      <c r="O153" s="356"/>
      <c r="P153" s="382"/>
      <c r="Q153" s="136"/>
    </row>
    <row r="154" spans="1:17" ht="15" hidden="1" customHeight="1" x14ac:dyDescent="0.25">
      <c r="A154" s="267"/>
      <c r="B154" s="265"/>
      <c r="C154" s="336"/>
      <c r="D154" s="359"/>
      <c r="E154" s="279"/>
      <c r="F154" s="279"/>
      <c r="G154" s="141"/>
      <c r="H154" s="386"/>
      <c r="I154" s="220"/>
      <c r="J154" s="357"/>
      <c r="K154" s="356"/>
      <c r="L154" s="357"/>
      <c r="M154" s="380"/>
      <c r="N154" s="378"/>
      <c r="O154" s="356"/>
      <c r="P154" s="383"/>
      <c r="Q154" s="136"/>
    </row>
    <row r="155" spans="1:17" x14ac:dyDescent="0.25">
      <c r="A155" s="337" t="s">
        <v>175</v>
      </c>
      <c r="B155" s="265" t="s">
        <v>112</v>
      </c>
      <c r="C155" s="265" t="s">
        <v>113</v>
      </c>
      <c r="D155" s="361">
        <f>G67+AG67+AT67+BH67+CH67</f>
        <v>68.412800000000004</v>
      </c>
      <c r="E155" s="279"/>
      <c r="F155" s="279"/>
      <c r="G155" s="141"/>
      <c r="H155" s="264">
        <f>K67+AK67+AX67+BL67+CL67</f>
        <v>22341</v>
      </c>
      <c r="I155" s="264">
        <f>L67+AL67+AY67+BM67+CM67</f>
        <v>29300</v>
      </c>
      <c r="J155" s="357"/>
      <c r="K155" s="356"/>
      <c r="L155" s="357"/>
      <c r="M155" s="266">
        <f>H155+I155</f>
        <v>51641</v>
      </c>
      <c r="N155" s="333">
        <f>N67+AN67+BA67+BO67+CO67</f>
        <v>32500</v>
      </c>
      <c r="O155" s="356"/>
      <c r="P155" s="363">
        <f>MROUND(M155+N155,500)</f>
        <v>84000</v>
      </c>
      <c r="Q155" s="136"/>
    </row>
    <row r="156" spans="1:17" x14ac:dyDescent="0.25">
      <c r="A156" s="267"/>
      <c r="B156" s="265"/>
      <c r="C156" s="265"/>
      <c r="D156" s="361"/>
      <c r="E156" s="279"/>
      <c r="F156" s="279"/>
      <c r="G156" s="141"/>
      <c r="H156" s="264"/>
      <c r="I156" s="264"/>
      <c r="J156" s="357"/>
      <c r="K156" s="356"/>
      <c r="L156" s="357"/>
      <c r="M156" s="267"/>
      <c r="N156" s="377"/>
      <c r="O156" s="356"/>
      <c r="P156" s="364"/>
      <c r="Q156" s="136"/>
    </row>
    <row r="157" spans="1:17" x14ac:dyDescent="0.25">
      <c r="A157" s="267"/>
      <c r="B157" s="265"/>
      <c r="C157" s="265"/>
      <c r="D157" s="361"/>
      <c r="E157" s="279"/>
      <c r="F157" s="279"/>
      <c r="G157" s="141"/>
      <c r="H157" s="264"/>
      <c r="I157" s="264"/>
      <c r="J157" s="357"/>
      <c r="K157" s="356"/>
      <c r="L157" s="357"/>
      <c r="M157" s="267"/>
      <c r="N157" s="377"/>
      <c r="O157" s="356"/>
      <c r="P157" s="364"/>
      <c r="Q157" s="136"/>
    </row>
    <row r="158" spans="1:17" ht="15.75" thickBot="1" x14ac:dyDescent="0.3">
      <c r="A158" s="267"/>
      <c r="B158" s="265"/>
      <c r="C158" s="265"/>
      <c r="D158" s="361"/>
      <c r="E158" s="279"/>
      <c r="F158" s="279"/>
      <c r="G158" s="141"/>
      <c r="H158" s="264"/>
      <c r="I158" s="264"/>
      <c r="J158" s="357"/>
      <c r="K158" s="356"/>
      <c r="L158" s="357"/>
      <c r="M158" s="267"/>
      <c r="N158" s="377"/>
      <c r="O158" s="356"/>
      <c r="P158" s="365"/>
      <c r="Q158" s="136"/>
    </row>
    <row r="159" spans="1:17" x14ac:dyDescent="0.25">
      <c r="A159" s="267"/>
      <c r="B159" s="265"/>
      <c r="C159" s="336" t="s">
        <v>120</v>
      </c>
      <c r="D159" s="376">
        <f>G71+AG71+AT71+BH71+CH71</f>
        <v>88.505999999999986</v>
      </c>
      <c r="E159" s="279"/>
      <c r="F159" s="279"/>
      <c r="G159" s="141"/>
      <c r="H159" s="277">
        <f>K71+AK71+AX71+BL71+CL71</f>
        <v>30826</v>
      </c>
      <c r="I159" s="277">
        <f>L71+AL71+AY71+BM71+CM71</f>
        <v>29300</v>
      </c>
      <c r="J159" s="357"/>
      <c r="K159" s="356"/>
      <c r="L159" s="357"/>
      <c r="M159" s="272">
        <f>H159+I159</f>
        <v>60126</v>
      </c>
      <c r="N159" s="377"/>
      <c r="O159" s="356"/>
      <c r="P159" s="369">
        <f>MROUND(M159+N155,500)</f>
        <v>92500</v>
      </c>
      <c r="Q159" s="136"/>
    </row>
    <row r="160" spans="1:17" x14ac:dyDescent="0.25">
      <c r="A160" s="267"/>
      <c r="B160" s="265"/>
      <c r="C160" s="336"/>
      <c r="D160" s="376"/>
      <c r="E160" s="279"/>
      <c r="F160" s="279"/>
      <c r="G160" s="141"/>
      <c r="H160" s="277"/>
      <c r="I160" s="277"/>
      <c r="J160" s="357"/>
      <c r="K160" s="356"/>
      <c r="L160" s="357"/>
      <c r="M160" s="273"/>
      <c r="N160" s="377"/>
      <c r="O160" s="356"/>
      <c r="P160" s="370"/>
      <c r="Q160" s="136"/>
    </row>
    <row r="161" spans="1:17" x14ac:dyDescent="0.25">
      <c r="A161" s="267"/>
      <c r="B161" s="265"/>
      <c r="C161" s="336"/>
      <c r="D161" s="376"/>
      <c r="E161" s="279"/>
      <c r="F161" s="279"/>
      <c r="G161" s="141"/>
      <c r="H161" s="277"/>
      <c r="I161" s="277"/>
      <c r="J161" s="357"/>
      <c r="K161" s="356"/>
      <c r="L161" s="357"/>
      <c r="M161" s="273"/>
      <c r="N161" s="377"/>
      <c r="O161" s="356"/>
      <c r="P161" s="370"/>
      <c r="Q161" s="136"/>
    </row>
    <row r="162" spans="1:17" ht="15.75" thickBot="1" x14ac:dyDescent="0.3">
      <c r="A162" s="267"/>
      <c r="B162" s="265"/>
      <c r="C162" s="336"/>
      <c r="D162" s="376"/>
      <c r="E162" s="279"/>
      <c r="F162" s="279"/>
      <c r="G162" s="141"/>
      <c r="H162" s="277"/>
      <c r="I162" s="277"/>
      <c r="J162" s="357"/>
      <c r="K162" s="356"/>
      <c r="L162" s="357"/>
      <c r="M162" s="273"/>
      <c r="N162" s="378"/>
      <c r="O162" s="356"/>
      <c r="P162" s="371"/>
      <c r="Q162" s="136"/>
    </row>
    <row r="163" spans="1:17" x14ac:dyDescent="0.25">
      <c r="A163" s="352" t="s">
        <v>174</v>
      </c>
      <c r="B163" s="265" t="s">
        <v>112</v>
      </c>
      <c r="C163" s="265" t="s">
        <v>113</v>
      </c>
      <c r="D163" s="361">
        <f>G75+AG75+AT75+BH75+CH75</f>
        <v>74.112800000000007</v>
      </c>
      <c r="E163" s="279"/>
      <c r="F163" s="279"/>
      <c r="G163" s="141"/>
      <c r="H163" s="264">
        <f>K75+AK75+AX75+BL75+CL75</f>
        <v>24752</v>
      </c>
      <c r="I163" s="264">
        <f>L75+AL75+AY75+BM75+CM75</f>
        <v>32000</v>
      </c>
      <c r="J163" s="357"/>
      <c r="K163" s="356"/>
      <c r="L163" s="357"/>
      <c r="M163" s="266">
        <f>H163+I163</f>
        <v>56752</v>
      </c>
      <c r="N163" s="333">
        <f>N75+AN75+BA75+BO75+CO75</f>
        <v>33500</v>
      </c>
      <c r="O163" s="356"/>
      <c r="P163" s="363">
        <f>MROUND(M163+N163,500)</f>
        <v>90500</v>
      </c>
      <c r="Q163" s="136"/>
    </row>
    <row r="164" spans="1:17" x14ac:dyDescent="0.25">
      <c r="A164" s="353"/>
      <c r="B164" s="265"/>
      <c r="C164" s="265"/>
      <c r="D164" s="361"/>
      <c r="E164" s="279"/>
      <c r="F164" s="279"/>
      <c r="G164" s="141"/>
      <c r="H164" s="264"/>
      <c r="I164" s="264"/>
      <c r="J164" s="357"/>
      <c r="K164" s="356"/>
      <c r="L164" s="357"/>
      <c r="M164" s="267"/>
      <c r="N164" s="377"/>
      <c r="O164" s="356"/>
      <c r="P164" s="364"/>
      <c r="Q164" s="136"/>
    </row>
    <row r="165" spans="1:17" x14ac:dyDescent="0.25">
      <c r="A165" s="353"/>
      <c r="B165" s="265"/>
      <c r="C165" s="265"/>
      <c r="D165" s="361"/>
      <c r="E165" s="279"/>
      <c r="F165" s="279"/>
      <c r="G165" s="141"/>
      <c r="H165" s="264"/>
      <c r="I165" s="264"/>
      <c r="J165" s="357"/>
      <c r="K165" s="356"/>
      <c r="L165" s="357"/>
      <c r="M165" s="267"/>
      <c r="N165" s="377"/>
      <c r="O165" s="356"/>
      <c r="P165" s="364"/>
      <c r="Q165" s="136"/>
    </row>
    <row r="166" spans="1:17" ht="15.75" thickBot="1" x14ac:dyDescent="0.3">
      <c r="A166" s="353"/>
      <c r="B166" s="265"/>
      <c r="C166" s="265"/>
      <c r="D166" s="361"/>
      <c r="E166" s="279"/>
      <c r="F166" s="279"/>
      <c r="G166" s="141"/>
      <c r="H166" s="264"/>
      <c r="I166" s="264"/>
      <c r="J166" s="357"/>
      <c r="K166" s="356"/>
      <c r="L166" s="357"/>
      <c r="M166" s="267"/>
      <c r="N166" s="377"/>
      <c r="O166" s="356"/>
      <c r="P166" s="365"/>
      <c r="Q166" s="136"/>
    </row>
    <row r="167" spans="1:17" x14ac:dyDescent="0.25">
      <c r="A167" s="353"/>
      <c r="B167" s="265"/>
      <c r="C167" s="336" t="s">
        <v>120</v>
      </c>
      <c r="D167" s="376">
        <f>G79+AG79+AT79+BH79+CH79</f>
        <v>95.675999999999988</v>
      </c>
      <c r="E167" s="279"/>
      <c r="F167" s="279"/>
      <c r="G167" s="141"/>
      <c r="H167" s="277">
        <f>K79+AK79+AX79+BL79+CL79</f>
        <v>33960</v>
      </c>
      <c r="I167" s="277">
        <f>L79+AL79+AY79+BM79+CM79</f>
        <v>32000</v>
      </c>
      <c r="J167" s="357"/>
      <c r="K167" s="356"/>
      <c r="L167" s="357"/>
      <c r="M167" s="272">
        <f>H167+I167</f>
        <v>65960</v>
      </c>
      <c r="N167" s="377"/>
      <c r="O167" s="356"/>
      <c r="P167" s="369">
        <f>MROUND(M167+N163,500)</f>
        <v>99500</v>
      </c>
      <c r="Q167" s="136"/>
    </row>
    <row r="168" spans="1:17" x14ac:dyDescent="0.25">
      <c r="A168" s="353"/>
      <c r="B168" s="265"/>
      <c r="C168" s="336"/>
      <c r="D168" s="376"/>
      <c r="E168" s="279"/>
      <c r="F168" s="279"/>
      <c r="G168" s="141"/>
      <c r="H168" s="277"/>
      <c r="I168" s="277"/>
      <c r="J168" s="357"/>
      <c r="K168" s="356"/>
      <c r="L168" s="357"/>
      <c r="M168" s="273"/>
      <c r="N168" s="377"/>
      <c r="O168" s="356"/>
      <c r="P168" s="370"/>
      <c r="Q168" s="136"/>
    </row>
    <row r="169" spans="1:17" x14ac:dyDescent="0.25">
      <c r="A169" s="353"/>
      <c r="B169" s="265"/>
      <c r="C169" s="336"/>
      <c r="D169" s="376"/>
      <c r="E169" s="279"/>
      <c r="F169" s="279"/>
      <c r="G169" s="141"/>
      <c r="H169" s="277"/>
      <c r="I169" s="277"/>
      <c r="J169" s="357"/>
      <c r="K169" s="356"/>
      <c r="L169" s="357"/>
      <c r="M169" s="273"/>
      <c r="N169" s="377"/>
      <c r="O169" s="356"/>
      <c r="P169" s="370"/>
      <c r="Q169" s="136"/>
    </row>
    <row r="170" spans="1:17" ht="15.75" thickBot="1" x14ac:dyDescent="0.3">
      <c r="A170" s="353"/>
      <c r="B170" s="265"/>
      <c r="C170" s="336"/>
      <c r="D170" s="376"/>
      <c r="E170" s="279"/>
      <c r="F170" s="279"/>
      <c r="G170" s="141"/>
      <c r="H170" s="277"/>
      <c r="I170" s="277"/>
      <c r="J170" s="357"/>
      <c r="K170" s="356"/>
      <c r="L170" s="357"/>
      <c r="M170" s="273"/>
      <c r="N170" s="378"/>
      <c r="O170" s="356"/>
      <c r="P170" s="371"/>
      <c r="Q170" s="136"/>
    </row>
    <row r="171" spans="1:17" x14ac:dyDescent="0.25">
      <c r="C171" s="135"/>
      <c r="D171" s="139"/>
      <c r="E171" s="135"/>
    </row>
    <row r="172" spans="1:17" x14ac:dyDescent="0.25">
      <c r="C172" s="135"/>
      <c r="D172" s="140"/>
      <c r="E172" s="135"/>
    </row>
    <row r="173" spans="1:17" x14ac:dyDescent="0.25">
      <c r="C173" s="135"/>
      <c r="D173" s="136"/>
      <c r="E173" s="135"/>
    </row>
    <row r="174" spans="1:17" x14ac:dyDescent="0.25">
      <c r="C174" s="135"/>
      <c r="D174" s="136"/>
      <c r="E174" s="135"/>
    </row>
    <row r="175" spans="1:17" x14ac:dyDescent="0.25">
      <c r="D175" s="120"/>
    </row>
    <row r="176" spans="1:17" x14ac:dyDescent="0.25">
      <c r="D176" s="120"/>
    </row>
    <row r="177" spans="4:4" x14ac:dyDescent="0.25">
      <c r="D177" s="120"/>
    </row>
  </sheetData>
  <mergeCells count="1351">
    <mergeCell ref="E100:F104"/>
    <mergeCell ref="E105:F109"/>
    <mergeCell ref="E110:F114"/>
    <mergeCell ref="E123:F126"/>
    <mergeCell ref="E127:F130"/>
    <mergeCell ref="E139:F142"/>
    <mergeCell ref="E143:F146"/>
    <mergeCell ref="E155:F158"/>
    <mergeCell ref="E159:F162"/>
    <mergeCell ref="E163:F166"/>
    <mergeCell ref="E167:F170"/>
    <mergeCell ref="H90:H94"/>
    <mergeCell ref="H95:H99"/>
    <mergeCell ref="H100:H104"/>
    <mergeCell ref="H105:H109"/>
    <mergeCell ref="H110:H114"/>
    <mergeCell ref="H115:H118"/>
    <mergeCell ref="H119:H122"/>
    <mergeCell ref="H123:H126"/>
    <mergeCell ref="H127:H130"/>
    <mergeCell ref="H131:H134"/>
    <mergeCell ref="H135:H138"/>
    <mergeCell ref="H139:H142"/>
    <mergeCell ref="H143:H146"/>
    <mergeCell ref="H147:H150"/>
    <mergeCell ref="H151:H154"/>
    <mergeCell ref="H155:H158"/>
    <mergeCell ref="H159:H162"/>
    <mergeCell ref="H163:H166"/>
    <mergeCell ref="H167:H170"/>
    <mergeCell ref="A163:A170"/>
    <mergeCell ref="B163:B170"/>
    <mergeCell ref="C163:C166"/>
    <mergeCell ref="C167:C170"/>
    <mergeCell ref="A123:A130"/>
    <mergeCell ref="B123:B130"/>
    <mergeCell ref="C123:C126"/>
    <mergeCell ref="C127:C130"/>
    <mergeCell ref="A131:A138"/>
    <mergeCell ref="B131:B138"/>
    <mergeCell ref="C131:C134"/>
    <mergeCell ref="C135:C138"/>
    <mergeCell ref="A139:A146"/>
    <mergeCell ref="B139:B146"/>
    <mergeCell ref="C139:C142"/>
    <mergeCell ref="C143:C146"/>
    <mergeCell ref="A147:A154"/>
    <mergeCell ref="B147:B154"/>
    <mergeCell ref="C147:C150"/>
    <mergeCell ref="C151:C154"/>
    <mergeCell ref="A155:A162"/>
    <mergeCell ref="B155:B162"/>
    <mergeCell ref="C155:C158"/>
    <mergeCell ref="C159:C162"/>
    <mergeCell ref="D163:D166"/>
    <mergeCell ref="J163:J170"/>
    <mergeCell ref="K163:K166"/>
    <mergeCell ref="L163:L166"/>
    <mergeCell ref="M163:M166"/>
    <mergeCell ref="N163:N170"/>
    <mergeCell ref="O163:O166"/>
    <mergeCell ref="P163:P166"/>
    <mergeCell ref="D167:D170"/>
    <mergeCell ref="K167:K170"/>
    <mergeCell ref="L167:L170"/>
    <mergeCell ref="M167:M170"/>
    <mergeCell ref="O167:O170"/>
    <mergeCell ref="P167:P170"/>
    <mergeCell ref="A83:A84"/>
    <mergeCell ref="B83:C84"/>
    <mergeCell ref="A85:A94"/>
    <mergeCell ref="B85:B94"/>
    <mergeCell ref="C85:C89"/>
    <mergeCell ref="C90:C94"/>
    <mergeCell ref="A95:A104"/>
    <mergeCell ref="B95:B104"/>
    <mergeCell ref="C95:C99"/>
    <mergeCell ref="C100:C104"/>
    <mergeCell ref="A105:A114"/>
    <mergeCell ref="B105:B114"/>
    <mergeCell ref="C105:C109"/>
    <mergeCell ref="C110:C114"/>
    <mergeCell ref="A115:A122"/>
    <mergeCell ref="B115:B122"/>
    <mergeCell ref="C115:C118"/>
    <mergeCell ref="C119:C122"/>
    <mergeCell ref="D147:D150"/>
    <mergeCell ref="J147:J154"/>
    <mergeCell ref="K147:K150"/>
    <mergeCell ref="L147:L150"/>
    <mergeCell ref="M147:M150"/>
    <mergeCell ref="N147:N154"/>
    <mergeCell ref="O147:O150"/>
    <mergeCell ref="P147:P150"/>
    <mergeCell ref="D151:D154"/>
    <mergeCell ref="K151:K154"/>
    <mergeCell ref="L151:L154"/>
    <mergeCell ref="M151:M154"/>
    <mergeCell ref="O151:O154"/>
    <mergeCell ref="P151:P154"/>
    <mergeCell ref="D155:D158"/>
    <mergeCell ref="J155:J162"/>
    <mergeCell ref="K155:K158"/>
    <mergeCell ref="L155:L158"/>
    <mergeCell ref="M155:M158"/>
    <mergeCell ref="N155:N162"/>
    <mergeCell ref="O155:O158"/>
    <mergeCell ref="P155:P158"/>
    <mergeCell ref="D159:D162"/>
    <mergeCell ref="K159:K162"/>
    <mergeCell ref="L159:L162"/>
    <mergeCell ref="M159:M162"/>
    <mergeCell ref="O159:O162"/>
    <mergeCell ref="P159:P162"/>
    <mergeCell ref="E147:F150"/>
    <mergeCell ref="E151:F154"/>
    <mergeCell ref="D131:D134"/>
    <mergeCell ref="J131:J138"/>
    <mergeCell ref="K131:K134"/>
    <mergeCell ref="L131:L134"/>
    <mergeCell ref="M131:M134"/>
    <mergeCell ref="N131:N138"/>
    <mergeCell ref="O131:O134"/>
    <mergeCell ref="P131:P134"/>
    <mergeCell ref="D135:D138"/>
    <mergeCell ref="K135:K138"/>
    <mergeCell ref="L135:L138"/>
    <mergeCell ref="M135:M138"/>
    <mergeCell ref="O135:O138"/>
    <mergeCell ref="P135:P138"/>
    <mergeCell ref="D139:D142"/>
    <mergeCell ref="J139:J146"/>
    <mergeCell ref="K139:K142"/>
    <mergeCell ref="L139:L142"/>
    <mergeCell ref="M139:M142"/>
    <mergeCell ref="N139:N146"/>
    <mergeCell ref="O139:O142"/>
    <mergeCell ref="P139:P142"/>
    <mergeCell ref="D143:D146"/>
    <mergeCell ref="K143:K146"/>
    <mergeCell ref="L143:L146"/>
    <mergeCell ref="M143:M146"/>
    <mergeCell ref="O143:O146"/>
    <mergeCell ref="P143:P146"/>
    <mergeCell ref="E131:F134"/>
    <mergeCell ref="E135:F138"/>
    <mergeCell ref="D115:D118"/>
    <mergeCell ref="J115:J122"/>
    <mergeCell ref="K115:K118"/>
    <mergeCell ref="L115:L118"/>
    <mergeCell ref="M115:M118"/>
    <mergeCell ref="N115:N122"/>
    <mergeCell ref="O115:O118"/>
    <mergeCell ref="P115:P118"/>
    <mergeCell ref="D119:D122"/>
    <mergeCell ref="K119:K122"/>
    <mergeCell ref="L119:L122"/>
    <mergeCell ref="M119:M122"/>
    <mergeCell ref="O119:O122"/>
    <mergeCell ref="P119:P122"/>
    <mergeCell ref="D123:D126"/>
    <mergeCell ref="J123:J130"/>
    <mergeCell ref="K123:K126"/>
    <mergeCell ref="L123:L126"/>
    <mergeCell ref="M123:M126"/>
    <mergeCell ref="N123:N130"/>
    <mergeCell ref="O123:O126"/>
    <mergeCell ref="P123:P126"/>
    <mergeCell ref="D127:D130"/>
    <mergeCell ref="K127:K130"/>
    <mergeCell ref="L127:L130"/>
    <mergeCell ref="M127:M130"/>
    <mergeCell ref="O127:O130"/>
    <mergeCell ref="P127:P130"/>
    <mergeCell ref="E115:F118"/>
    <mergeCell ref="E119:F122"/>
    <mergeCell ref="D105:D109"/>
    <mergeCell ref="J105:J114"/>
    <mergeCell ref="K105:K109"/>
    <mergeCell ref="L105:L109"/>
    <mergeCell ref="M105:M109"/>
    <mergeCell ref="N105:N114"/>
    <mergeCell ref="O105:O109"/>
    <mergeCell ref="P105:P109"/>
    <mergeCell ref="D110:D114"/>
    <mergeCell ref="K110:K114"/>
    <mergeCell ref="L110:L114"/>
    <mergeCell ref="M110:M114"/>
    <mergeCell ref="O110:O114"/>
    <mergeCell ref="P110:P114"/>
    <mergeCell ref="D83:P83"/>
    <mergeCell ref="D85:D89"/>
    <mergeCell ref="I85:I94"/>
    <mergeCell ref="J85:J94"/>
    <mergeCell ref="K85:K89"/>
    <mergeCell ref="L85:L89"/>
    <mergeCell ref="M85:M89"/>
    <mergeCell ref="N85:N94"/>
    <mergeCell ref="O85:O89"/>
    <mergeCell ref="P85:P89"/>
    <mergeCell ref="D90:D94"/>
    <mergeCell ref="K90:K94"/>
    <mergeCell ref="D95:D99"/>
    <mergeCell ref="I95:I104"/>
    <mergeCell ref="J95:J104"/>
    <mergeCell ref="K95:K99"/>
    <mergeCell ref="L95:L99"/>
    <mergeCell ref="H85:H89"/>
    <mergeCell ref="M95:M99"/>
    <mergeCell ref="N95:N104"/>
    <mergeCell ref="O95:O99"/>
    <mergeCell ref="P95:P99"/>
    <mergeCell ref="D100:D104"/>
    <mergeCell ref="K100:K104"/>
    <mergeCell ref="L100:L104"/>
    <mergeCell ref="M100:M104"/>
    <mergeCell ref="O100:O104"/>
    <mergeCell ref="P100:P104"/>
    <mergeCell ref="O59:O62"/>
    <mergeCell ref="O63:O66"/>
    <mergeCell ref="O67:O70"/>
    <mergeCell ref="O71:O74"/>
    <mergeCell ref="O75:O78"/>
    <mergeCell ref="M79:M82"/>
    <mergeCell ref="M67:M70"/>
    <mergeCell ref="M71:M74"/>
    <mergeCell ref="K71:K74"/>
    <mergeCell ref="K75:K78"/>
    <mergeCell ref="K79:K82"/>
    <mergeCell ref="M75:M78"/>
    <mergeCell ref="P79:P82"/>
    <mergeCell ref="P67:P70"/>
    <mergeCell ref="P71:P74"/>
    <mergeCell ref="P75:P78"/>
    <mergeCell ref="K67:K70"/>
    <mergeCell ref="L90:L94"/>
    <mergeCell ref="M90:M94"/>
    <mergeCell ref="O90:O94"/>
    <mergeCell ref="P90:P94"/>
    <mergeCell ref="P63:P66"/>
    <mergeCell ref="O79:O82"/>
    <mergeCell ref="N19:N26"/>
    <mergeCell ref="A43:A50"/>
    <mergeCell ref="B43:B50"/>
    <mergeCell ref="C43:C46"/>
    <mergeCell ref="I43:I50"/>
    <mergeCell ref="G43:G46"/>
    <mergeCell ref="G47:G50"/>
    <mergeCell ref="G51:G54"/>
    <mergeCell ref="G55:G58"/>
    <mergeCell ref="J75:J82"/>
    <mergeCell ref="C79:C82"/>
    <mergeCell ref="A75:A82"/>
    <mergeCell ref="B75:B82"/>
    <mergeCell ref="C75:C78"/>
    <mergeCell ref="I75:I82"/>
    <mergeCell ref="C63:C66"/>
    <mergeCell ref="A67:A74"/>
    <mergeCell ref="B67:B74"/>
    <mergeCell ref="C67:C70"/>
    <mergeCell ref="I67:I74"/>
    <mergeCell ref="J67:J74"/>
    <mergeCell ref="C71:C74"/>
    <mergeCell ref="A59:A66"/>
    <mergeCell ref="G75:G78"/>
    <mergeCell ref="G79:G82"/>
    <mergeCell ref="G71:G74"/>
    <mergeCell ref="G59:G62"/>
    <mergeCell ref="G63:G66"/>
    <mergeCell ref="G67:G70"/>
    <mergeCell ref="C31:C34"/>
    <mergeCell ref="A35:A42"/>
    <mergeCell ref="A1:A2"/>
    <mergeCell ref="I3:I10"/>
    <mergeCell ref="J3:J10"/>
    <mergeCell ref="A3:A10"/>
    <mergeCell ref="C3:C6"/>
    <mergeCell ref="C7:C10"/>
    <mergeCell ref="B3:B10"/>
    <mergeCell ref="G23:G26"/>
    <mergeCell ref="D1:P1"/>
    <mergeCell ref="B1:C2"/>
    <mergeCell ref="K3:K6"/>
    <mergeCell ref="K7:K10"/>
    <mergeCell ref="J11:J18"/>
    <mergeCell ref="C15:C18"/>
    <mergeCell ref="G3:G6"/>
    <mergeCell ref="G7:G10"/>
    <mergeCell ref="G11:G14"/>
    <mergeCell ref="G15:G18"/>
    <mergeCell ref="G19:G22"/>
    <mergeCell ref="A19:A26"/>
    <mergeCell ref="B19:B26"/>
    <mergeCell ref="C19:C22"/>
    <mergeCell ref="C23:C26"/>
    <mergeCell ref="A11:A18"/>
    <mergeCell ref="B11:B18"/>
    <mergeCell ref="C11:C14"/>
    <mergeCell ref="M3:M6"/>
    <mergeCell ref="M7:M10"/>
    <mergeCell ref="M11:M14"/>
    <mergeCell ref="M15:M18"/>
    <mergeCell ref="M19:M22"/>
    <mergeCell ref="K23:K26"/>
    <mergeCell ref="L3:L6"/>
    <mergeCell ref="L7:L10"/>
    <mergeCell ref="L11:L14"/>
    <mergeCell ref="L15:L18"/>
    <mergeCell ref="L19:L22"/>
    <mergeCell ref="L23:L26"/>
    <mergeCell ref="K15:K18"/>
    <mergeCell ref="K19:K22"/>
    <mergeCell ref="J27:J34"/>
    <mergeCell ref="J43:J50"/>
    <mergeCell ref="J59:J66"/>
    <mergeCell ref="I35:I42"/>
    <mergeCell ref="J35:J42"/>
    <mergeCell ref="I27:I34"/>
    <mergeCell ref="I19:I26"/>
    <mergeCell ref="J19:J26"/>
    <mergeCell ref="K63:K66"/>
    <mergeCell ref="I59:I66"/>
    <mergeCell ref="I11:I18"/>
    <mergeCell ref="L27:L30"/>
    <mergeCell ref="L31:L34"/>
    <mergeCell ref="L35:L38"/>
    <mergeCell ref="L39:L42"/>
    <mergeCell ref="L43:L46"/>
    <mergeCell ref="L47:L50"/>
    <mergeCell ref="L51:L54"/>
    <mergeCell ref="K51:K54"/>
    <mergeCell ref="K55:K58"/>
    <mergeCell ref="K11:K14"/>
    <mergeCell ref="A27:A34"/>
    <mergeCell ref="B27:B34"/>
    <mergeCell ref="C27:C30"/>
    <mergeCell ref="G27:G30"/>
    <mergeCell ref="G31:G34"/>
    <mergeCell ref="G35:G38"/>
    <mergeCell ref="G39:G42"/>
    <mergeCell ref="C47:C50"/>
    <mergeCell ref="A51:A58"/>
    <mergeCell ref="B51:B58"/>
    <mergeCell ref="C51:C54"/>
    <mergeCell ref="I51:I58"/>
    <mergeCell ref="J51:J58"/>
    <mergeCell ref="C55:C58"/>
    <mergeCell ref="P55:P58"/>
    <mergeCell ref="P59:P62"/>
    <mergeCell ref="O55:O58"/>
    <mergeCell ref="K59:K62"/>
    <mergeCell ref="K31:K34"/>
    <mergeCell ref="K35:K38"/>
    <mergeCell ref="K39:K42"/>
    <mergeCell ref="K43:K46"/>
    <mergeCell ref="K47:K50"/>
    <mergeCell ref="K27:K30"/>
    <mergeCell ref="B59:B66"/>
    <mergeCell ref="C59:C62"/>
    <mergeCell ref="N27:N34"/>
    <mergeCell ref="N35:N42"/>
    <mergeCell ref="N43:N50"/>
    <mergeCell ref="N51:N58"/>
    <mergeCell ref="N59:N66"/>
    <mergeCell ref="N67:N74"/>
    <mergeCell ref="N75:N82"/>
    <mergeCell ref="M59:M62"/>
    <mergeCell ref="M63:M66"/>
    <mergeCell ref="L75:L78"/>
    <mergeCell ref="L79:L82"/>
    <mergeCell ref="B35:B42"/>
    <mergeCell ref="C35:C38"/>
    <mergeCell ref="C39:C42"/>
    <mergeCell ref="M23:M26"/>
    <mergeCell ref="M27:M30"/>
    <mergeCell ref="M31:M34"/>
    <mergeCell ref="M35:M38"/>
    <mergeCell ref="M39:M42"/>
    <mergeCell ref="M43:M46"/>
    <mergeCell ref="M47:M50"/>
    <mergeCell ref="M51:M54"/>
    <mergeCell ref="M55:M58"/>
    <mergeCell ref="L55:L58"/>
    <mergeCell ref="L59:L62"/>
    <mergeCell ref="L63:L66"/>
    <mergeCell ref="L67:L70"/>
    <mergeCell ref="L71:L74"/>
    <mergeCell ref="N3:N10"/>
    <mergeCell ref="N11:N18"/>
    <mergeCell ref="P43:P46"/>
    <mergeCell ref="P47:P50"/>
    <mergeCell ref="P51:P54"/>
    <mergeCell ref="P3:P6"/>
    <mergeCell ref="P7:P10"/>
    <mergeCell ref="P11:P14"/>
    <mergeCell ref="P15:P18"/>
    <mergeCell ref="P19:P22"/>
    <mergeCell ref="P23:P26"/>
    <mergeCell ref="P27:P30"/>
    <mergeCell ref="P31:P34"/>
    <mergeCell ref="P35:P38"/>
    <mergeCell ref="P39:P42"/>
    <mergeCell ref="O19:O22"/>
    <mergeCell ref="O23:O26"/>
    <mergeCell ref="O27:O30"/>
    <mergeCell ref="O31:O34"/>
    <mergeCell ref="O35:O38"/>
    <mergeCell ref="O3:O6"/>
    <mergeCell ref="O7:O10"/>
    <mergeCell ref="O11:O14"/>
    <mergeCell ref="O15:O18"/>
    <mergeCell ref="O39:O42"/>
    <mergeCell ref="O43:O46"/>
    <mergeCell ref="O47:O50"/>
    <mergeCell ref="O51:O54"/>
    <mergeCell ref="AB11:AB14"/>
    <mergeCell ref="AC11:AC14"/>
    <mergeCell ref="T15:T18"/>
    <mergeCell ref="X15:X18"/>
    <mergeCell ref="Y15:Y18"/>
    <mergeCell ref="Z15:Z18"/>
    <mergeCell ref="AB15:AB18"/>
    <mergeCell ref="AC15:AC18"/>
    <mergeCell ref="Q1:AC1"/>
    <mergeCell ref="T3:T6"/>
    <mergeCell ref="V3:V10"/>
    <mergeCell ref="W3:W10"/>
    <mergeCell ref="X3:X6"/>
    <mergeCell ref="Y3:Y6"/>
    <mergeCell ref="Z3:Z6"/>
    <mergeCell ref="AA3:AA10"/>
    <mergeCell ref="AB3:AB6"/>
    <mergeCell ref="AC3:AC6"/>
    <mergeCell ref="T7:T10"/>
    <mergeCell ref="X7:X10"/>
    <mergeCell ref="Y7:Y10"/>
    <mergeCell ref="Z7:Z10"/>
    <mergeCell ref="AB7:AB10"/>
    <mergeCell ref="AC7:AC10"/>
    <mergeCell ref="T11:T14"/>
    <mergeCell ref="V11:V18"/>
    <mergeCell ref="W11:W18"/>
    <mergeCell ref="X11:X14"/>
    <mergeCell ref="Y11:Y14"/>
    <mergeCell ref="Z11:Z14"/>
    <mergeCell ref="AA11:AA18"/>
    <mergeCell ref="AB27:AB30"/>
    <mergeCell ref="AC27:AC30"/>
    <mergeCell ref="T31:T34"/>
    <mergeCell ref="X31:X34"/>
    <mergeCell ref="Y31:Y34"/>
    <mergeCell ref="Z31:Z34"/>
    <mergeCell ref="AB31:AB34"/>
    <mergeCell ref="AC31:AC34"/>
    <mergeCell ref="T19:T22"/>
    <mergeCell ref="V19:V26"/>
    <mergeCell ref="W19:W26"/>
    <mergeCell ref="X19:X22"/>
    <mergeCell ref="Y19:Y22"/>
    <mergeCell ref="Z19:Z22"/>
    <mergeCell ref="AA19:AA26"/>
    <mergeCell ref="AB19:AB22"/>
    <mergeCell ref="AC19:AC22"/>
    <mergeCell ref="T23:T26"/>
    <mergeCell ref="X23:X26"/>
    <mergeCell ref="Y23:Y26"/>
    <mergeCell ref="Z23:Z26"/>
    <mergeCell ref="AB23:AB26"/>
    <mergeCell ref="AC23:AC26"/>
    <mergeCell ref="T27:T30"/>
    <mergeCell ref="V27:V34"/>
    <mergeCell ref="W27:W34"/>
    <mergeCell ref="X27:X30"/>
    <mergeCell ref="Y27:Y30"/>
    <mergeCell ref="Z27:Z30"/>
    <mergeCell ref="AA27:AA34"/>
    <mergeCell ref="T35:T38"/>
    <mergeCell ref="V35:V42"/>
    <mergeCell ref="W35:W42"/>
    <mergeCell ref="X35:X38"/>
    <mergeCell ref="Y35:Y38"/>
    <mergeCell ref="Z35:Z38"/>
    <mergeCell ref="AA35:AA42"/>
    <mergeCell ref="AB35:AB38"/>
    <mergeCell ref="AC35:AC38"/>
    <mergeCell ref="T39:T42"/>
    <mergeCell ref="X39:X42"/>
    <mergeCell ref="Y39:Y42"/>
    <mergeCell ref="Z39:Z42"/>
    <mergeCell ref="AB39:AB42"/>
    <mergeCell ref="AC39:AC42"/>
    <mergeCell ref="T43:T46"/>
    <mergeCell ref="V43:V50"/>
    <mergeCell ref="W43:W50"/>
    <mergeCell ref="X43:X46"/>
    <mergeCell ref="Y43:Y46"/>
    <mergeCell ref="Z43:Z46"/>
    <mergeCell ref="AA43:AA50"/>
    <mergeCell ref="T51:T54"/>
    <mergeCell ref="V51:V58"/>
    <mergeCell ref="W51:W58"/>
    <mergeCell ref="X51:X54"/>
    <mergeCell ref="Y51:Y54"/>
    <mergeCell ref="Z51:Z54"/>
    <mergeCell ref="AA51:AA58"/>
    <mergeCell ref="AB51:AB54"/>
    <mergeCell ref="AC51:AC54"/>
    <mergeCell ref="T55:T58"/>
    <mergeCell ref="X55:X58"/>
    <mergeCell ref="Y55:Y58"/>
    <mergeCell ref="Z55:Z58"/>
    <mergeCell ref="AB55:AB58"/>
    <mergeCell ref="AC55:AC58"/>
    <mergeCell ref="AB43:AB46"/>
    <mergeCell ref="AC43:AC46"/>
    <mergeCell ref="T47:T50"/>
    <mergeCell ref="X47:X50"/>
    <mergeCell ref="Y47:Y50"/>
    <mergeCell ref="Z47:Z50"/>
    <mergeCell ref="AB47:AB50"/>
    <mergeCell ref="AC47:AC50"/>
    <mergeCell ref="V67:V74"/>
    <mergeCell ref="W67:W74"/>
    <mergeCell ref="X67:X70"/>
    <mergeCell ref="Y67:Y70"/>
    <mergeCell ref="Z67:Z70"/>
    <mergeCell ref="AA67:AA74"/>
    <mergeCell ref="AB67:AB70"/>
    <mergeCell ref="AC67:AC70"/>
    <mergeCell ref="T71:T74"/>
    <mergeCell ref="X71:X74"/>
    <mergeCell ref="Y71:Y74"/>
    <mergeCell ref="Z71:Z74"/>
    <mergeCell ref="AB71:AB74"/>
    <mergeCell ref="AC71:AC74"/>
    <mergeCell ref="T59:T62"/>
    <mergeCell ref="V59:V66"/>
    <mergeCell ref="W59:W66"/>
    <mergeCell ref="X59:X62"/>
    <mergeCell ref="Y59:Y62"/>
    <mergeCell ref="Z59:Z62"/>
    <mergeCell ref="AA59:AA66"/>
    <mergeCell ref="AB59:AB62"/>
    <mergeCell ref="AC59:AC62"/>
    <mergeCell ref="T63:T66"/>
    <mergeCell ref="X63:X66"/>
    <mergeCell ref="Y63:Y66"/>
    <mergeCell ref="Z63:Z66"/>
    <mergeCell ref="AB63:AB66"/>
    <mergeCell ref="AC63:AC66"/>
    <mergeCell ref="AD1:AP1"/>
    <mergeCell ref="AG3:AG6"/>
    <mergeCell ref="AI3:AI10"/>
    <mergeCell ref="AJ3:AJ10"/>
    <mergeCell ref="AK3:AK6"/>
    <mergeCell ref="AL3:AL6"/>
    <mergeCell ref="AM3:AM6"/>
    <mergeCell ref="AN3:AN10"/>
    <mergeCell ref="AO3:AO6"/>
    <mergeCell ref="AP3:AP6"/>
    <mergeCell ref="AG7:AG10"/>
    <mergeCell ref="AK7:AK10"/>
    <mergeCell ref="AL7:AL10"/>
    <mergeCell ref="AM7:AM10"/>
    <mergeCell ref="AO7:AO10"/>
    <mergeCell ref="AP7:AP10"/>
    <mergeCell ref="T75:T78"/>
    <mergeCell ref="V75:V82"/>
    <mergeCell ref="W75:W82"/>
    <mergeCell ref="X75:X78"/>
    <mergeCell ref="Y75:Y78"/>
    <mergeCell ref="Z75:Z78"/>
    <mergeCell ref="AA75:AA82"/>
    <mergeCell ref="AB75:AB78"/>
    <mergeCell ref="AC75:AC78"/>
    <mergeCell ref="T79:T82"/>
    <mergeCell ref="X79:X82"/>
    <mergeCell ref="Y79:Y82"/>
    <mergeCell ref="Z79:Z82"/>
    <mergeCell ref="AB79:AB82"/>
    <mergeCell ref="AC79:AC82"/>
    <mergeCell ref="T67:T70"/>
    <mergeCell ref="AG19:AG22"/>
    <mergeCell ref="AI19:AI26"/>
    <mergeCell ref="AJ19:AJ26"/>
    <mergeCell ref="AK19:AK22"/>
    <mergeCell ref="AL19:AL22"/>
    <mergeCell ref="AM19:AM22"/>
    <mergeCell ref="AN19:AN26"/>
    <mergeCell ref="AO19:AO22"/>
    <mergeCell ref="AP19:AP22"/>
    <mergeCell ref="AG23:AG26"/>
    <mergeCell ref="AK23:AK26"/>
    <mergeCell ref="AL23:AL26"/>
    <mergeCell ref="AM23:AM26"/>
    <mergeCell ref="AO23:AO26"/>
    <mergeCell ref="AP23:AP26"/>
    <mergeCell ref="AG11:AG14"/>
    <mergeCell ref="AI11:AI18"/>
    <mergeCell ref="AJ11:AJ18"/>
    <mergeCell ref="AK11:AK14"/>
    <mergeCell ref="AL11:AL14"/>
    <mergeCell ref="AM11:AM14"/>
    <mergeCell ref="AN11:AN18"/>
    <mergeCell ref="AO11:AO14"/>
    <mergeCell ref="AP11:AP14"/>
    <mergeCell ref="AG15:AG18"/>
    <mergeCell ref="AK15:AK18"/>
    <mergeCell ref="AL15:AL18"/>
    <mergeCell ref="AM15:AM18"/>
    <mergeCell ref="AO15:AO18"/>
    <mergeCell ref="AP15:AP18"/>
    <mergeCell ref="AG35:AG38"/>
    <mergeCell ref="AI35:AI42"/>
    <mergeCell ref="AJ35:AJ42"/>
    <mergeCell ref="AK35:AK38"/>
    <mergeCell ref="AL35:AL38"/>
    <mergeCell ref="AM35:AM38"/>
    <mergeCell ref="AN35:AN42"/>
    <mergeCell ref="AO35:AO38"/>
    <mergeCell ref="AP35:AP38"/>
    <mergeCell ref="AG39:AG42"/>
    <mergeCell ref="AK39:AK42"/>
    <mergeCell ref="AL39:AL42"/>
    <mergeCell ref="AM39:AM42"/>
    <mergeCell ref="AO39:AO42"/>
    <mergeCell ref="AP39:AP42"/>
    <mergeCell ref="AG27:AG30"/>
    <mergeCell ref="AI27:AI34"/>
    <mergeCell ref="AJ27:AJ34"/>
    <mergeCell ref="AK27:AK30"/>
    <mergeCell ref="AL27:AL30"/>
    <mergeCell ref="AM27:AM30"/>
    <mergeCell ref="AN27:AN34"/>
    <mergeCell ref="AO27:AO30"/>
    <mergeCell ref="AP27:AP30"/>
    <mergeCell ref="AG31:AG34"/>
    <mergeCell ref="AK31:AK34"/>
    <mergeCell ref="AL31:AL34"/>
    <mergeCell ref="AM31:AM34"/>
    <mergeCell ref="AO31:AO34"/>
    <mergeCell ref="AP31:AP34"/>
    <mergeCell ref="AG51:AG54"/>
    <mergeCell ref="AI51:AI58"/>
    <mergeCell ref="AJ51:AJ58"/>
    <mergeCell ref="AK51:AK54"/>
    <mergeCell ref="AL51:AL54"/>
    <mergeCell ref="AM51:AM54"/>
    <mergeCell ref="AN51:AN58"/>
    <mergeCell ref="AO51:AO54"/>
    <mergeCell ref="AP51:AP54"/>
    <mergeCell ref="AG55:AG58"/>
    <mergeCell ref="AK55:AK58"/>
    <mergeCell ref="AL55:AL58"/>
    <mergeCell ref="AM55:AM58"/>
    <mergeCell ref="AO55:AO58"/>
    <mergeCell ref="AP55:AP58"/>
    <mergeCell ref="AG43:AG46"/>
    <mergeCell ref="AI43:AI50"/>
    <mergeCell ref="AJ43:AJ50"/>
    <mergeCell ref="AK43:AK46"/>
    <mergeCell ref="AL43:AL46"/>
    <mergeCell ref="AM43:AM46"/>
    <mergeCell ref="AN43:AN50"/>
    <mergeCell ref="AO43:AO46"/>
    <mergeCell ref="AP43:AP46"/>
    <mergeCell ref="AG47:AG50"/>
    <mergeCell ref="AK47:AK50"/>
    <mergeCell ref="AL47:AL50"/>
    <mergeCell ref="AM47:AM50"/>
    <mergeCell ref="AO47:AO50"/>
    <mergeCell ref="AP47:AP50"/>
    <mergeCell ref="AI67:AI74"/>
    <mergeCell ref="AJ67:AJ74"/>
    <mergeCell ref="AK67:AK70"/>
    <mergeCell ref="AL67:AL70"/>
    <mergeCell ref="AM67:AM70"/>
    <mergeCell ref="AN67:AN74"/>
    <mergeCell ref="AO67:AO70"/>
    <mergeCell ref="AP67:AP70"/>
    <mergeCell ref="AG71:AG74"/>
    <mergeCell ref="AK71:AK74"/>
    <mergeCell ref="AL71:AL74"/>
    <mergeCell ref="AM71:AM74"/>
    <mergeCell ref="AO71:AO74"/>
    <mergeCell ref="AP71:AP74"/>
    <mergeCell ref="AG59:AG62"/>
    <mergeCell ref="AI59:AI66"/>
    <mergeCell ref="AJ59:AJ66"/>
    <mergeCell ref="AK59:AK62"/>
    <mergeCell ref="AL59:AL62"/>
    <mergeCell ref="AM59:AM62"/>
    <mergeCell ref="AN59:AN66"/>
    <mergeCell ref="AO59:AO62"/>
    <mergeCell ref="AP59:AP62"/>
    <mergeCell ref="AG63:AG66"/>
    <mergeCell ref="AK63:AK66"/>
    <mergeCell ref="AL63:AL66"/>
    <mergeCell ref="AM63:AM66"/>
    <mergeCell ref="AO63:AO66"/>
    <mergeCell ref="AP63:AP66"/>
    <mergeCell ref="AQ1:BC1"/>
    <mergeCell ref="AT3:AT6"/>
    <mergeCell ref="AV3:AV10"/>
    <mergeCell ref="AW3:AW10"/>
    <mergeCell ref="AX3:AX6"/>
    <mergeCell ref="AY3:AY6"/>
    <mergeCell ref="AZ3:AZ6"/>
    <mergeCell ref="BA3:BA10"/>
    <mergeCell ref="BB3:BB6"/>
    <mergeCell ref="BC3:BC6"/>
    <mergeCell ref="AT7:AT10"/>
    <mergeCell ref="AX7:AX10"/>
    <mergeCell ref="AY7:AY10"/>
    <mergeCell ref="AZ7:AZ10"/>
    <mergeCell ref="BB7:BB10"/>
    <mergeCell ref="BC7:BC10"/>
    <mergeCell ref="AG75:AG78"/>
    <mergeCell ref="AI75:AI82"/>
    <mergeCell ref="AJ75:AJ82"/>
    <mergeCell ref="AK75:AK78"/>
    <mergeCell ref="AL75:AL78"/>
    <mergeCell ref="AM75:AM78"/>
    <mergeCell ref="AN75:AN82"/>
    <mergeCell ref="AO75:AO78"/>
    <mergeCell ref="AP75:AP78"/>
    <mergeCell ref="AG79:AG82"/>
    <mergeCell ref="AK79:AK82"/>
    <mergeCell ref="AL79:AL82"/>
    <mergeCell ref="AM79:AM82"/>
    <mergeCell ref="AO79:AO82"/>
    <mergeCell ref="AP79:AP82"/>
    <mergeCell ref="AG67:AG70"/>
    <mergeCell ref="AT19:AT22"/>
    <mergeCell ref="AV19:AV26"/>
    <mergeCell ref="AW19:AW26"/>
    <mergeCell ref="AX19:AX22"/>
    <mergeCell ref="AY19:AY22"/>
    <mergeCell ref="AZ19:AZ22"/>
    <mergeCell ref="BA19:BA26"/>
    <mergeCell ref="BB19:BB22"/>
    <mergeCell ref="BC19:BC22"/>
    <mergeCell ref="AT23:AT26"/>
    <mergeCell ref="AX23:AX26"/>
    <mergeCell ref="AY23:AY26"/>
    <mergeCell ref="AZ23:AZ26"/>
    <mergeCell ref="BB23:BB26"/>
    <mergeCell ref="BC23:BC26"/>
    <mergeCell ref="AT11:AT14"/>
    <mergeCell ref="AV11:AV18"/>
    <mergeCell ref="AW11:AW18"/>
    <mergeCell ref="AX11:AX14"/>
    <mergeCell ref="AY11:AY14"/>
    <mergeCell ref="AZ11:AZ14"/>
    <mergeCell ref="BA11:BA18"/>
    <mergeCell ref="BB11:BB14"/>
    <mergeCell ref="BC11:BC14"/>
    <mergeCell ref="AT15:AT18"/>
    <mergeCell ref="AX15:AX18"/>
    <mergeCell ref="AY15:AY18"/>
    <mergeCell ref="AZ15:AZ18"/>
    <mergeCell ref="BB15:BB18"/>
    <mergeCell ref="BC15:BC18"/>
    <mergeCell ref="AT35:AT38"/>
    <mergeCell ref="AV35:AV42"/>
    <mergeCell ref="AW35:AW42"/>
    <mergeCell ref="AX35:AX38"/>
    <mergeCell ref="AY35:AY38"/>
    <mergeCell ref="AZ35:AZ38"/>
    <mergeCell ref="BA35:BA42"/>
    <mergeCell ref="BB35:BB38"/>
    <mergeCell ref="BC35:BC38"/>
    <mergeCell ref="AT39:AT42"/>
    <mergeCell ref="AX39:AX42"/>
    <mergeCell ref="AY39:AY42"/>
    <mergeCell ref="AZ39:AZ42"/>
    <mergeCell ref="BB39:BB42"/>
    <mergeCell ref="BC39:BC42"/>
    <mergeCell ref="AT27:AT30"/>
    <mergeCell ref="AV27:AV34"/>
    <mergeCell ref="AW27:AW34"/>
    <mergeCell ref="AX27:AX30"/>
    <mergeCell ref="AY27:AY30"/>
    <mergeCell ref="AZ27:AZ30"/>
    <mergeCell ref="BA27:BA34"/>
    <mergeCell ref="BB27:BB30"/>
    <mergeCell ref="BC27:BC30"/>
    <mergeCell ref="AT31:AT34"/>
    <mergeCell ref="AX31:AX34"/>
    <mergeCell ref="AY31:AY34"/>
    <mergeCell ref="AZ31:AZ34"/>
    <mergeCell ref="BB31:BB34"/>
    <mergeCell ref="BC31:BC34"/>
    <mergeCell ref="AT51:AT54"/>
    <mergeCell ref="AV51:AV58"/>
    <mergeCell ref="AW51:AW58"/>
    <mergeCell ref="AX51:AX54"/>
    <mergeCell ref="AY51:AY54"/>
    <mergeCell ref="AZ51:AZ54"/>
    <mergeCell ref="BA51:BA58"/>
    <mergeCell ref="BB51:BB54"/>
    <mergeCell ref="BC51:BC54"/>
    <mergeCell ref="AT55:AT58"/>
    <mergeCell ref="AX55:AX58"/>
    <mergeCell ref="AY55:AY58"/>
    <mergeCell ref="AZ55:AZ58"/>
    <mergeCell ref="BB55:BB58"/>
    <mergeCell ref="BC55:BC58"/>
    <mergeCell ref="AT43:AT46"/>
    <mergeCell ref="AV43:AV50"/>
    <mergeCell ref="AW43:AW50"/>
    <mergeCell ref="AX43:AX46"/>
    <mergeCell ref="AY43:AY46"/>
    <mergeCell ref="AZ43:AZ46"/>
    <mergeCell ref="BA43:BA50"/>
    <mergeCell ref="BB43:BB46"/>
    <mergeCell ref="BC43:BC46"/>
    <mergeCell ref="AT47:AT50"/>
    <mergeCell ref="AX47:AX50"/>
    <mergeCell ref="AY47:AY50"/>
    <mergeCell ref="AZ47:AZ50"/>
    <mergeCell ref="BB47:BB50"/>
    <mergeCell ref="BC47:BC50"/>
    <mergeCell ref="AV67:AV74"/>
    <mergeCell ref="AW67:AW74"/>
    <mergeCell ref="AX67:AX70"/>
    <mergeCell ref="AY67:AY70"/>
    <mergeCell ref="AZ67:AZ70"/>
    <mergeCell ref="BA67:BA74"/>
    <mergeCell ref="BB67:BB70"/>
    <mergeCell ref="BC67:BC70"/>
    <mergeCell ref="AT71:AT74"/>
    <mergeCell ref="AX71:AX74"/>
    <mergeCell ref="AY71:AY74"/>
    <mergeCell ref="AZ71:AZ74"/>
    <mergeCell ref="BB71:BB74"/>
    <mergeCell ref="BC71:BC74"/>
    <mergeCell ref="AT59:AT62"/>
    <mergeCell ref="AV59:AV66"/>
    <mergeCell ref="AW59:AW66"/>
    <mergeCell ref="AX59:AX62"/>
    <mergeCell ref="AY59:AY62"/>
    <mergeCell ref="AZ59:AZ62"/>
    <mergeCell ref="BA59:BA66"/>
    <mergeCell ref="BB59:BB62"/>
    <mergeCell ref="BC59:BC62"/>
    <mergeCell ref="AT63:AT66"/>
    <mergeCell ref="AX63:AX66"/>
    <mergeCell ref="AY63:AY66"/>
    <mergeCell ref="AZ63:AZ66"/>
    <mergeCell ref="BB63:BB66"/>
    <mergeCell ref="BC63:BC66"/>
    <mergeCell ref="BE1:BQ1"/>
    <mergeCell ref="BR1:CD1"/>
    <mergeCell ref="CE1:CQ1"/>
    <mergeCell ref="BH3:BH6"/>
    <mergeCell ref="BJ3:BJ10"/>
    <mergeCell ref="BK3:BK10"/>
    <mergeCell ref="BL3:BL6"/>
    <mergeCell ref="BM3:BM6"/>
    <mergeCell ref="BN3:BN6"/>
    <mergeCell ref="BO3:BO10"/>
    <mergeCell ref="BP3:BP6"/>
    <mergeCell ref="BQ3:BQ6"/>
    <mergeCell ref="BH7:BH10"/>
    <mergeCell ref="BL7:BL10"/>
    <mergeCell ref="BM7:BM10"/>
    <mergeCell ref="BN7:BN10"/>
    <mergeCell ref="BP7:BP10"/>
    <mergeCell ref="BQ7:BQ10"/>
    <mergeCell ref="BU3:BU6"/>
    <mergeCell ref="BW3:BW10"/>
    <mergeCell ref="BX3:BX10"/>
    <mergeCell ref="BY3:BY6"/>
    <mergeCell ref="BZ3:BZ6"/>
    <mergeCell ref="CA3:CA6"/>
    <mergeCell ref="CK3:CK10"/>
    <mergeCell ref="CL3:CL6"/>
    <mergeCell ref="CM3:CM6"/>
    <mergeCell ref="CN3:CN6"/>
    <mergeCell ref="CO3:CO10"/>
    <mergeCell ref="CP3:CP6"/>
    <mergeCell ref="CQ3:CQ6"/>
    <mergeCell ref="CH7:CH10"/>
    <mergeCell ref="CN7:CN10"/>
    <mergeCell ref="CP7:CP10"/>
    <mergeCell ref="CQ7:CQ10"/>
    <mergeCell ref="CB3:CB10"/>
    <mergeCell ref="CC3:CC6"/>
    <mergeCell ref="CD3:CD6"/>
    <mergeCell ref="BU7:BU10"/>
    <mergeCell ref="BY7:BY10"/>
    <mergeCell ref="BZ7:BZ10"/>
    <mergeCell ref="CA7:CA10"/>
    <mergeCell ref="CC7:CC10"/>
    <mergeCell ref="CD7:CD10"/>
    <mergeCell ref="BH11:BH14"/>
    <mergeCell ref="BJ11:BJ18"/>
    <mergeCell ref="BK11:BK18"/>
    <mergeCell ref="BL11:BL14"/>
    <mergeCell ref="BM11:BM14"/>
    <mergeCell ref="BN11:BN14"/>
    <mergeCell ref="BO11:BO18"/>
    <mergeCell ref="BP11:BP14"/>
    <mergeCell ref="BQ11:BQ14"/>
    <mergeCell ref="BH15:BH18"/>
    <mergeCell ref="BL15:BL18"/>
    <mergeCell ref="BM15:BM18"/>
    <mergeCell ref="BN15:BN18"/>
    <mergeCell ref="BP15:BP18"/>
    <mergeCell ref="BQ15:BQ18"/>
    <mergeCell ref="CH3:CH6"/>
    <mergeCell ref="CJ3:CJ10"/>
    <mergeCell ref="CH11:CH14"/>
    <mergeCell ref="BU11:BU14"/>
    <mergeCell ref="BW11:BW18"/>
    <mergeCell ref="BH19:BH22"/>
    <mergeCell ref="BJ19:BJ26"/>
    <mergeCell ref="BK19:BK26"/>
    <mergeCell ref="BL19:BL22"/>
    <mergeCell ref="BM19:BM22"/>
    <mergeCell ref="BN19:BN22"/>
    <mergeCell ref="BO19:BO26"/>
    <mergeCell ref="BP19:BP22"/>
    <mergeCell ref="BQ19:BQ22"/>
    <mergeCell ref="BH23:BH26"/>
    <mergeCell ref="BL23:BL26"/>
    <mergeCell ref="BM23:BM26"/>
    <mergeCell ref="BN23:BN26"/>
    <mergeCell ref="BP23:BP26"/>
    <mergeCell ref="BQ23:BQ26"/>
    <mergeCell ref="CL7:CL10"/>
    <mergeCell ref="CM7:CM10"/>
    <mergeCell ref="BU19:BU22"/>
    <mergeCell ref="BW19:BW26"/>
    <mergeCell ref="BX19:BX26"/>
    <mergeCell ref="BY19:BY22"/>
    <mergeCell ref="BZ19:BZ22"/>
    <mergeCell ref="CA19:CA22"/>
    <mergeCell ref="CB19:CB26"/>
    <mergeCell ref="CC19:CC22"/>
    <mergeCell ref="CD19:CD22"/>
    <mergeCell ref="BU23:BU26"/>
    <mergeCell ref="BY23:BY26"/>
    <mergeCell ref="BZ23:BZ26"/>
    <mergeCell ref="CA23:CA26"/>
    <mergeCell ref="CC23:CC26"/>
    <mergeCell ref="CD23:CD26"/>
    <mergeCell ref="BH35:BH38"/>
    <mergeCell ref="BJ35:BJ42"/>
    <mergeCell ref="BK35:BK42"/>
    <mergeCell ref="BL35:BL38"/>
    <mergeCell ref="BM35:BM38"/>
    <mergeCell ref="BN35:BN38"/>
    <mergeCell ref="BO35:BO42"/>
    <mergeCell ref="BP35:BP38"/>
    <mergeCell ref="BQ35:BQ38"/>
    <mergeCell ref="BH39:BH42"/>
    <mergeCell ref="BL39:BL42"/>
    <mergeCell ref="BM39:BM42"/>
    <mergeCell ref="BN39:BN42"/>
    <mergeCell ref="BP39:BP42"/>
    <mergeCell ref="BQ39:BQ42"/>
    <mergeCell ref="BH27:BH30"/>
    <mergeCell ref="BJ27:BJ34"/>
    <mergeCell ref="BK27:BK34"/>
    <mergeCell ref="BL27:BL30"/>
    <mergeCell ref="BM27:BM30"/>
    <mergeCell ref="BN27:BN30"/>
    <mergeCell ref="BO27:BO34"/>
    <mergeCell ref="BP27:BP30"/>
    <mergeCell ref="BQ27:BQ30"/>
    <mergeCell ref="BH31:BH34"/>
    <mergeCell ref="BL31:BL34"/>
    <mergeCell ref="BM31:BM34"/>
    <mergeCell ref="BN31:BN34"/>
    <mergeCell ref="BP31:BP34"/>
    <mergeCell ref="BQ31:BQ34"/>
    <mergeCell ref="BH51:BH54"/>
    <mergeCell ref="BJ51:BJ58"/>
    <mergeCell ref="BK51:BK58"/>
    <mergeCell ref="BL51:BL54"/>
    <mergeCell ref="BM51:BM54"/>
    <mergeCell ref="BN51:BN54"/>
    <mergeCell ref="BO51:BO58"/>
    <mergeCell ref="BP51:BP54"/>
    <mergeCell ref="BQ51:BQ54"/>
    <mergeCell ref="BH55:BH58"/>
    <mergeCell ref="BL55:BL58"/>
    <mergeCell ref="BM55:BM58"/>
    <mergeCell ref="BN55:BN58"/>
    <mergeCell ref="BP55:BP58"/>
    <mergeCell ref="BQ55:BQ58"/>
    <mergeCell ref="BH43:BH46"/>
    <mergeCell ref="BJ43:BJ50"/>
    <mergeCell ref="BK43:BK50"/>
    <mergeCell ref="BL43:BL46"/>
    <mergeCell ref="BM43:BM46"/>
    <mergeCell ref="BN43:BN46"/>
    <mergeCell ref="BO43:BO50"/>
    <mergeCell ref="BP43:BP46"/>
    <mergeCell ref="BQ43:BQ46"/>
    <mergeCell ref="BH47:BH50"/>
    <mergeCell ref="BL47:BL50"/>
    <mergeCell ref="BM47:BM50"/>
    <mergeCell ref="BN47:BN50"/>
    <mergeCell ref="BP47:BP50"/>
    <mergeCell ref="BQ47:BQ50"/>
    <mergeCell ref="BH67:BH70"/>
    <mergeCell ref="BJ67:BJ74"/>
    <mergeCell ref="BK67:BK74"/>
    <mergeCell ref="BL67:BL70"/>
    <mergeCell ref="BM67:BM70"/>
    <mergeCell ref="BN67:BN70"/>
    <mergeCell ref="BO67:BO74"/>
    <mergeCell ref="BP67:BP70"/>
    <mergeCell ref="BQ67:BQ70"/>
    <mergeCell ref="BH71:BH74"/>
    <mergeCell ref="BL71:BL74"/>
    <mergeCell ref="BM71:BM74"/>
    <mergeCell ref="BN71:BN74"/>
    <mergeCell ref="BP71:BP74"/>
    <mergeCell ref="BQ71:BQ74"/>
    <mergeCell ref="BH59:BH62"/>
    <mergeCell ref="BJ59:BJ66"/>
    <mergeCell ref="BK59:BK66"/>
    <mergeCell ref="BL59:BL62"/>
    <mergeCell ref="BM59:BM62"/>
    <mergeCell ref="BN59:BN62"/>
    <mergeCell ref="BO59:BO66"/>
    <mergeCell ref="BP59:BP62"/>
    <mergeCell ref="BQ59:BQ62"/>
    <mergeCell ref="BH63:BH66"/>
    <mergeCell ref="BL63:BL66"/>
    <mergeCell ref="BM63:BM66"/>
    <mergeCell ref="BN63:BN66"/>
    <mergeCell ref="BP63:BP66"/>
    <mergeCell ref="BQ63:BQ66"/>
    <mergeCell ref="BX11:BX18"/>
    <mergeCell ref="BY11:BY14"/>
    <mergeCell ref="BZ11:BZ14"/>
    <mergeCell ref="CA11:CA14"/>
    <mergeCell ref="CB11:CB18"/>
    <mergeCell ref="CC11:CC14"/>
    <mergeCell ref="CD11:CD14"/>
    <mergeCell ref="BU15:BU18"/>
    <mergeCell ref="BY15:BY18"/>
    <mergeCell ref="BZ15:BZ18"/>
    <mergeCell ref="CA15:CA18"/>
    <mergeCell ref="CC15:CC18"/>
    <mergeCell ref="CD15:CD18"/>
    <mergeCell ref="BU35:BU38"/>
    <mergeCell ref="BW35:BW42"/>
    <mergeCell ref="BX35:BX42"/>
    <mergeCell ref="BY35:BY38"/>
    <mergeCell ref="BZ35:BZ38"/>
    <mergeCell ref="CA35:CA38"/>
    <mergeCell ref="CB35:CB42"/>
    <mergeCell ref="CC35:CC38"/>
    <mergeCell ref="CD35:CD38"/>
    <mergeCell ref="BU39:BU42"/>
    <mergeCell ref="BY39:BY42"/>
    <mergeCell ref="BZ39:BZ42"/>
    <mergeCell ref="CA39:CA42"/>
    <mergeCell ref="CC39:CC42"/>
    <mergeCell ref="CD39:CD42"/>
    <mergeCell ref="BU27:BU30"/>
    <mergeCell ref="BW27:BW34"/>
    <mergeCell ref="BX27:BX34"/>
    <mergeCell ref="BY27:BY30"/>
    <mergeCell ref="BZ27:BZ30"/>
    <mergeCell ref="CA27:CA30"/>
    <mergeCell ref="CB27:CB34"/>
    <mergeCell ref="CC27:CC30"/>
    <mergeCell ref="CD27:CD30"/>
    <mergeCell ref="BU31:BU34"/>
    <mergeCell ref="BY31:BY34"/>
    <mergeCell ref="BZ31:BZ34"/>
    <mergeCell ref="CA31:CA34"/>
    <mergeCell ref="CC31:CC34"/>
    <mergeCell ref="CD31:CD34"/>
    <mergeCell ref="BW51:BW58"/>
    <mergeCell ref="BX51:BX58"/>
    <mergeCell ref="BY51:BY54"/>
    <mergeCell ref="BZ51:BZ54"/>
    <mergeCell ref="CA51:CA54"/>
    <mergeCell ref="CB51:CB58"/>
    <mergeCell ref="CC51:CC54"/>
    <mergeCell ref="CD51:CD54"/>
    <mergeCell ref="BU55:BU58"/>
    <mergeCell ref="BY55:BY58"/>
    <mergeCell ref="BZ55:BZ58"/>
    <mergeCell ref="CA55:CA58"/>
    <mergeCell ref="CC55:CC58"/>
    <mergeCell ref="CD55:CD58"/>
    <mergeCell ref="BU43:BU46"/>
    <mergeCell ref="BW43:BW50"/>
    <mergeCell ref="BX43:BX50"/>
    <mergeCell ref="BY43:BY46"/>
    <mergeCell ref="BZ43:BZ46"/>
    <mergeCell ref="CA43:CA46"/>
    <mergeCell ref="CB43:CB50"/>
    <mergeCell ref="CC43:CC46"/>
    <mergeCell ref="CD43:CD46"/>
    <mergeCell ref="BU47:BU50"/>
    <mergeCell ref="BY47:BY50"/>
    <mergeCell ref="BZ47:BZ50"/>
    <mergeCell ref="CA47:CA50"/>
    <mergeCell ref="CC47:CC50"/>
    <mergeCell ref="CD47:CD50"/>
    <mergeCell ref="BU67:BU70"/>
    <mergeCell ref="BW67:BW74"/>
    <mergeCell ref="CH27:CH30"/>
    <mergeCell ref="BX67:BX74"/>
    <mergeCell ref="BY67:BY70"/>
    <mergeCell ref="BZ67:BZ70"/>
    <mergeCell ref="CA67:CA70"/>
    <mergeCell ref="CB67:CB74"/>
    <mergeCell ref="CC67:CC70"/>
    <mergeCell ref="CD67:CD70"/>
    <mergeCell ref="BU71:BU74"/>
    <mergeCell ref="BY71:BY74"/>
    <mergeCell ref="BZ71:BZ74"/>
    <mergeCell ref="CA71:CA74"/>
    <mergeCell ref="CC71:CC74"/>
    <mergeCell ref="CD71:CD74"/>
    <mergeCell ref="BU59:BU62"/>
    <mergeCell ref="BW59:BW66"/>
    <mergeCell ref="BX59:BX66"/>
    <mergeCell ref="BY59:BY62"/>
    <mergeCell ref="BZ59:BZ62"/>
    <mergeCell ref="CA59:CA62"/>
    <mergeCell ref="CB59:CB66"/>
    <mergeCell ref="CC59:CC62"/>
    <mergeCell ref="CD59:CD62"/>
    <mergeCell ref="BU63:BU66"/>
    <mergeCell ref="BY63:BY66"/>
    <mergeCell ref="BZ63:BZ66"/>
    <mergeCell ref="CA63:CA66"/>
    <mergeCell ref="CC63:CC66"/>
    <mergeCell ref="CD63:CD66"/>
    <mergeCell ref="BU51:BU54"/>
    <mergeCell ref="CH19:CH22"/>
    <mergeCell ref="CJ19:CJ26"/>
    <mergeCell ref="CK19:CK26"/>
    <mergeCell ref="CL19:CL22"/>
    <mergeCell ref="CM19:CM22"/>
    <mergeCell ref="CN19:CN22"/>
    <mergeCell ref="CO19:CO26"/>
    <mergeCell ref="CP19:CP22"/>
    <mergeCell ref="CQ19:CQ22"/>
    <mergeCell ref="CH23:CH26"/>
    <mergeCell ref="CL23:CL26"/>
    <mergeCell ref="CM23:CM26"/>
    <mergeCell ref="CN23:CN26"/>
    <mergeCell ref="CP23:CP26"/>
    <mergeCell ref="CQ23:CQ26"/>
    <mergeCell ref="CM27:CM30"/>
    <mergeCell ref="CN27:CN30"/>
    <mergeCell ref="CO27:CO34"/>
    <mergeCell ref="CP27:CP30"/>
    <mergeCell ref="CQ27:CQ30"/>
    <mergeCell ref="CH31:CH34"/>
    <mergeCell ref="CL31:CL34"/>
    <mergeCell ref="CM31:CM34"/>
    <mergeCell ref="CN31:CN34"/>
    <mergeCell ref="CJ11:CJ18"/>
    <mergeCell ref="CK11:CK18"/>
    <mergeCell ref="CL11:CL14"/>
    <mergeCell ref="CM11:CM14"/>
    <mergeCell ref="CN11:CN14"/>
    <mergeCell ref="CO11:CO18"/>
    <mergeCell ref="CP11:CP14"/>
    <mergeCell ref="CQ11:CQ14"/>
    <mergeCell ref="CH15:CH18"/>
    <mergeCell ref="CL15:CL18"/>
    <mergeCell ref="CM15:CM18"/>
    <mergeCell ref="CN15:CN18"/>
    <mergeCell ref="CP15:CP18"/>
    <mergeCell ref="CQ15:CQ18"/>
    <mergeCell ref="CH35:CH38"/>
    <mergeCell ref="CJ35:CJ42"/>
    <mergeCell ref="CK35:CK42"/>
    <mergeCell ref="CL35:CL38"/>
    <mergeCell ref="CM35:CM38"/>
    <mergeCell ref="CN35:CN38"/>
    <mergeCell ref="CO35:CO42"/>
    <mergeCell ref="CP35:CP38"/>
    <mergeCell ref="CQ35:CQ38"/>
    <mergeCell ref="CH39:CH42"/>
    <mergeCell ref="CL39:CL42"/>
    <mergeCell ref="CM39:CM42"/>
    <mergeCell ref="CN39:CN42"/>
    <mergeCell ref="CP39:CP42"/>
    <mergeCell ref="CQ39:CQ42"/>
    <mergeCell ref="CJ27:CJ34"/>
    <mergeCell ref="CK27:CK34"/>
    <mergeCell ref="CL27:CL30"/>
    <mergeCell ref="CP31:CP34"/>
    <mergeCell ref="CQ31:CQ34"/>
    <mergeCell ref="CH51:CH54"/>
    <mergeCell ref="CJ51:CJ58"/>
    <mergeCell ref="CK51:CK58"/>
    <mergeCell ref="CL51:CL54"/>
    <mergeCell ref="CM51:CM54"/>
    <mergeCell ref="CN51:CN54"/>
    <mergeCell ref="CO51:CO58"/>
    <mergeCell ref="CP51:CP54"/>
    <mergeCell ref="CQ51:CQ54"/>
    <mergeCell ref="CH55:CH58"/>
    <mergeCell ref="CL55:CL58"/>
    <mergeCell ref="CM55:CM58"/>
    <mergeCell ref="CN55:CN58"/>
    <mergeCell ref="CP55:CP58"/>
    <mergeCell ref="CQ55:CQ58"/>
    <mergeCell ref="CH43:CH46"/>
    <mergeCell ref="CJ43:CJ50"/>
    <mergeCell ref="CK43:CK50"/>
    <mergeCell ref="CL43:CL46"/>
    <mergeCell ref="CM43:CM46"/>
    <mergeCell ref="CN43:CN46"/>
    <mergeCell ref="CO43:CO50"/>
    <mergeCell ref="CP43:CP46"/>
    <mergeCell ref="CQ43:CQ46"/>
    <mergeCell ref="CH47:CH50"/>
    <mergeCell ref="CL47:CL50"/>
    <mergeCell ref="CM47:CM50"/>
    <mergeCell ref="CN47:CN50"/>
    <mergeCell ref="CP47:CP50"/>
    <mergeCell ref="CQ47:CQ50"/>
    <mergeCell ref="CH67:CH70"/>
    <mergeCell ref="CJ67:CJ74"/>
    <mergeCell ref="CK67:CK74"/>
    <mergeCell ref="CL67:CL70"/>
    <mergeCell ref="CM67:CM70"/>
    <mergeCell ref="CN67:CN70"/>
    <mergeCell ref="CO67:CO74"/>
    <mergeCell ref="CP67:CP70"/>
    <mergeCell ref="CQ67:CQ70"/>
    <mergeCell ref="CH71:CH74"/>
    <mergeCell ref="CL71:CL74"/>
    <mergeCell ref="CM71:CM74"/>
    <mergeCell ref="CN71:CN74"/>
    <mergeCell ref="CP71:CP74"/>
    <mergeCell ref="CQ71:CQ74"/>
    <mergeCell ref="CH59:CH62"/>
    <mergeCell ref="CJ59:CJ66"/>
    <mergeCell ref="CK59:CK66"/>
    <mergeCell ref="CL59:CL62"/>
    <mergeCell ref="CM59:CM62"/>
    <mergeCell ref="CN59:CN62"/>
    <mergeCell ref="CO59:CO66"/>
    <mergeCell ref="CP59:CP62"/>
    <mergeCell ref="CQ59:CQ62"/>
    <mergeCell ref="CH63:CH66"/>
    <mergeCell ref="CL63:CL66"/>
    <mergeCell ref="CM63:CM66"/>
    <mergeCell ref="CN63:CN66"/>
    <mergeCell ref="CP63:CP66"/>
    <mergeCell ref="CQ63:CQ66"/>
    <mergeCell ref="CL75:CL78"/>
    <mergeCell ref="CM75:CM78"/>
    <mergeCell ref="CN75:CN78"/>
    <mergeCell ref="CO75:CO82"/>
    <mergeCell ref="CP75:CP78"/>
    <mergeCell ref="CQ75:CQ78"/>
    <mergeCell ref="CH79:CH82"/>
    <mergeCell ref="CL79:CL82"/>
    <mergeCell ref="CM79:CM82"/>
    <mergeCell ref="CN79:CN82"/>
    <mergeCell ref="CP79:CP82"/>
    <mergeCell ref="CQ79:CQ82"/>
    <mergeCell ref="BU75:BU78"/>
    <mergeCell ref="BW75:BW82"/>
    <mergeCell ref="BX75:BX82"/>
    <mergeCell ref="BY75:BY78"/>
    <mergeCell ref="BZ75:BZ78"/>
    <mergeCell ref="CA75:CA78"/>
    <mergeCell ref="CB75:CB82"/>
    <mergeCell ref="CC75:CC78"/>
    <mergeCell ref="CD75:CD78"/>
    <mergeCell ref="BU79:BU82"/>
    <mergeCell ref="BY79:BY82"/>
    <mergeCell ref="BZ79:BZ82"/>
    <mergeCell ref="CA79:CA82"/>
    <mergeCell ref="CC79:CC82"/>
    <mergeCell ref="CD79:CD82"/>
    <mergeCell ref="I110:I114"/>
    <mergeCell ref="I115:I118"/>
    <mergeCell ref="I119:I122"/>
    <mergeCell ref="I123:I126"/>
    <mergeCell ref="I127:I130"/>
    <mergeCell ref="I155:I158"/>
    <mergeCell ref="I159:I162"/>
    <mergeCell ref="I163:I166"/>
    <mergeCell ref="I167:I170"/>
    <mergeCell ref="E84:F84"/>
    <mergeCell ref="E85:F89"/>
    <mergeCell ref="E90:F94"/>
    <mergeCell ref="E95:F99"/>
    <mergeCell ref="CH75:CH78"/>
    <mergeCell ref="CJ75:CJ82"/>
    <mergeCell ref="CK75:CK82"/>
    <mergeCell ref="BH75:BH78"/>
    <mergeCell ref="BJ75:BJ82"/>
    <mergeCell ref="BK75:BK82"/>
    <mergeCell ref="BL75:BL78"/>
    <mergeCell ref="BM75:BM78"/>
    <mergeCell ref="BN75:BN78"/>
    <mergeCell ref="BO75:BO82"/>
    <mergeCell ref="BP75:BP78"/>
    <mergeCell ref="BQ75:BQ78"/>
    <mergeCell ref="BH79:BH82"/>
    <mergeCell ref="BL79:BL82"/>
    <mergeCell ref="BM79:BM82"/>
    <mergeCell ref="BN79:BN82"/>
    <mergeCell ref="BP79:BP82"/>
    <mergeCell ref="BQ79:BQ82"/>
    <mergeCell ref="AT75:AT78"/>
    <mergeCell ref="BD19:BD22"/>
    <mergeCell ref="BD23:BD26"/>
    <mergeCell ref="BD27:BD30"/>
    <mergeCell ref="BD31:BD34"/>
    <mergeCell ref="BD35:BD38"/>
    <mergeCell ref="BD39:BD42"/>
    <mergeCell ref="BD43:BD46"/>
    <mergeCell ref="BD47:BD50"/>
    <mergeCell ref="BD51:BD54"/>
    <mergeCell ref="BD55:BD58"/>
    <mergeCell ref="BD59:BD62"/>
    <mergeCell ref="BD63:BD66"/>
    <mergeCell ref="BD67:BD70"/>
    <mergeCell ref="BD71:BD74"/>
    <mergeCell ref="BD75:BD78"/>
    <mergeCell ref="BD79:BD82"/>
    <mergeCell ref="I105:I109"/>
    <mergeCell ref="AV75:AV82"/>
    <mergeCell ref="AW75:AW82"/>
    <mergeCell ref="AX75:AX78"/>
    <mergeCell ref="AY75:AY78"/>
    <mergeCell ref="AZ75:AZ78"/>
    <mergeCell ref="BA75:BA82"/>
    <mergeCell ref="BB75:BB78"/>
    <mergeCell ref="BC75:BC78"/>
    <mergeCell ref="AT79:AT82"/>
    <mergeCell ref="AX79:AX82"/>
    <mergeCell ref="AY79:AY82"/>
    <mergeCell ref="AZ79:AZ82"/>
    <mergeCell ref="BB79:BB82"/>
    <mergeCell ref="BC79:BC82"/>
    <mergeCell ref="AT67:AT70"/>
  </mergeCells>
  <pageMargins left="0.17" right="0.17" top="0.75" bottom="0.17" header="0.3" footer="0.3"/>
  <pageSetup paperSize="9" scale="16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2:G57"/>
  <sheetViews>
    <sheetView workbookViewId="0">
      <selection activeCell="I11" sqref="I11"/>
    </sheetView>
  </sheetViews>
  <sheetFormatPr defaultRowHeight="15" x14ac:dyDescent="0.25"/>
  <sheetData>
    <row r="2" spans="2:7" x14ac:dyDescent="0.25">
      <c r="B2" s="265" t="s">
        <v>113</v>
      </c>
      <c r="C2" s="29" t="s">
        <v>62</v>
      </c>
      <c r="D2" s="143">
        <v>8</v>
      </c>
      <c r="E2" s="27" t="b">
        <f>IF(C2=Цены!$H$3,Цены!$L$3,IF(C2=Цены!$H$4,Цены!$L$4,IF(C2=Цены!$H$5,Цены!$L$5,IF(C2=Цены!$H$6,Цены!$L$6,IF(C2=Цены!$H$7,Цены!$L$7,IF(C2=Цены!$H$8,Цены!$L$8,IF(C2=Цены!$H$9,Цены!$L$9,IF(C2=Цены!$H$10,Цены!$L$10,IF(C2=Цены!$H$11,Цены!$L$11,IF(C2=Цены!$H$12,Цены!$L$12,IF(C2=Цены!$H$13,Цены!$L$13,IF(C2=Цены!$H$14,Цены!$L$14,IF(C2=Цены!$H$14,Цены!$L$14,IF(C2=Цены!$H$15,Цены!$L$15,IF(C2=Цены!$H$16,Цены!$L$16,IF(C2=Цены!$H$17,Цены!$L$17,IF(C2=Цены!$H$18,Цены!$L$18,IF(C2=Цены!$H$19,Цены!$L$19,IF(C2=Цены!$H$20,Цены!$L$20,IF(C2=Цены!$H$21,Цены!$L$21,IF(C2=Цены!$H$22,Цены!$L$22,IF(C2=Цены!$H$23,Цены!$L$23,IF(C2=Цены!$H$24,Цены!$L$24,IF(C2=Цены!$H$25,Цены!$L$25,IF(C2=Цены!$H$26,Цены!$L$26,IF(C2=Цены!$H$27,Цены!$L$27,IF(C2=Цены!$H$28,Цены!$L$28,IF(C2=Цены!$H$29,Цены!$L$29,IF(C2=Цены!$H$30,Цены!$L$30,IF(C2=Цены!$H$31,Цены!$L$31,IF(C2=Цены!$H$32,Цены!$L$32,IF(C2=Цены!$H$33,Цены!$L$33,IF(C2=Цены!$H$34,Цены!$L$34,IF(C2=Цены!$H$35,Цены!$L$35,IF(C2=Цены!$H$36,Цены!$L$36,IF(C2=Цены!$H$37,Цены!$L$37,IF(C2=Цены!$H$38,Цены!$L$38,IF(C2=Цены!$H$39,Цены!$L$39,IF(C2=Цены!$H$40,Цены!$L$40,IF(C2=Цены!$H$41,Цены!$L$41,IF(C2=Цены!$H$42,Цены!$L$42,IF(C2=Цены!$H$43,Цены!$L$43,IF(C2=Цены!$H$44,Цены!$L$44,IF(C2=Цены!$H$45,Цены!$L$45,IF(C2=Цены!$H$46,Цены!$L$46,IF(C2=Цены!$H$47,Цены!$L$47,IF(C2=Цены!$H$48,Цены!$L$48,IF(C2=Цены!$H$49,Цены!$L$49,IF(C2=Цены!$H$50,Цены!$L$50,IF(C2=Цены!$H$51,Цены!$L$51,IF(C2=Цены!$H$52,Цены!$L$52,IF(C2=Цены!$H$53,Цены!$L$53,IF(C2=Цены!$H$54,Цены!$L$54,IF(C2=Цены!$H$55,Цены!$L$55))))))))))))))))))))))))))))))))))))))))))))))))))))))</f>
        <v>0</v>
      </c>
      <c r="F2" s="309">
        <f>D2*E2+D3*E3+D4*E4+D5*E5</f>
        <v>5.8128000000000002</v>
      </c>
      <c r="G2" s="387" t="s">
        <v>152</v>
      </c>
    </row>
    <row r="3" spans="2:7" x14ac:dyDescent="0.25">
      <c r="B3" s="265"/>
      <c r="C3" s="26" t="s">
        <v>122</v>
      </c>
      <c r="D3" s="143">
        <v>7</v>
      </c>
      <c r="E3" s="27">
        <f>IF(C3=Цены!$H$3,Цены!$L$3,IF(C3=Цены!$H$4,Цены!$L$4,IF(C3=Цены!$H$5,Цены!$L$5,IF(C3=Цены!$H$6,Цены!$L$6,IF(C3=Цены!$H$7,Цены!$L$7,IF(C3=Цены!$H$8,Цены!$L$8,IF(C3=Цены!$H$9,Цены!$L$9,IF(C3=Цены!$H$10,Цены!$L$10,IF(C3=Цены!$H$11,Цены!$L$11,IF(C3=Цены!$H$12,Цены!$L$12,IF(C3=Цены!$H$13,Цены!$L$13,IF(C3=Цены!$H$14,Цены!$L$14,IF(C3=Цены!$H$14,Цены!$L$14,IF(C3=Цены!$H$15,Цены!$L$15,IF(C3=Цены!$H$16,Цены!$L$16,IF(C3=Цены!$H$17,Цены!$L$17,IF(C3=Цены!$H$18,Цены!$L$18,IF(C3=Цены!$H$19,Цены!$L$19,IF(C3=Цены!$H$20,Цены!$L$20,IF(C3=Цены!$H$21,Цены!$L$21,IF(C3=Цены!$H$22,Цены!$L$22,IF(C3=Цены!$H$23,Цены!$L$23,IF(C3=Цены!$H$24,Цены!$L$24,IF(C3=Цены!$H$25,Цены!$L$25,IF(C3=Цены!$H$26,Цены!$L$26,IF(C3=Цены!$H$27,Цены!$L$27,IF(C3=Цены!$H$28,Цены!$L$28,IF(C3=Цены!$H$29,Цены!$L$29,IF(C3=Цены!$H$30,Цены!$L$30,IF(C3=Цены!$H$31,Цены!$L$31,IF(C3=Цены!$H$32,Цены!$L$32,IF(C3=Цены!$H$33,Цены!$L$33,IF(C3=Цены!$H$34,Цены!$L$34,IF(C3=Цены!$H$35,Цены!$L$35,IF(C3=Цены!$H$36,Цены!$L$36,IF(C3=Цены!$H$37,Цены!$L$37,IF(C3=Цены!$H$38,Цены!$L$38,IF(C3=Цены!$H$39,Цены!$L$39,IF(C3=Цены!$H$40,Цены!$L$40,IF(C3=Цены!$H$41,Цены!$L$41,IF(C3=Цены!$H$42,Цены!$L$42,IF(C3=Цены!$H$43,Цены!$L$43,IF(C3=Цены!$H$44,Цены!$L$44,IF(C3=Цены!$H$45,Цены!$L$45,IF(C3=Цены!$H$46,Цены!$L$46,IF(C3=Цены!$H$47,Цены!$L$47,IF(C3=Цены!$H$48,Цены!$L$48,IF(C3=Цены!$H$49,Цены!$L$49,IF(C3=Цены!$H$50,Цены!$L$50,IF(C3=Цены!$H$51,Цены!$L$51,IF(C3=Цены!$H$52,Цены!$L$52,IF(C3=Цены!$H$53,Цены!$L$53,IF(C3=Цены!$H$54,Цены!$L$54,IF(C3=Цены!$H$55,Цены!$L$55))))))))))))))))))))))))))))))))))))))))))))))))))))))</f>
        <v>0.6</v>
      </c>
      <c r="F3" s="309"/>
      <c r="G3" s="387"/>
    </row>
    <row r="4" spans="2:7" x14ac:dyDescent="0.25">
      <c r="B4" s="265"/>
      <c r="C4" s="26" t="s">
        <v>123</v>
      </c>
      <c r="D4" s="143">
        <v>4</v>
      </c>
      <c r="E4" s="27">
        <f>IF(C4=Цены!$H$3,Цены!$L$3,IF(C4=Цены!$H$4,Цены!$L$4,IF(C4=Цены!$H$5,Цены!$L$5,IF(C4=Цены!$H$6,Цены!$L$6,IF(C4=Цены!$H$7,Цены!$L$7,IF(C4=Цены!$H$8,Цены!$L$8,IF(C4=Цены!$H$9,Цены!$L$9,IF(C4=Цены!$H$10,Цены!$L$10,IF(C4=Цены!$H$11,Цены!$L$11,IF(C4=Цены!$H$12,Цены!$L$12,IF(C4=Цены!$H$13,Цены!$L$13,IF(C4=Цены!$H$14,Цены!$L$14,IF(C4=Цены!$H$14,Цены!$L$14,IF(C4=Цены!$H$15,Цены!$L$15,IF(C4=Цены!$H$16,Цены!$L$16,IF(C4=Цены!$H$17,Цены!$L$17,IF(C4=Цены!$H$18,Цены!$L$18,IF(C4=Цены!$H$19,Цены!$L$19,IF(C4=Цены!$H$20,Цены!$L$20,IF(C4=Цены!$H$21,Цены!$L$21,IF(C4=Цены!$H$22,Цены!$L$22,IF(C4=Цены!$H$23,Цены!$L$23,IF(C4=Цены!$H$24,Цены!$L$24,IF(C4=Цены!$H$25,Цены!$L$25,IF(C4=Цены!$H$26,Цены!$L$26,IF(C4=Цены!$H$27,Цены!$L$27,IF(C4=Цены!$H$28,Цены!$L$28,IF(C4=Цены!$H$29,Цены!$L$29,IF(C4=Цены!$H$30,Цены!$L$30,IF(C4=Цены!$H$31,Цены!$L$31,IF(C4=Цены!$H$32,Цены!$L$32,IF(C4=Цены!$H$33,Цены!$L$33,IF(C4=Цены!$H$34,Цены!$L$34,IF(C4=Цены!$H$35,Цены!$L$35,IF(C4=Цены!$H$36,Цены!$L$36,IF(C4=Цены!$H$37,Цены!$L$37,IF(C4=Цены!$H$38,Цены!$L$38,IF(C4=Цены!$H$39,Цены!$L$39,IF(C4=Цены!$H$40,Цены!$L$40,IF(C4=Цены!$H$41,Цены!$L$41,IF(C4=Цены!$H$42,Цены!$L$42,IF(C4=Цены!$H$43,Цены!$L$43,IF(C4=Цены!$H$44,Цены!$L$44,IF(C4=Цены!$H$45,Цены!$L$45,IF(C4=Цены!$H$46,Цены!$L$46,IF(C4=Цены!$H$47,Цены!$L$47,IF(C4=Цены!$H$48,Цены!$L$48,IF(C4=Цены!$H$49,Цены!$L$49,IF(C4=Цены!$H$50,Цены!$L$50,IF(C4=Цены!$H$51,Цены!$L$51,IF(C4=Цены!$H$52,Цены!$L$52,IF(C4=Цены!$H$53,Цены!$L$53,IF(C4=Цены!$H$54,Цены!$L$54,IF(C4=Цены!$H$55,Цены!$L$55))))))))))))))))))))))))))))))))))))))))))))))))))))))</f>
        <v>0.39</v>
      </c>
      <c r="F4" s="309"/>
      <c r="G4" s="387"/>
    </row>
    <row r="5" spans="2:7" x14ac:dyDescent="0.25">
      <c r="B5" s="265"/>
      <c r="C5" s="26" t="s">
        <v>121</v>
      </c>
      <c r="D5" s="143">
        <v>4</v>
      </c>
      <c r="E5" s="27">
        <f>IF(C5=Цены!$H$3,Цены!$L$3,IF(C5=Цены!$H$4,Цены!$L$4,IF(C5=Цены!$H$5,Цены!$L$5,IF(C5=Цены!$H$6,Цены!$L$6,IF(C5=Цены!$H$7,Цены!$L$7,IF(C5=Цены!$H$8,Цены!$L$8,IF(C5=Цены!$H$9,Цены!$L$9,IF(C5=Цены!$H$10,Цены!$L$10,IF(C5=Цены!$H$11,Цены!$L$11,IF(C5=Цены!$H$12,Цены!$L$12,IF(C5=Цены!$H$13,Цены!$L$13,IF(C5=Цены!$H$14,Цены!$L$14,IF(C5=Цены!$H$14,Цены!$L$14,IF(C5=Цены!$H$15,Цены!$L$15,IF(C5=Цены!$H$16,Цены!$L$16,IF(C5=Цены!$H$17,Цены!$L$17,IF(C5=Цены!$H$18,Цены!$L$18,IF(C5=Цены!$H$19,Цены!$L$19,IF(C5=Цены!$H$20,Цены!$L$20,IF(C5=Цены!$H$21,Цены!$L$21,IF(C5=Цены!$H$22,Цены!$L$22,IF(C5=Цены!$H$23,Цены!$L$23,IF(C5=Цены!$H$24,Цены!$L$24,IF(C5=Цены!$H$25,Цены!$L$25,IF(C5=Цены!$H$26,Цены!$L$26,IF(C5=Цены!$H$27,Цены!$L$27,IF(C5=Цены!$H$28,Цены!$L$28,IF(C5=Цены!$H$29,Цены!$L$29,IF(C5=Цены!$H$30,Цены!$L$30,IF(C5=Цены!$H$31,Цены!$L$31,IF(C5=Цены!$H$32,Цены!$L$32,IF(C5=Цены!$H$33,Цены!$L$33,IF(C5=Цены!$H$34,Цены!$L$34,IF(C5=Цены!$H$35,Цены!$L$35,IF(C5=Цены!$H$36,Цены!$L$36,IF(C5=Цены!$H$37,Цены!$L$37,IF(C5=Цены!$H$38,Цены!$L$38,IF(C5=Цены!$H$39,Цены!$L$39,IF(C5=Цены!$H$40,Цены!$L$40,IF(C5=Цены!$H$41,Цены!$L$41,IF(C5=Цены!$H$42,Цены!$L$42,IF(C5=Цены!$H$43,Цены!$L$43,IF(C5=Цены!$H$44,Цены!$L$44,IF(C5=Цены!$H$45,Цены!$L$45,IF(C5=Цены!$H$46,Цены!$L$46,IF(C5=Цены!$H$47,Цены!$L$47,IF(C5=Цены!$H$48,Цены!$L$48,IF(C5=Цены!$H$49,Цены!$L$49,IF(C5=Цены!$H$50,Цены!$L$50,IF(C5=Цены!$H$51,Цены!$L$51,IF(C5=Цены!$H$52,Цены!$L$52,IF(C5=Цены!$H$53,Цены!$L$53,IF(C5=Цены!$H$54,Цены!$L$54,IF(C5=Цены!$H$55,Цены!$L$55))))))))))))))))))))))))))))))))))))))))))))))))))))))</f>
        <v>1.32E-2</v>
      </c>
      <c r="F5" s="309"/>
      <c r="G5" s="387"/>
    </row>
    <row r="6" spans="2:7" x14ac:dyDescent="0.25">
      <c r="B6" s="336" t="s">
        <v>120</v>
      </c>
      <c r="C6" s="44" t="s">
        <v>67</v>
      </c>
      <c r="D6" s="158">
        <v>8</v>
      </c>
      <c r="E6" s="46">
        <f>IF(C6=Цены!$H$3,Цены!$L$3,IF(C6=Цены!$H$4,Цены!$L$4,IF(C6=Цены!$H$5,Цены!$L$5,IF(C6=Цены!$H$6,Цены!$L$6,IF(C6=Цены!$H$7,Цены!$L$7,IF(C6=Цены!$H$8,Цены!$L$8,IF(C6=Цены!$H$9,Цены!$L$9,IF(C6=Цены!$H$10,Цены!$L$10,IF(C6=Цены!$H$11,Цены!$L$11,IF(C6=Цены!$H$12,Цены!$L$12,IF(C6=Цены!$H$13,Цены!$L$13,IF(C6=Цены!$H$14,Цены!$L$14,IF(C6=Цены!$H$14,Цены!$L$14,IF(C6=Цены!$H$15,Цены!$L$15,IF(C6=Цены!$H$16,Цены!$L$16,IF(C6=Цены!$H$17,Цены!$L$17,IF(C6=Цены!$H$18,Цены!$L$18,IF(C6=Цены!$H$19,Цены!$L$19,IF(C6=Цены!$H$20,Цены!$L$20,IF(C6=Цены!$H$21,Цены!$L$21,IF(C6=Цены!$H$22,Цены!$L$22,IF(C6=Цены!$H$23,Цены!$L$23,IF(C6=Цены!$H$24,Цены!$L$24,IF(C6=Цены!$H$25,Цены!$L$25,IF(C6=Цены!$H$26,Цены!$L$26,IF(C6=Цены!$H$27,Цены!$L$27,IF(C6=Цены!$H$28,Цены!$L$28,IF(C6=Цены!$H$29,Цены!$L$29,IF(C6=Цены!$H$30,Цены!$L$30,IF(C6=Цены!$H$31,Цены!$L$31,IF(C6=Цены!$H$32,Цены!$L$32,IF(C6=Цены!$H$33,Цены!$L$33,IF(C6=Цены!$H$34,Цены!$L$34,IF(C6=Цены!$H$35,Цены!$L$35,IF(C6=Цены!$H$36,Цены!$L$36,IF(C6=Цены!$H$37,Цены!$L$37,IF(C6=Цены!$H$38,Цены!$L$38,IF(C6=Цены!$H$39,Цены!$L$39,IF(C6=Цены!$H$40,Цены!$L$40,IF(C6=Цены!$H$41,Цены!$L$41,IF(C6=Цены!$H$42,Цены!$L$42,IF(C6=Цены!$H$43,Цены!$L$43,IF(C6=Цены!$H$44,Цены!$L$44,IF(C6=Цены!$H$45,Цены!$L$45,IF(C6=Цены!$H$46,Цены!$L$46,IF(C6=Цены!$H$47,Цены!$L$47,IF(C6=Цены!$H$48,Цены!$L$48,IF(C6=Цены!$H$49,Цены!$L$49,IF(C6=Цены!$H$50,Цены!$L$50,IF(C6=Цены!$H$51,Цены!$L$51,IF(C6=Цены!$H$52,Цены!$L$52,IF(C6=Цены!$H$53,Цены!$L$53,IF(C6=Цены!$H$54,Цены!$L$54,IF(C6=Цены!$H$55,Цены!$L$55))))))))))))))))))))))))))))))))))))))))))))))))))))))</f>
        <v>0.9</v>
      </c>
      <c r="F6" s="339">
        <f>D6*E6+D7*E7+D8*E8+D9*E9</f>
        <v>17.212800000000001</v>
      </c>
      <c r="G6" s="387"/>
    </row>
    <row r="7" spans="2:7" x14ac:dyDescent="0.25">
      <c r="B7" s="336"/>
      <c r="C7" s="44" t="s">
        <v>87</v>
      </c>
      <c r="D7" s="158">
        <v>7</v>
      </c>
      <c r="E7" s="46">
        <f>IF(C7=Цены!$H$3,Цены!$L$3,IF(C7=Цены!$H$4,Цены!$L$4,IF(C7=Цены!$H$5,Цены!$L$5,IF(C7=Цены!$H$6,Цены!$L$6,IF(C7=Цены!$H$7,Цены!$L$7,IF(C7=Цены!$H$8,Цены!$L$8,IF(C7=Цены!$H$9,Цены!$L$9,IF(C7=Цены!$H$10,Цены!$L$10,IF(C7=Цены!$H$11,Цены!$L$11,IF(C7=Цены!$H$12,Цены!$L$12,IF(C7=Цены!$H$13,Цены!$L$13,IF(C7=Цены!$H$14,Цены!$L$14,IF(C7=Цены!$H$14,Цены!$L$14,IF(C7=Цены!$H$15,Цены!$L$15,IF(C7=Цены!$H$16,Цены!$L$16,IF(C7=Цены!$H$17,Цены!$L$17,IF(C7=Цены!$H$18,Цены!$L$18,IF(C7=Цены!$H$19,Цены!$L$19,IF(C7=Цены!$H$20,Цены!$L$20,IF(C7=Цены!$H$21,Цены!$L$21,IF(C7=Цены!$H$22,Цены!$L$22,IF(C7=Цены!$H$23,Цены!$L$23,IF(C7=Цены!$H$24,Цены!$L$24,IF(C7=Цены!$H$25,Цены!$L$25,IF(C7=Цены!$H$26,Цены!$L$26,IF(C7=Цены!$H$27,Цены!$L$27,IF(C7=Цены!$H$28,Цены!$L$28,IF(C7=Цены!$H$29,Цены!$L$29,IF(C7=Цены!$H$30,Цены!$L$30,IF(C7=Цены!$H$31,Цены!$L$31,IF(C7=Цены!$H$32,Цены!$L$32,IF(C7=Цены!$H$33,Цены!$L$33,IF(C7=Цены!$H$34,Цены!$L$34,IF(C7=Цены!$H$35,Цены!$L$35,IF(C7=Цены!$H$36,Цены!$L$36,IF(C7=Цены!$H$37,Цены!$L$37,IF(C7=Цены!$H$38,Цены!$L$38,IF(C7=Цены!$H$39,Цены!$L$39,IF(C7=Цены!$H$40,Цены!$L$40,IF(C7=Цены!$H$41,Цены!$L$41,IF(C7=Цены!$H$42,Цены!$L$42,IF(C7=Цены!$H$43,Цены!$L$43,IF(C7=Цены!$H$44,Цены!$L$44,IF(C7=Цены!$H$45,Цены!$L$45,IF(C7=Цены!$H$46,Цены!$L$46,IF(C7=Цены!$H$47,Цены!$L$47,IF(C7=Цены!$H$48,Цены!$L$48,IF(C7=Цены!$H$49,Цены!$L$49,IF(C7=Цены!$H$50,Цены!$L$50,IF(C7=Цены!$H$51,Цены!$L$51,IF(C7=Цены!$H$52,Цены!$L$52,IF(C7=Цены!$H$53,Цены!$L$53,IF(C7=Цены!$H$54,Цены!$L$54,IF(C7=Цены!$H$55,Цены!$L$55))))))))))))))))))))))))))))))))))))))))))))))))))))))</f>
        <v>1.2</v>
      </c>
      <c r="F7" s="339"/>
      <c r="G7" s="387"/>
    </row>
    <row r="8" spans="2:7" x14ac:dyDescent="0.25">
      <c r="B8" s="336"/>
      <c r="C8" s="48" t="s">
        <v>125</v>
      </c>
      <c r="D8" s="158">
        <v>4</v>
      </c>
      <c r="E8" s="46">
        <f>IF(C8=Цены!$H$3,Цены!$L$3,IF(C8=Цены!$H$4,Цены!$L$4,IF(C8=Цены!$H$5,Цены!$L$5,IF(C8=Цены!$H$6,Цены!$L$6,IF(C8=Цены!$H$7,Цены!$L$7,IF(C8=Цены!$H$8,Цены!$L$8,IF(C8=Цены!$H$9,Цены!$L$9,IF(C8=Цены!$H$10,Цены!$L$10,IF(C8=Цены!$H$11,Цены!$L$11,IF(C8=Цены!$H$12,Цены!$L$12,IF(C8=Цены!$H$13,Цены!$L$13,IF(C8=Цены!$H$14,Цены!$L$14,IF(C8=Цены!$H$14,Цены!$L$14,IF(C8=Цены!$H$15,Цены!$L$15,IF(C8=Цены!$H$16,Цены!$L$16,IF(C8=Цены!$H$17,Цены!$L$17,IF(C8=Цены!$H$18,Цены!$L$18,IF(C8=Цены!$H$19,Цены!$L$19,IF(C8=Цены!$H$20,Цены!$L$20,IF(C8=Цены!$H$21,Цены!$L$21,IF(C8=Цены!$H$22,Цены!$L$22,IF(C8=Цены!$H$23,Цены!$L$23,IF(C8=Цены!$H$24,Цены!$L$24,IF(C8=Цены!$H$25,Цены!$L$25,IF(C8=Цены!$H$26,Цены!$L$26,IF(C8=Цены!$H$27,Цены!$L$27,IF(C8=Цены!$H$28,Цены!$L$28,IF(C8=Цены!$H$29,Цены!$L$29,IF(C8=Цены!$H$30,Цены!$L$30,IF(C8=Цены!$H$31,Цены!$L$31,IF(C8=Цены!$H$32,Цены!$L$32,IF(C8=Цены!$H$33,Цены!$L$33,IF(C8=Цены!$H$34,Цены!$L$34,IF(C8=Цены!$H$35,Цены!$L$35,IF(C8=Цены!$H$36,Цены!$L$36,IF(C8=Цены!$H$37,Цены!$L$37,IF(C8=Цены!$H$38,Цены!$L$38,IF(C8=Цены!$H$39,Цены!$L$39,IF(C8=Цены!$H$40,Цены!$L$40,IF(C8=Цены!$H$41,Цены!$L$41,IF(C8=Цены!$H$42,Цены!$L$42,IF(C8=Цены!$H$43,Цены!$L$43,IF(C8=Цены!$H$44,Цены!$L$44,IF(C8=Цены!$H$45,Цены!$L$45,IF(C8=Цены!$H$46,Цены!$L$46,IF(C8=Цены!$H$47,Цены!$L$47,IF(C8=Цены!$H$48,Цены!$L$48,IF(C8=Цены!$H$49,Цены!$L$49,IF(C8=Цены!$H$50,Цены!$L$50,IF(C8=Цены!$H$51,Цены!$L$51,IF(C8=Цены!$H$52,Цены!$L$52,IF(C8=Цены!$H$53,Цены!$L$53,IF(C8=Цены!$H$54,Цены!$L$54,IF(C8=Цены!$H$55,Цены!$L$55))))))))))))))))))))))))))))))))))))))))))))))))))))))</f>
        <v>0.39</v>
      </c>
      <c r="F8" s="339"/>
      <c r="G8" s="387"/>
    </row>
    <row r="9" spans="2:7" x14ac:dyDescent="0.25">
      <c r="B9" s="336"/>
      <c r="C9" s="44" t="s">
        <v>121</v>
      </c>
      <c r="D9" s="158">
        <v>4</v>
      </c>
      <c r="E9" s="46">
        <f>IF(C9=Цены!$H$3,Цены!$L$3,IF(C9=Цены!$H$4,Цены!$L$4,IF(C9=Цены!$H$5,Цены!$L$5,IF(C9=Цены!$H$6,Цены!$L$6,IF(C9=Цены!$H$7,Цены!$L$7,IF(C9=Цены!$H$8,Цены!$L$8,IF(C9=Цены!$H$9,Цены!$L$9,IF(C9=Цены!$H$10,Цены!$L$10,IF(C9=Цены!$H$11,Цены!$L$11,IF(C9=Цены!$H$12,Цены!$L$12,IF(C9=Цены!$H$13,Цены!$L$13,IF(C9=Цены!$H$14,Цены!$L$14,IF(C9=Цены!$H$14,Цены!$L$14,IF(C9=Цены!$H$15,Цены!$L$15,IF(C9=Цены!$H$16,Цены!$L$16,IF(C9=Цены!$H$17,Цены!$L$17,IF(C9=Цены!$H$18,Цены!$L$18,IF(C9=Цены!$H$19,Цены!$L$19,IF(C9=Цены!$H$20,Цены!$L$20,IF(C9=Цены!$H$21,Цены!$L$21,IF(C9=Цены!$H$22,Цены!$L$22,IF(C9=Цены!$H$23,Цены!$L$23,IF(C9=Цены!$H$24,Цены!$L$24,IF(C9=Цены!$H$25,Цены!$L$25,IF(C9=Цены!$H$26,Цены!$L$26,IF(C9=Цены!$H$27,Цены!$L$27,IF(C9=Цены!$H$28,Цены!$L$28,IF(C9=Цены!$H$29,Цены!$L$29,IF(C9=Цены!$H$30,Цены!$L$30,IF(C9=Цены!$H$31,Цены!$L$31,IF(C9=Цены!$H$32,Цены!$L$32,IF(C9=Цены!$H$33,Цены!$L$33,IF(C9=Цены!$H$34,Цены!$L$34,IF(C9=Цены!$H$35,Цены!$L$35,IF(C9=Цены!$H$36,Цены!$L$36,IF(C9=Цены!$H$37,Цены!$L$37,IF(C9=Цены!$H$38,Цены!$L$38,IF(C9=Цены!$H$39,Цены!$L$39,IF(C9=Цены!$H$40,Цены!$L$40,IF(C9=Цены!$H$41,Цены!$L$41,IF(C9=Цены!$H$42,Цены!$L$42,IF(C9=Цены!$H$43,Цены!$L$43,IF(C9=Цены!$H$44,Цены!$L$44,IF(C9=Цены!$H$45,Цены!$L$45,IF(C9=Цены!$H$46,Цены!$L$46,IF(C9=Цены!$H$47,Цены!$L$47,IF(C9=Цены!$H$48,Цены!$L$48,IF(C9=Цены!$H$49,Цены!$L$49,IF(C9=Цены!$H$50,Цены!$L$50,IF(C9=Цены!$H$51,Цены!$L$51,IF(C9=Цены!$H$52,Цены!$L$52,IF(C9=Цены!$H$53,Цены!$L$53,IF(C9=Цены!$H$54,Цены!$L$54,IF(C9=Цены!$H$55,Цены!$L$55))))))))))))))))))))))))))))))))))))))))))))))))))))))</f>
        <v>1.32E-2</v>
      </c>
      <c r="F9" s="339"/>
      <c r="G9" s="387"/>
    </row>
    <row r="10" spans="2:7" x14ac:dyDescent="0.25">
      <c r="B10" s="265" t="s">
        <v>113</v>
      </c>
      <c r="C10" s="123" t="s">
        <v>142</v>
      </c>
      <c r="D10" s="143">
        <v>10</v>
      </c>
      <c r="E10" s="27" t="b">
        <f>IF(C10=Цены!$H$3,Цены!$L$3,IF(C10=Цены!$H$4,Цены!$L$4,IF(C10=Цены!$H$5,Цены!$L$5,IF(C10=Цены!$H$6,Цены!$L$6,IF(C10=Цены!$H$7,Цены!$L$7,IF(C10=Цены!$H$8,Цены!$L$8,IF(C10=Цены!$H$9,Цены!$L$9,IF(C10=Цены!$H$10,Цены!$L$10,IF(C10=Цены!$H$11,Цены!$L$11,IF(C10=Цены!$H$12,Цены!$L$12,IF(C10=Цены!$H$13,Цены!$L$13,IF(C10=Цены!$H$14,Цены!$L$14,IF(C10=Цены!$H$14,Цены!$L$14,IF(C10=Цены!$H$15,Цены!$L$15,IF(C10=Цены!$H$16,Цены!$L$16,IF(C10=Цены!$H$17,Цены!$L$17,IF(C10=Цены!$H$18,Цены!$L$18,IF(C10=Цены!$H$19,Цены!$L$19,IF(C10=Цены!$H$20,Цены!$L$20,IF(C10=Цены!$H$21,Цены!$L$21,IF(C10=Цены!$H$22,Цены!$L$22,IF(C10=Цены!$H$23,Цены!$L$23,IF(C10=Цены!$H$24,Цены!$L$24,IF(C10=Цены!$H$25,Цены!$L$25,IF(C10=Цены!$H$26,Цены!$L$26,IF(C10=Цены!$H$27,Цены!$L$27,IF(C10=Цены!$H$28,Цены!$L$28,IF(C10=Цены!$H$29,Цены!$L$29,IF(C10=Цены!$H$30,Цены!$L$30,IF(C10=Цены!$H$31,Цены!$L$31,IF(C10=Цены!$H$32,Цены!$L$32,IF(C10=Цены!$H$33,Цены!$L$33,IF(C10=Цены!$H$34,Цены!$L$34,IF(C10=Цены!$H$35,Цены!$L$35,IF(C10=Цены!$H$36,Цены!$L$36,IF(C10=Цены!$H$37,Цены!$L$37,IF(C10=Цены!$H$38,Цены!$L$38,IF(C10=Цены!$H$39,Цены!$L$39,IF(C10=Цены!$H$40,Цены!$L$40,IF(C10=Цены!$H$41,Цены!$L$41,IF(C10=Цены!$H$42,Цены!$L$42,IF(C10=Цены!$H$43,Цены!$L$43,IF(C10=Цены!$H$44,Цены!$L$44,IF(C10=Цены!$H$45,Цены!$L$45,IF(C10=Цены!$H$46,Цены!$L$46,IF(C10=Цены!$H$47,Цены!$L$47,IF(C10=Цены!$H$48,Цены!$L$48,IF(C10=Цены!$H$49,Цены!$L$49,IF(C10=Цены!$H$50,Цены!$L$50,IF(C10=Цены!$H$51,Цены!$L$51,IF(C10=Цены!$H$52,Цены!$L$52,IF(C10=Цены!$H$53,Цены!$L$53,IF(C10=Цены!$H$54,Цены!$L$54,IF(C10=Цены!$H$55,Цены!$L$55))))))))))))))))))))))))))))))))))))))))))))))))))))))</f>
        <v>0</v>
      </c>
      <c r="F10" s="153">
        <f>D10*E10+D11*E11+D12*E12+D13*E13</f>
        <v>3.2</v>
      </c>
      <c r="G10" s="387" t="s">
        <v>153</v>
      </c>
    </row>
    <row r="11" spans="2:7" x14ac:dyDescent="0.25">
      <c r="B11" s="265"/>
      <c r="C11" s="123" t="s">
        <v>80</v>
      </c>
      <c r="D11" s="143">
        <v>5</v>
      </c>
      <c r="E11" s="27">
        <f>IF(C11=Цены!$H$3,Цены!$L$3,IF(C11=Цены!$H$4,Цены!$L$4,IF(C11=Цены!$H$5,Цены!$L$5,IF(C11=Цены!$H$6,Цены!$L$6,IF(C11=Цены!$H$7,Цены!$L$7,IF(C11=Цены!$H$8,Цены!$L$8,IF(C11=Цены!$H$9,Цены!$L$9,IF(C11=Цены!$H$10,Цены!$L$10,IF(C11=Цены!$H$11,Цены!$L$11,IF(C11=Цены!$H$12,Цены!$L$12,IF(C11=Цены!$H$13,Цены!$L$13,IF(C11=Цены!$H$14,Цены!$L$14,IF(C11=Цены!$H$14,Цены!$L$14,IF(C11=Цены!$H$15,Цены!$L$15,IF(C11=Цены!$H$16,Цены!$L$16,IF(C11=Цены!$H$17,Цены!$L$17,IF(C11=Цены!$H$18,Цены!$L$18,IF(C11=Цены!$H$19,Цены!$L$19,IF(C11=Цены!$H$20,Цены!$L$20,IF(C11=Цены!$H$21,Цены!$L$21,IF(C11=Цены!$H$22,Цены!$L$22,IF(C11=Цены!$H$23,Цены!$L$23,IF(C11=Цены!$H$24,Цены!$L$24,IF(C11=Цены!$H$25,Цены!$L$25,IF(C11=Цены!$H$26,Цены!$L$26,IF(C11=Цены!$H$27,Цены!$L$27,IF(C11=Цены!$H$28,Цены!$L$28,IF(C11=Цены!$H$29,Цены!$L$29,IF(C11=Цены!$H$30,Цены!$L$30,IF(C11=Цены!$H$31,Цены!$L$31,IF(C11=Цены!$H$32,Цены!$L$32,IF(C11=Цены!$H$33,Цены!$L$33,IF(C11=Цены!$H$34,Цены!$L$34,IF(C11=Цены!$H$35,Цены!$L$35,IF(C11=Цены!$H$36,Цены!$L$36,IF(C11=Цены!$H$37,Цены!$L$37,IF(C11=Цены!$H$38,Цены!$L$38,IF(C11=Цены!$H$39,Цены!$L$39,IF(C11=Цены!$H$40,Цены!$L$40,IF(C11=Цены!$H$41,Цены!$L$41,IF(C11=Цены!$H$42,Цены!$L$42,IF(C11=Цены!$H$43,Цены!$L$43,IF(C11=Цены!$H$44,Цены!$L$44,IF(C11=Цены!$H$45,Цены!$L$45,IF(C11=Цены!$H$46,Цены!$L$46,IF(C11=Цены!$H$47,Цены!$L$47,IF(C11=Цены!$H$48,Цены!$L$48,IF(C11=Цены!$H$49,Цены!$L$49,IF(C11=Цены!$H$50,Цены!$L$50,IF(C11=Цены!$H$51,Цены!$L$51,IF(C11=Цены!$H$52,Цены!$L$52,IF(C11=Цены!$H$53,Цены!$L$53,IF(C11=Цены!$H$54,Цены!$L$54,IF(C11=Цены!$H$55,Цены!$L$55))))))))))))))))))))))))))))))))))))))))))))))))))))))</f>
        <v>0.64</v>
      </c>
      <c r="F11" s="153"/>
      <c r="G11" s="387"/>
    </row>
    <row r="12" spans="2:7" x14ac:dyDescent="0.25">
      <c r="B12" s="265"/>
      <c r="C12" s="35"/>
      <c r="D12" s="143"/>
      <c r="E12" s="27" t="b">
        <f>IF(C12=Цены!$H$3,Цены!$L$3,IF(C12=Цены!$H$4,Цены!$L$4,IF(C12=Цены!$H$5,Цены!$L$5,IF(C12=Цены!$H$6,Цены!$L$6,IF(C12=Цены!$H$7,Цены!$L$7,IF(C12=Цены!$H$8,Цены!$L$8,IF(C12=Цены!$H$9,Цены!$L$9,IF(C12=Цены!$H$10,Цены!$L$10,IF(C12=Цены!$H$11,Цены!$L$11,IF(C12=Цены!$H$12,Цены!$L$12,IF(C12=Цены!$H$13,Цены!$L$13,IF(C12=Цены!$H$14,Цены!$L$14,IF(C12=Цены!$H$14,Цены!$L$14,IF(C12=Цены!$H$15,Цены!$L$15,IF(C12=Цены!$H$16,Цены!$L$16,IF(C12=Цены!$H$17,Цены!$L$17,IF(C12=Цены!$H$18,Цены!$L$18,IF(C12=Цены!$H$19,Цены!$L$19,IF(C12=Цены!$H$20,Цены!$L$20,IF(C12=Цены!$H$21,Цены!$L$21,IF(C12=Цены!$H$22,Цены!$L$22,IF(C12=Цены!$H$23,Цены!$L$23,IF(C12=Цены!$H$24,Цены!$L$24,IF(C12=Цены!$H$25,Цены!$L$25,IF(C12=Цены!$H$26,Цены!$L$26,IF(C12=Цены!$H$27,Цены!$L$27,IF(C12=Цены!$H$28,Цены!$L$28,IF(C12=Цены!$H$29,Цены!$L$29,IF(C12=Цены!$H$30,Цены!$L$30,IF(C12=Цены!$H$31,Цены!$L$31,IF(C12=Цены!$H$32,Цены!$L$32,IF(C12=Цены!$H$33,Цены!$L$33,IF(C12=Цены!$H$34,Цены!$L$34,IF(C12=Цены!$H$35,Цены!$L$35,IF(C12=Цены!$H$36,Цены!$L$36,IF(C12=Цены!$H$37,Цены!$L$37,IF(C12=Цены!$H$38,Цены!$L$38,IF(C12=Цены!$H$39,Цены!$L$39,IF(C12=Цены!$H$40,Цены!$L$40,IF(C12=Цены!$H$41,Цены!$L$41,IF(C12=Цены!$H$42,Цены!$L$42,IF(C12=Цены!$H$43,Цены!$L$43,IF(C12=Цены!$H$44,Цены!$L$44,IF(C12=Цены!$H$45,Цены!$L$45,IF(C12=Цены!$H$46,Цены!$L$46,IF(C12=Цены!$H$47,Цены!$L$47,IF(C12=Цены!$H$48,Цены!$L$48,IF(C12=Цены!$H$49,Цены!$L$49,IF(C12=Цены!$H$50,Цены!$L$50,IF(C12=Цены!$H$51,Цены!$L$51,IF(C12=Цены!$H$52,Цены!$L$52,IF(C12=Цены!$H$53,Цены!$L$53,IF(C12=Цены!$H$54,Цены!$L$54,IF(C12=Цены!$H$55,Цены!$L$55))))))))))))))))))))))))))))))))))))))))))))))))))))))</f>
        <v>0</v>
      </c>
      <c r="F12" s="153"/>
      <c r="G12" s="387"/>
    </row>
    <row r="13" spans="2:7" x14ac:dyDescent="0.25">
      <c r="B13" s="265"/>
      <c r="C13" s="35"/>
      <c r="D13" s="143"/>
      <c r="E13" s="27" t="b">
        <f>IF(C13=Цены!$H$3,Цены!$L$3,IF(C13=Цены!$H$4,Цены!$L$4,IF(C13=Цены!$H$5,Цены!$L$5,IF(C13=Цены!$H$6,Цены!$L$6,IF(C13=Цены!$H$7,Цены!$L$7,IF(C13=Цены!$H$8,Цены!$L$8,IF(C13=Цены!$H$9,Цены!$L$9,IF(C13=Цены!$H$10,Цены!$L$10,IF(C13=Цены!$H$11,Цены!$L$11,IF(C13=Цены!$H$12,Цены!$L$12,IF(C13=Цены!$H$13,Цены!$L$13,IF(C13=Цены!$H$14,Цены!$L$14,IF(C13=Цены!$H$14,Цены!$L$14,IF(C13=Цены!$H$15,Цены!$L$15,IF(C13=Цены!$H$16,Цены!$L$16,IF(C13=Цены!$H$17,Цены!$L$17,IF(C13=Цены!$H$18,Цены!$L$18,IF(C13=Цены!$H$19,Цены!$L$19,IF(C13=Цены!$H$20,Цены!$L$20,IF(C13=Цены!$H$21,Цены!$L$21,IF(C13=Цены!$H$22,Цены!$L$22,IF(C13=Цены!$H$23,Цены!$L$23,IF(C13=Цены!$H$24,Цены!$L$24,IF(C13=Цены!$H$25,Цены!$L$25,IF(C13=Цены!$H$26,Цены!$L$26,IF(C13=Цены!$H$27,Цены!$L$27,IF(C13=Цены!$H$28,Цены!$L$28,IF(C13=Цены!$H$29,Цены!$L$29,IF(C13=Цены!$H$30,Цены!$L$30,IF(C13=Цены!$H$31,Цены!$L$31,IF(C13=Цены!$H$32,Цены!$L$32,IF(C13=Цены!$H$33,Цены!$L$33,IF(C13=Цены!$H$34,Цены!$L$34,IF(C13=Цены!$H$35,Цены!$L$35,IF(C13=Цены!$H$36,Цены!$L$36,IF(C13=Цены!$H$37,Цены!$L$37,IF(C13=Цены!$H$38,Цены!$L$38,IF(C13=Цены!$H$39,Цены!$L$39,IF(C13=Цены!$H$40,Цены!$L$40,IF(C13=Цены!$H$41,Цены!$L$41,IF(C13=Цены!$H$42,Цены!$L$42,IF(C13=Цены!$H$43,Цены!$L$43,IF(C13=Цены!$H$44,Цены!$L$44,IF(C13=Цены!$H$45,Цены!$L$45,IF(C13=Цены!$H$46,Цены!$L$46,IF(C13=Цены!$H$47,Цены!$L$47,IF(C13=Цены!$H$48,Цены!$L$48,IF(C13=Цены!$H$49,Цены!$L$49,IF(C13=Цены!$H$50,Цены!$L$50,IF(C13=Цены!$H$51,Цены!$L$51,IF(C13=Цены!$H$52,Цены!$L$52,IF(C13=Цены!$H$53,Цены!$L$53,IF(C13=Цены!$H$54,Цены!$L$54,IF(C13=Цены!$H$55,Цены!$L$55))))))))))))))))))))))))))))))))))))))))))))))))))))))</f>
        <v>0</v>
      </c>
      <c r="F13" s="153"/>
      <c r="G13" s="387"/>
    </row>
    <row r="14" spans="2:7" x14ac:dyDescent="0.25">
      <c r="B14" s="336" t="s">
        <v>120</v>
      </c>
      <c r="C14" s="124" t="s">
        <v>143</v>
      </c>
      <c r="D14" s="157">
        <v>10</v>
      </c>
      <c r="E14" s="38">
        <f>IF(C14=Цены!$H$3,Цены!$L$3,IF(C14=Цены!$H$4,Цены!$L$4,IF(C14=Цены!$H$5,Цены!$L$5,IF(C14=Цены!$H$6,Цены!$L$6,IF(C14=Цены!$H$7,Цены!$L$7,IF(C14=Цены!$H$8,Цены!$L$8,IF(C14=Цены!$H$9,Цены!$L$9,IF(C14=Цены!$H$10,Цены!$L$10,IF(C14=Цены!$H$11,Цены!$L$11,IF(C14=Цены!$H$12,Цены!$L$12,IF(C14=Цены!$H$13,Цены!$L$13,IF(C14=Цены!$H$14,Цены!$L$14,IF(C14=Цены!$H$14,Цены!$L$14,IF(C14=Цены!$H$15,Цены!$L$15,IF(C14=Цены!$H$16,Цены!$L$16,IF(C14=Цены!$H$17,Цены!$L$17,IF(C14=Цены!$H$18,Цены!$L$18,IF(C14=Цены!$H$19,Цены!$L$19,IF(C14=Цены!$H$20,Цены!$L$20,IF(C14=Цены!$H$21,Цены!$L$21,IF(C14=Цены!$H$22,Цены!$L$22,IF(C14=Цены!$H$23,Цены!$L$23,IF(C14=Цены!$H$24,Цены!$L$24,IF(C14=Цены!$H$25,Цены!$L$25,IF(C14=Цены!$H$26,Цены!$L$26,IF(C14=Цены!$H$27,Цены!$L$27,IF(C14=Цены!$H$28,Цены!$L$28,IF(C14=Цены!$H$29,Цены!$L$29,IF(C14=Цены!$H$30,Цены!$L$30,IF(C14=Цены!$H$31,Цены!$L$31,IF(C14=Цены!$H$32,Цены!$L$32,IF(C14=Цены!$H$33,Цены!$L$33,IF(C14=Цены!$H$34,Цены!$L$34,IF(C14=Цены!$H$35,Цены!$L$35,IF(C14=Цены!$H$36,Цены!$L$36,IF(C14=Цены!$H$37,Цены!$L$37,IF(C14=Цены!$H$38,Цены!$L$38,IF(C14=Цены!$H$39,Цены!$L$39,IF(C14=Цены!$H$40,Цены!$L$40,IF(C14=Цены!$H$41,Цены!$L$41,IF(C14=Цены!$H$42,Цены!$L$42,IF(C14=Цены!$H$43,Цены!$L$43,IF(C14=Цены!$H$44,Цены!$L$44,IF(C14=Цены!$H$45,Цены!$L$45,IF(C14=Цены!$H$46,Цены!$L$46,IF(C14=Цены!$H$47,Цены!$L$47,IF(C14=Цены!$H$48,Цены!$L$48,IF(C14=Цены!$H$49,Цены!$L$49,IF(C14=Цены!$H$50,Цены!$L$50,IF(C14=Цены!$H$51,Цены!$L$51,IF(C14=Цены!$H$52,Цены!$L$52,IF(C14=Цены!$H$53,Цены!$L$53,IF(C14=Цены!$H$54,Цены!$L$54,IF(C14=Цены!$H$55,Цены!$L$55))))))))))))))))))))))))))))))))))))))))))))))))))))))</f>
        <v>2.4</v>
      </c>
      <c r="F14" s="156">
        <f>D14*E14+D15*E15+D16*E16+D17*E17</f>
        <v>29.75</v>
      </c>
      <c r="G14" s="387"/>
    </row>
    <row r="15" spans="2:7" x14ac:dyDescent="0.25">
      <c r="B15" s="336"/>
      <c r="C15" s="132" t="s">
        <v>148</v>
      </c>
      <c r="D15" s="157">
        <v>5</v>
      </c>
      <c r="E15" s="38">
        <f>IF(C15=Цены!$H$3,Цены!$L$3,IF(C15=Цены!$H$4,Цены!$L$4,IF(C15=Цены!$H$5,Цены!$L$5,IF(C15=Цены!$H$6,Цены!$L$6,IF(C15=Цены!$H$7,Цены!$L$7,IF(C15=Цены!$H$8,Цены!$L$8,IF(C15=Цены!$H$9,Цены!$L$9,IF(C15=Цены!$H$10,Цены!$L$10,IF(C15=Цены!$H$11,Цены!$L$11,IF(C15=Цены!$H$12,Цены!$L$12,IF(C15=Цены!$H$13,Цены!$L$13,IF(C15=Цены!$H$14,Цены!$L$14,IF(C15=Цены!$H$14,Цены!$L$14,IF(C15=Цены!$H$15,Цены!$L$15,IF(C15=Цены!$H$16,Цены!$L$16,IF(C15=Цены!$H$17,Цены!$L$17,IF(C15=Цены!$H$18,Цены!$L$18,IF(C15=Цены!$H$19,Цены!$L$19,IF(C15=Цены!$H$20,Цены!$L$20,IF(C15=Цены!$H$21,Цены!$L$21,IF(C15=Цены!$H$22,Цены!$L$22,IF(C15=Цены!$H$23,Цены!$L$23,IF(C15=Цены!$H$24,Цены!$L$24,IF(C15=Цены!$H$25,Цены!$L$25,IF(C15=Цены!$H$26,Цены!$L$26,IF(C15=Цены!$H$27,Цены!$L$27,IF(C15=Цены!$H$28,Цены!$L$28,IF(C15=Цены!$H$29,Цены!$L$29,IF(C15=Цены!$H$30,Цены!$L$30,IF(C15=Цены!$H$31,Цены!$L$31,IF(C15=Цены!$H$32,Цены!$L$32,IF(C15=Цены!$H$33,Цены!$L$33,IF(C15=Цены!$H$34,Цены!$L$34,IF(C15=Цены!$H$35,Цены!$L$35,IF(C15=Цены!$H$36,Цены!$L$36,IF(C15=Цены!$H$37,Цены!$L$37,IF(C15=Цены!$H$38,Цены!$L$38,IF(C15=Цены!$H$39,Цены!$L$39,IF(C15=Цены!$H$40,Цены!$L$40,IF(C15=Цены!$H$41,Цены!$L$41,IF(C15=Цены!$H$42,Цены!$L$42,IF(C15=Цены!$H$43,Цены!$L$43,IF(C15=Цены!$H$44,Цены!$L$44,IF(C15=Цены!$H$45,Цены!$L$45,IF(C15=Цены!$H$46,Цены!$L$46,IF(C15=Цены!$H$47,Цены!$L$47,IF(C15=Цены!$H$48,Цены!$L$48,IF(C15=Цены!$H$49,Цены!$L$49,IF(C15=Цены!$H$50,Цены!$L$50,IF(C15=Цены!$H$51,Цены!$L$51,IF(C15=Цены!$H$52,Цены!$L$52,IF(C15=Цены!$H$53,Цены!$L$53,IF(C15=Цены!$H$54,Цены!$L$54,IF(C15=Цены!$H$55,Цены!$L$55))))))))))))))))))))))))))))))))))))))))))))))))))))))</f>
        <v>1.1499999999999999</v>
      </c>
      <c r="F15" s="156"/>
      <c r="G15" s="387"/>
    </row>
    <row r="16" spans="2:7" x14ac:dyDescent="0.25">
      <c r="B16" s="336"/>
      <c r="C16" s="41"/>
      <c r="D16" s="157"/>
      <c r="E16" s="38" t="b">
        <f>IF(C16=Цены!$H$3,Цены!$L$3,IF(C16=Цены!$H$4,Цены!$L$4,IF(C16=Цены!$H$5,Цены!$L$5,IF(C16=Цены!$H$6,Цены!$L$6,IF(C16=Цены!$H$7,Цены!$L$7,IF(C16=Цены!$H$8,Цены!$L$8,IF(C16=Цены!$H$9,Цены!$L$9,IF(C16=Цены!$H$10,Цены!$L$10,IF(C16=Цены!$H$11,Цены!$L$11,IF(C16=Цены!$H$12,Цены!$L$12,IF(C16=Цены!$H$13,Цены!$L$13,IF(C16=Цены!$H$14,Цены!$L$14,IF(C16=Цены!$H$14,Цены!$L$14,IF(C16=Цены!$H$15,Цены!$L$15,IF(C16=Цены!$H$16,Цены!$L$16,IF(C16=Цены!$H$17,Цены!$L$17,IF(C16=Цены!$H$18,Цены!$L$18,IF(C16=Цены!$H$19,Цены!$L$19,IF(C16=Цены!$H$20,Цены!$L$20,IF(C16=Цены!$H$21,Цены!$L$21,IF(C16=Цены!$H$22,Цены!$L$22,IF(C16=Цены!$H$23,Цены!$L$23,IF(C16=Цены!$H$24,Цены!$L$24,IF(C16=Цены!$H$25,Цены!$L$25,IF(C16=Цены!$H$26,Цены!$L$26,IF(C16=Цены!$H$27,Цены!$L$27,IF(C16=Цены!$H$28,Цены!$L$28,IF(C16=Цены!$H$29,Цены!$L$29,IF(C16=Цены!$H$30,Цены!$L$30,IF(C16=Цены!$H$31,Цены!$L$31,IF(C16=Цены!$H$32,Цены!$L$32,IF(C16=Цены!$H$33,Цены!$L$33,IF(C16=Цены!$H$34,Цены!$L$34,IF(C16=Цены!$H$35,Цены!$L$35,IF(C16=Цены!$H$36,Цены!$L$36,IF(C16=Цены!$H$37,Цены!$L$37,IF(C16=Цены!$H$38,Цены!$L$38,IF(C16=Цены!$H$39,Цены!$L$39,IF(C16=Цены!$H$40,Цены!$L$40,IF(C16=Цены!$H$41,Цены!$L$41,IF(C16=Цены!$H$42,Цены!$L$42,IF(C16=Цены!$H$43,Цены!$L$43,IF(C16=Цены!$H$44,Цены!$L$44,IF(C16=Цены!$H$45,Цены!$L$45,IF(C16=Цены!$H$46,Цены!$L$46,IF(C16=Цены!$H$47,Цены!$L$47,IF(C16=Цены!$H$48,Цены!$L$48,IF(C16=Цены!$H$49,Цены!$L$49,IF(C16=Цены!$H$50,Цены!$L$50,IF(C16=Цены!$H$51,Цены!$L$51,IF(C16=Цены!$H$52,Цены!$L$52,IF(C16=Цены!$H$53,Цены!$L$53,IF(C16=Цены!$H$54,Цены!$L$54,IF(C16=Цены!$H$55,Цены!$L$55))))))))))))))))))))))))))))))))))))))))))))))))))))))</f>
        <v>0</v>
      </c>
      <c r="F16" s="156"/>
      <c r="G16" s="387"/>
    </row>
    <row r="17" spans="2:7" x14ac:dyDescent="0.25">
      <c r="B17" s="336"/>
      <c r="C17" s="39"/>
      <c r="D17" s="157"/>
      <c r="E17" s="38" t="b">
        <f>IF(C17=Цены!$H$3,Цены!$L$3,IF(C17=Цены!$H$4,Цены!$L$4,IF(C17=Цены!$H$5,Цены!$L$5,IF(C17=Цены!$H$6,Цены!$L$6,IF(C17=Цены!$H$7,Цены!$L$7,IF(C17=Цены!$H$8,Цены!$L$8,IF(C17=Цены!$H$9,Цены!$L$9,IF(C17=Цены!$H$10,Цены!$L$10,IF(C17=Цены!$H$11,Цены!$L$11,IF(C17=Цены!$H$12,Цены!$L$12,IF(C17=Цены!$H$13,Цены!$L$13,IF(C17=Цены!$H$14,Цены!$L$14,IF(C17=Цены!$H$14,Цены!$L$14,IF(C17=Цены!$H$15,Цены!$L$15,IF(C17=Цены!$H$16,Цены!$L$16,IF(C17=Цены!$H$17,Цены!$L$17,IF(C17=Цены!$H$18,Цены!$L$18,IF(C17=Цены!$H$19,Цены!$L$19,IF(C17=Цены!$H$20,Цены!$L$20,IF(C17=Цены!$H$21,Цены!$L$21,IF(C17=Цены!$H$22,Цены!$L$22,IF(C17=Цены!$H$23,Цены!$L$23,IF(C17=Цены!$H$24,Цены!$L$24,IF(C17=Цены!$H$25,Цены!$L$25,IF(C17=Цены!$H$26,Цены!$L$26,IF(C17=Цены!$H$27,Цены!$L$27,IF(C17=Цены!$H$28,Цены!$L$28,IF(C17=Цены!$H$29,Цены!$L$29,IF(C17=Цены!$H$30,Цены!$L$30,IF(C17=Цены!$H$31,Цены!$L$31,IF(C17=Цены!$H$32,Цены!$L$32,IF(C17=Цены!$H$33,Цены!$L$33,IF(C17=Цены!$H$34,Цены!$L$34,IF(C17=Цены!$H$35,Цены!$L$35,IF(C17=Цены!$H$36,Цены!$L$36,IF(C17=Цены!$H$37,Цены!$L$37,IF(C17=Цены!$H$38,Цены!$L$38,IF(C17=Цены!$H$39,Цены!$L$39,IF(C17=Цены!$H$40,Цены!$L$40,IF(C17=Цены!$H$41,Цены!$L$41,IF(C17=Цены!$H$42,Цены!$L$42,IF(C17=Цены!$H$43,Цены!$L$43,IF(C17=Цены!$H$44,Цены!$L$44,IF(C17=Цены!$H$45,Цены!$L$45,IF(C17=Цены!$H$46,Цены!$L$46,IF(C17=Цены!$H$47,Цены!$L$47,IF(C17=Цены!$H$48,Цены!$L$48,IF(C17=Цены!$H$49,Цены!$L$49,IF(C17=Цены!$H$50,Цены!$L$50,IF(C17=Цены!$H$51,Цены!$L$51,IF(C17=Цены!$H$52,Цены!$L$52,IF(C17=Цены!$H$53,Цены!$L$53,IF(C17=Цены!$H$54,Цены!$L$54,IF(C17=Цены!$H$55,Цены!$L$55))))))))))))))))))))))))))))))))))))))))))))))))))))))</f>
        <v>0</v>
      </c>
      <c r="F17" s="156"/>
      <c r="G17" s="387"/>
    </row>
    <row r="18" spans="2:7" x14ac:dyDescent="0.25">
      <c r="B18" s="265" t="s">
        <v>113</v>
      </c>
      <c r="C18" s="134" t="s">
        <v>63</v>
      </c>
      <c r="D18" s="143">
        <v>9</v>
      </c>
      <c r="E18" s="27" t="b">
        <f>IF(C18=Цены!$H$3,Цены!$L$3,IF(C18=Цены!$H$4,Цены!$L$4,IF(C18=Цены!$H$5,Цены!$L$5,IF(C18=Цены!$H$6,Цены!$L$6,IF(C18=Цены!$H$7,Цены!$L$7,IF(C18=Цены!$H$8,Цены!$L$8,IF(C18=Цены!$H$9,Цены!$L$9,IF(C18=Цены!$H$10,Цены!$L$10,IF(C18=Цены!$H$11,Цены!$L$11,IF(C18=Цены!$H$12,Цены!$L$12,IF(C18=Цены!$H$13,Цены!$L$13,IF(C18=Цены!$H$14,Цены!$L$14,IF(C18=Цены!$H$14,Цены!$L$14,IF(C18=Цены!$H$15,Цены!$L$15,IF(C18=Цены!$H$16,Цены!$L$16,IF(C18=Цены!$H$17,Цены!$L$17,IF(C18=Цены!$H$18,Цены!$L$18,IF(C18=Цены!$H$19,Цены!$L$19,IF(C18=Цены!$H$20,Цены!$L$20,IF(C18=Цены!$H$21,Цены!$L$21,IF(C18=Цены!$H$22,Цены!$L$22,IF(C18=Цены!$H$23,Цены!$L$23,IF(C18=Цены!$H$24,Цены!$L$24,IF(C18=Цены!$H$25,Цены!$L$25,IF(C18=Цены!$H$26,Цены!$L$26,IF(C18=Цены!$H$27,Цены!$L$27,IF(C18=Цены!$H$28,Цены!$L$28,IF(C18=Цены!$H$29,Цены!$L$29,IF(C18=Цены!$H$30,Цены!$L$30,IF(C18=Цены!$H$31,Цены!$L$31,IF(C18=Цены!$H$32,Цены!$L$32,IF(C18=Цены!$H$33,Цены!$L$33,IF(C18=Цены!$H$34,Цены!$L$34,IF(C18=Цены!$H$35,Цены!$L$35,IF(C18=Цены!$H$36,Цены!$L$36,IF(C18=Цены!$H$37,Цены!$L$37,IF(C18=Цены!$H$38,Цены!$L$38,IF(C18=Цены!$H$39,Цены!$L$39,IF(C18=Цены!$H$40,Цены!$L$40,IF(C18=Цены!$H$41,Цены!$L$41,IF(C18=Цены!$H$42,Цены!$L$42,IF(C18=Цены!$H$43,Цены!$L$43,IF(C18=Цены!$H$44,Цены!$L$44,IF(C18=Цены!$H$45,Цены!$L$45,IF(C18=Цены!$H$46,Цены!$L$46,IF(C18=Цены!$H$47,Цены!$L$47,IF(C18=Цены!$H$48,Цены!$L$48,IF(C18=Цены!$H$49,Цены!$L$49,IF(C18=Цены!$H$50,Цены!$L$50,IF(C18=Цены!$H$51,Цены!$L$51,IF(C18=Цены!$H$52,Цены!$L$52,IF(C18=Цены!$H$53,Цены!$L$53,IF(C18=Цены!$H$54,Цены!$L$54,IF(C18=Цены!$H$55,Цены!$L$55))))))))))))))))))))))))))))))))))))))))))))))))))))))</f>
        <v>0</v>
      </c>
      <c r="F18" s="153">
        <f>D18*E18+D19*E19+D20*E20+D21*E21</f>
        <v>19.499999999999996</v>
      </c>
      <c r="G18" s="387" t="s">
        <v>154</v>
      </c>
    </row>
    <row r="19" spans="2:7" x14ac:dyDescent="0.25">
      <c r="B19" s="265"/>
      <c r="C19" s="35" t="s">
        <v>64</v>
      </c>
      <c r="D19" s="143">
        <v>4</v>
      </c>
      <c r="E19" s="27">
        <f>IF(C19=Цены!$H$3,Цены!$L$3,IF(C19=Цены!$H$4,Цены!$L$4,IF(C19=Цены!$H$5,Цены!$L$5,IF(C19=Цены!$H$6,Цены!$L$6,IF(C19=Цены!$H$7,Цены!$L$7,IF(C19=Цены!$H$8,Цены!$L$8,IF(C19=Цены!$H$9,Цены!$L$9,IF(C19=Цены!$H$10,Цены!$L$10,IF(C19=Цены!$H$11,Цены!$L$11,IF(C19=Цены!$H$12,Цены!$L$12,IF(C19=Цены!$H$13,Цены!$L$13,IF(C19=Цены!$H$14,Цены!$L$14,IF(C19=Цены!$H$14,Цены!$L$14,IF(C19=Цены!$H$15,Цены!$L$15,IF(C19=Цены!$H$16,Цены!$L$16,IF(C19=Цены!$H$17,Цены!$L$17,IF(C19=Цены!$H$18,Цены!$L$18,IF(C19=Цены!$H$19,Цены!$L$19,IF(C19=Цены!$H$20,Цены!$L$20,IF(C19=Цены!$H$21,Цены!$L$21,IF(C19=Цены!$H$22,Цены!$L$22,IF(C19=Цены!$H$23,Цены!$L$23,IF(C19=Цены!$H$24,Цены!$L$24,IF(C19=Цены!$H$25,Цены!$L$25,IF(C19=Цены!$H$26,Цены!$L$26,IF(C19=Цены!$H$27,Цены!$L$27,IF(C19=Цены!$H$28,Цены!$L$28,IF(C19=Цены!$H$29,Цены!$L$29,IF(C19=Цены!$H$30,Цены!$L$30,IF(C19=Цены!$H$31,Цены!$L$31,IF(C19=Цены!$H$32,Цены!$L$32,IF(C19=Цены!$H$33,Цены!$L$33,IF(C19=Цены!$H$34,Цены!$L$34,IF(C19=Цены!$H$35,Цены!$L$35,IF(C19=Цены!$H$36,Цены!$L$36,IF(C19=Цены!$H$37,Цены!$L$37,IF(C19=Цены!$H$38,Цены!$L$38,IF(C19=Цены!$H$39,Цены!$L$39,IF(C19=Цены!$H$40,Цены!$L$40,IF(C19=Цены!$H$41,Цены!$L$41,IF(C19=Цены!$H$42,Цены!$L$42,IF(C19=Цены!$H$43,Цены!$L$43,IF(C19=Цены!$H$44,Цены!$L$44,IF(C19=Цены!$H$45,Цены!$L$45,IF(C19=Цены!$H$46,Цены!$L$46,IF(C19=Цены!$H$47,Цены!$L$47,IF(C19=Цены!$H$48,Цены!$L$48,IF(C19=Цены!$H$49,Цены!$L$49,IF(C19=Цены!$H$50,Цены!$L$50,IF(C19=Цены!$H$51,Цены!$L$51,IF(C19=Цены!$H$52,Цены!$L$52,IF(C19=Цены!$H$53,Цены!$L$53,IF(C19=Цены!$H$54,Цены!$L$54,IF(C19=Цены!$H$55,Цены!$L$55))))))))))))))))))))))))))))))))))))))))))))))))))))))</f>
        <v>2.34</v>
      </c>
      <c r="F19" s="153"/>
      <c r="G19" s="387"/>
    </row>
    <row r="20" spans="2:7" x14ac:dyDescent="0.25">
      <c r="B20" s="265"/>
      <c r="C20" s="123" t="s">
        <v>89</v>
      </c>
      <c r="D20" s="143">
        <v>7</v>
      </c>
      <c r="E20" s="27">
        <f>IF(C20=Цены!$H$3,Цены!$L$3,IF(C20=Цены!$H$4,Цены!$L$4,IF(C20=Цены!$H$5,Цены!$L$5,IF(C20=Цены!$H$6,Цены!$L$6,IF(C20=Цены!$H$7,Цены!$L$7,IF(C20=Цены!$H$8,Цены!$L$8,IF(C20=Цены!$H$9,Цены!$L$9,IF(C20=Цены!$H$10,Цены!$L$10,IF(C20=Цены!$H$11,Цены!$L$11,IF(C20=Цены!$H$12,Цены!$L$12,IF(C20=Цены!$H$13,Цены!$L$13,IF(C20=Цены!$H$14,Цены!$L$14,IF(C20=Цены!$H$14,Цены!$L$14,IF(C20=Цены!$H$15,Цены!$L$15,IF(C20=Цены!$H$16,Цены!$L$16,IF(C20=Цены!$H$17,Цены!$L$17,IF(C20=Цены!$H$18,Цены!$L$18,IF(C20=Цены!$H$19,Цены!$L$19,IF(C20=Цены!$H$20,Цены!$L$20,IF(C20=Цены!$H$21,Цены!$L$21,IF(C20=Цены!$H$22,Цены!$L$22,IF(C20=Цены!$H$23,Цены!$L$23,IF(C20=Цены!$H$24,Цены!$L$24,IF(C20=Цены!$H$25,Цены!$L$25,IF(C20=Цены!$H$26,Цены!$L$26,IF(C20=Цены!$H$27,Цены!$L$27,IF(C20=Цены!$H$28,Цены!$L$28,IF(C20=Цены!$H$29,Цены!$L$29,IF(C20=Цены!$H$30,Цены!$L$30,IF(C20=Цены!$H$31,Цены!$L$31,IF(C20=Цены!$H$32,Цены!$L$32,IF(C20=Цены!$H$33,Цены!$L$33,IF(C20=Цены!$H$34,Цены!$L$34,IF(C20=Цены!$H$35,Цены!$L$35,IF(C20=Цены!$H$36,Цены!$L$36,IF(C20=Цены!$H$37,Цены!$L$37,IF(C20=Цены!$H$38,Цены!$L$38,IF(C20=Цены!$H$39,Цены!$L$39,IF(C20=Цены!$H$40,Цены!$L$40,IF(C20=Цены!$H$41,Цены!$L$41,IF(C20=Цены!$H$42,Цены!$L$42,IF(C20=Цены!$H$43,Цены!$L$43,IF(C20=Цены!$H$44,Цены!$L$44,IF(C20=Цены!$H$45,Цены!$L$45,IF(C20=Цены!$H$46,Цены!$L$46,IF(C20=Цены!$H$47,Цены!$L$47,IF(C20=Цены!$H$48,Цены!$L$48,IF(C20=Цены!$H$49,Цены!$L$49,IF(C20=Цены!$H$50,Цены!$L$50,IF(C20=Цены!$H$51,Цены!$L$51,IF(C20=Цены!$H$52,Цены!$L$52,IF(C20=Цены!$H$53,Цены!$L$53,IF(C20=Цены!$H$54,Цены!$L$54,IF(C20=Цены!$H$55,Цены!$L$55))))))))))))))))))))))))))))))))))))))))))))))))))))))</f>
        <v>1.1499999999999999</v>
      </c>
      <c r="F20" s="153"/>
      <c r="G20" s="387"/>
    </row>
    <row r="21" spans="2:7" x14ac:dyDescent="0.25">
      <c r="B21" s="265"/>
      <c r="C21" s="123" t="s">
        <v>144</v>
      </c>
      <c r="D21" s="143">
        <v>11</v>
      </c>
      <c r="E21" s="27">
        <f>IF(C21=Цены!$H$3,Цены!$L$3,IF(C21=Цены!$H$4,Цены!$L$4,IF(C21=Цены!$H$5,Цены!$L$5,IF(C21=Цены!$H$6,Цены!$L$6,IF(C21=Цены!$H$7,Цены!$L$7,IF(C21=Цены!$H$8,Цены!$L$8,IF(C21=Цены!$H$9,Цены!$L$9,IF(C21=Цены!$H$10,Цены!$L$10,IF(C21=Цены!$H$11,Цены!$L$11,IF(C21=Цены!$H$12,Цены!$L$12,IF(C21=Цены!$H$13,Цены!$L$13,IF(C21=Цены!$H$14,Цены!$L$14,IF(C21=Цены!$H$14,Цены!$L$14,IF(C21=Цены!$H$15,Цены!$L$15,IF(C21=Цены!$H$16,Цены!$L$16,IF(C21=Цены!$H$17,Цены!$L$17,IF(C21=Цены!$H$18,Цены!$L$18,IF(C21=Цены!$H$19,Цены!$L$19,IF(C21=Цены!$H$20,Цены!$L$20,IF(C21=Цены!$H$21,Цены!$L$21,IF(C21=Цены!$H$22,Цены!$L$22,IF(C21=Цены!$H$23,Цены!$L$23,IF(C21=Цены!$H$24,Цены!$L$24,IF(C21=Цены!$H$25,Цены!$L$25,IF(C21=Цены!$H$26,Цены!$L$26,IF(C21=Цены!$H$27,Цены!$L$27,IF(C21=Цены!$H$28,Цены!$L$28,IF(C21=Цены!$H$29,Цены!$L$29,IF(C21=Цены!$H$30,Цены!$L$30,IF(C21=Цены!$H$31,Цены!$L$31,IF(C21=Цены!$H$32,Цены!$L$32,IF(C21=Цены!$H$33,Цены!$L$33,IF(C21=Цены!$H$34,Цены!$L$34,IF(C21=Цены!$H$35,Цены!$L$35,IF(C21=Цены!$H$36,Цены!$L$36,IF(C21=Цены!$H$37,Цены!$L$37,IF(C21=Цены!$H$38,Цены!$L$38,IF(C21=Цены!$H$39,Цены!$L$39,IF(C21=Цены!$H$40,Цены!$L$40,IF(C21=Цены!$H$41,Цены!$L$41,IF(C21=Цены!$H$42,Цены!$L$42,IF(C21=Цены!$H$43,Цены!$L$43,IF(C21=Цены!$H$44,Цены!$L$44,IF(C21=Цены!$H$45,Цены!$L$45,IF(C21=Цены!$H$46,Цены!$L$46,IF(C21=Цены!$H$47,Цены!$L$47,IF(C21=Цены!$H$48,Цены!$L$48,IF(C21=Цены!$H$49,Цены!$L$49,IF(C21=Цены!$H$50,Цены!$L$50,IF(C21=Цены!$H$51,Цены!$L$51,IF(C21=Цены!$H$52,Цены!$L$52,IF(C21=Цены!$H$53,Цены!$L$53,IF(C21=Цены!$H$54,Цены!$L$54,IF(C21=Цены!$H$55,Цены!$L$55))))))))))))))))))))))))))))))))))))))))))))))))))))))</f>
        <v>0.19</v>
      </c>
      <c r="F21" s="153"/>
      <c r="G21" s="387"/>
    </row>
    <row r="22" spans="2:7" x14ac:dyDescent="0.25">
      <c r="B22" s="336" t="s">
        <v>120</v>
      </c>
      <c r="C22" s="66" t="s">
        <v>69</v>
      </c>
      <c r="D22" s="155">
        <v>9</v>
      </c>
      <c r="E22" s="68">
        <f>IF(C22=Цены!$H$3,Цены!$L$3,IF(C22=Цены!$H$4,Цены!$L$4,IF(C22=Цены!$H$5,Цены!$L$5,IF(C22=Цены!$H$6,Цены!$L$6,IF(C22=Цены!$H$7,Цены!$L$7,IF(C22=Цены!$H$8,Цены!$L$8,IF(C22=Цены!$H$9,Цены!$L$9,IF(C22=Цены!$H$10,Цены!$L$10,IF(C22=Цены!$H$11,Цены!$L$11,IF(C22=Цены!$H$12,Цены!$L$12,IF(C22=Цены!$H$13,Цены!$L$13,IF(C22=Цены!$H$14,Цены!$L$14,IF(C22=Цены!$H$14,Цены!$L$14,IF(C22=Цены!$H$15,Цены!$L$15,IF(C22=Цены!$H$16,Цены!$L$16,IF(C22=Цены!$H$17,Цены!$L$17,IF(C22=Цены!$H$18,Цены!$L$18,IF(C22=Цены!$H$19,Цены!$L$19,IF(C22=Цены!$H$20,Цены!$L$20,IF(C22=Цены!$H$21,Цены!$L$21,IF(C22=Цены!$H$22,Цены!$L$22,IF(C22=Цены!$H$23,Цены!$L$23,IF(C22=Цены!$H$24,Цены!$L$24,IF(C22=Цены!$H$25,Цены!$L$25,IF(C22=Цены!$H$26,Цены!$L$26,IF(C22=Цены!$H$27,Цены!$L$27,IF(C22=Цены!$H$28,Цены!$L$28,IF(C22=Цены!$H$29,Цены!$L$29,IF(C22=Цены!$H$30,Цены!$L$30,IF(C22=Цены!$H$31,Цены!$L$31,IF(C22=Цены!$H$32,Цены!$L$32,IF(C22=Цены!$H$33,Цены!$L$33,IF(C22=Цены!$H$34,Цены!$L$34,IF(C22=Цены!$H$35,Цены!$L$35,IF(C22=Цены!$H$36,Цены!$L$36,IF(C22=Цены!$H$37,Цены!$L$37,IF(C22=Цены!$H$38,Цены!$L$38,IF(C22=Цены!$H$39,Цены!$L$39,IF(C22=Цены!$H$40,Цены!$L$40,IF(C22=Цены!$H$41,Цены!$L$41,IF(C22=Цены!$H$42,Цены!$L$42,IF(C22=Цены!$H$43,Цены!$L$43,IF(C22=Цены!$H$44,Цены!$L$44,IF(C22=Цены!$H$45,Цены!$L$45,IF(C22=Цены!$H$46,Цены!$L$46,IF(C22=Цены!$H$47,Цены!$L$47,IF(C22=Цены!$H$48,Цены!$L$48,IF(C22=Цены!$H$49,Цены!$L$49,IF(C22=Цены!$H$50,Цены!$L$50,IF(C22=Цены!$H$51,Цены!$L$51,IF(C22=Цены!$H$52,Цены!$L$52,IF(C22=Цены!$H$53,Цены!$L$53,IF(C22=Цены!$H$54,Цены!$L$54,IF(C22=Цены!$H$55,Цены!$L$55))))))))))))))))))))))))))))))))))))))))))))))))))))))</f>
        <v>1.19</v>
      </c>
      <c r="F22" s="154">
        <f>D22*E22+D23*E23+D24*E24+D25*E25</f>
        <v>68.709999999999994</v>
      </c>
      <c r="G22" s="387"/>
    </row>
    <row r="23" spans="2:7" x14ac:dyDescent="0.25">
      <c r="B23" s="336"/>
      <c r="C23" s="66" t="s">
        <v>70</v>
      </c>
      <c r="D23" s="155">
        <v>7</v>
      </c>
      <c r="E23" s="68">
        <f>IF(C23=Цены!$H$3,Цены!$L$3,IF(C23=Цены!$H$4,Цены!$L$4,IF(C23=Цены!$H$5,Цены!$L$5,IF(C23=Цены!$H$6,Цены!$L$6,IF(C23=Цены!$H$7,Цены!$L$7,IF(C23=Цены!$H$8,Цены!$L$8,IF(C23=Цены!$H$9,Цены!$L$9,IF(C23=Цены!$H$10,Цены!$L$10,IF(C23=Цены!$H$11,Цены!$L$11,IF(C23=Цены!$H$12,Цены!$L$12,IF(C23=Цены!$H$13,Цены!$L$13,IF(C23=Цены!$H$14,Цены!$L$14,IF(C23=Цены!$H$14,Цены!$L$14,IF(C23=Цены!$H$15,Цены!$L$15,IF(C23=Цены!$H$16,Цены!$L$16,IF(C23=Цены!$H$17,Цены!$L$17,IF(C23=Цены!$H$18,Цены!$L$18,IF(C23=Цены!$H$19,Цены!$L$19,IF(C23=Цены!$H$20,Цены!$L$20,IF(C23=Цены!$H$21,Цены!$L$21,IF(C23=Цены!$H$22,Цены!$L$22,IF(C23=Цены!$H$23,Цены!$L$23,IF(C23=Цены!$H$24,Цены!$L$24,IF(C23=Цены!$H$25,Цены!$L$25,IF(C23=Цены!$H$26,Цены!$L$26,IF(C23=Цены!$H$27,Цены!$L$27,IF(C23=Цены!$H$28,Цены!$L$28,IF(C23=Цены!$H$29,Цены!$L$29,IF(C23=Цены!$H$30,Цены!$L$30,IF(C23=Цены!$H$31,Цены!$L$31,IF(C23=Цены!$H$32,Цены!$L$32,IF(C23=Цены!$H$33,Цены!$L$33,IF(C23=Цены!$H$34,Цены!$L$34,IF(C23=Цены!$H$35,Цены!$L$35,IF(C23=Цены!$H$36,Цены!$L$36,IF(C23=Цены!$H$37,Цены!$L$37,IF(C23=Цены!$H$38,Цены!$L$38,IF(C23=Цены!$H$39,Цены!$L$39,IF(C23=Цены!$H$40,Цены!$L$40,IF(C23=Цены!$H$41,Цены!$L$41,IF(C23=Цены!$H$42,Цены!$L$42,IF(C23=Цены!$H$43,Цены!$L$43,IF(C23=Цены!$H$44,Цены!$L$44,IF(C23=Цены!$H$45,Цены!$L$45,IF(C23=Цены!$H$46,Цены!$L$46,IF(C23=Цены!$H$47,Цены!$L$47,IF(C23=Цены!$H$48,Цены!$L$48,IF(C23=Цены!$H$49,Цены!$L$49,IF(C23=Цены!$H$50,Цены!$L$50,IF(C23=Цены!$H$51,Цены!$L$51,IF(C23=Цены!$H$52,Цены!$L$52,IF(C23=Цены!$H$53,Цены!$L$53,IF(C23=Цены!$H$54,Цены!$L$54,IF(C23=Цены!$H$55,Цены!$L$55))))))))))))))))))))))))))))))))))))))))))))))))))))))</f>
        <v>2.4</v>
      </c>
      <c r="F23" s="154"/>
      <c r="G23" s="387"/>
    </row>
    <row r="24" spans="2:7" x14ac:dyDescent="0.25">
      <c r="B24" s="336"/>
      <c r="C24" s="70" t="s">
        <v>95</v>
      </c>
      <c r="D24" s="155">
        <v>11</v>
      </c>
      <c r="E24" s="68">
        <f>IF(C24=Цены!$H$3,Цены!$L$3,IF(C24=Цены!$H$4,Цены!$L$4,IF(C24=Цены!$H$5,Цены!$L$5,IF(C24=Цены!$H$6,Цены!$L$6,IF(C24=Цены!$H$7,Цены!$L$7,IF(C24=Цены!$H$8,Цены!$L$8,IF(C24=Цены!$H$9,Цены!$L$9,IF(C24=Цены!$H$10,Цены!$L$10,IF(C24=Цены!$H$11,Цены!$L$11,IF(C24=Цены!$H$12,Цены!$L$12,IF(C24=Цены!$H$13,Цены!$L$13,IF(C24=Цены!$H$14,Цены!$L$14,IF(C24=Цены!$H$14,Цены!$L$14,IF(C24=Цены!$H$15,Цены!$L$15,IF(C24=Цены!$H$16,Цены!$L$16,IF(C24=Цены!$H$17,Цены!$L$17,IF(C24=Цены!$H$18,Цены!$L$18,IF(C24=Цены!$H$19,Цены!$L$19,IF(C24=Цены!$H$20,Цены!$L$20,IF(C24=Цены!$H$21,Цены!$L$21,IF(C24=Цены!$H$22,Цены!$L$22,IF(C24=Цены!$H$23,Цены!$L$23,IF(C24=Цены!$H$24,Цены!$L$24,IF(C24=Цены!$H$25,Цены!$L$25,IF(C24=Цены!$H$26,Цены!$L$26,IF(C24=Цены!$H$27,Цены!$L$27,IF(C24=Цены!$H$28,Цены!$L$28,IF(C24=Цены!$H$29,Цены!$L$29,IF(C24=Цены!$H$30,Цены!$L$30,IF(C24=Цены!$H$31,Цены!$L$31,IF(C24=Цены!$H$32,Цены!$L$32,IF(C24=Цены!$H$33,Цены!$L$33,IF(C24=Цены!$H$34,Цены!$L$34,IF(C24=Цены!$H$35,Цены!$L$35,IF(C24=Цены!$H$36,Цены!$L$36,IF(C24=Цены!$H$37,Цены!$L$37,IF(C24=Цены!$H$38,Цены!$L$38,IF(C24=Цены!$H$39,Цены!$L$39,IF(C24=Цены!$H$40,Цены!$L$40,IF(C24=Цены!$H$41,Цены!$L$41,IF(C24=Цены!$H$42,Цены!$L$42,IF(C24=Цены!$H$43,Цены!$L$43,IF(C24=Цены!$H$44,Цены!$L$44,IF(C24=Цены!$H$45,Цены!$L$45,IF(C24=Цены!$H$46,Цены!$L$46,IF(C24=Цены!$H$47,Цены!$L$47,IF(C24=Цены!$H$48,Цены!$L$48,IF(C24=Цены!$H$49,Цены!$L$49,IF(C24=Цены!$H$50,Цены!$L$50,IF(C24=Цены!$H$51,Цены!$L$51,IF(C24=Цены!$H$52,Цены!$L$52,IF(C24=Цены!$H$53,Цены!$L$53,IF(C24=Цены!$H$54,Цены!$L$54,IF(C24=Цены!$H$55,Цены!$L$55))))))))))))))))))))))))))))))))))))))))))))))))))))))</f>
        <v>2.6</v>
      </c>
      <c r="F24" s="154"/>
      <c r="G24" s="387"/>
    </row>
    <row r="25" spans="2:7" x14ac:dyDescent="0.25">
      <c r="B25" s="336"/>
      <c r="C25" s="66" t="s">
        <v>88</v>
      </c>
      <c r="D25" s="155">
        <v>7</v>
      </c>
      <c r="E25" s="68">
        <f>IF(C25=Цены!$H$3,Цены!$L$3,IF(C25=Цены!$H$4,Цены!$L$4,IF(C25=Цены!$H$5,Цены!$L$5,IF(C25=Цены!$H$6,Цены!$L$6,IF(C25=Цены!$H$7,Цены!$L$7,IF(C25=Цены!$H$8,Цены!$L$8,IF(C25=Цены!$H$9,Цены!$L$9,IF(C25=Цены!$H$10,Цены!$L$10,IF(C25=Цены!$H$11,Цены!$L$11,IF(C25=Цены!$H$12,Цены!$L$12,IF(C25=Цены!$H$13,Цены!$L$13,IF(C25=Цены!$H$14,Цены!$L$14,IF(C25=Цены!$H$14,Цены!$L$14,IF(C25=Цены!$H$15,Цены!$L$15,IF(C25=Цены!$H$16,Цены!$L$16,IF(C25=Цены!$H$17,Цены!$L$17,IF(C25=Цены!$H$18,Цены!$L$18,IF(C25=Цены!$H$19,Цены!$L$19,IF(C25=Цены!$H$20,Цены!$L$20,IF(C25=Цены!$H$21,Цены!$L$21,IF(C25=Цены!$H$22,Цены!$L$22,IF(C25=Цены!$H$23,Цены!$L$23,IF(C25=Цены!$H$24,Цены!$L$24,IF(C25=Цены!$H$25,Цены!$L$25,IF(C25=Цены!$H$26,Цены!$L$26,IF(C25=Цены!$H$27,Цены!$L$27,IF(C25=Цены!$H$28,Цены!$L$28,IF(C25=Цены!$H$29,Цены!$L$29,IF(C25=Цены!$H$30,Цены!$L$30,IF(C25=Цены!$H$31,Цены!$L$31,IF(C25=Цены!$H$32,Цены!$L$32,IF(C25=Цены!$H$33,Цены!$L$33,IF(C25=Цены!$H$34,Цены!$L$34,IF(C25=Цены!$H$35,Цены!$L$35,IF(C25=Цены!$H$36,Цены!$L$36,IF(C25=Цены!$H$37,Цены!$L$37,IF(C25=Цены!$H$38,Цены!$L$38,IF(C25=Цены!$H$39,Цены!$L$39,IF(C25=Цены!$H$40,Цены!$L$40,IF(C25=Цены!$H$41,Цены!$L$41,IF(C25=Цены!$H$42,Цены!$L$42,IF(C25=Цены!$H$43,Цены!$L$43,IF(C25=Цены!$H$44,Цены!$L$44,IF(C25=Цены!$H$45,Цены!$L$45,IF(C25=Цены!$H$46,Цены!$L$46,IF(C25=Цены!$H$47,Цены!$L$47,IF(C25=Цены!$H$48,Цены!$L$48,IF(C25=Цены!$H$49,Цены!$L$49,IF(C25=Цены!$H$50,Цены!$L$50,IF(C25=Цены!$H$51,Цены!$L$51,IF(C25=Цены!$H$52,Цены!$L$52,IF(C25=Цены!$H$53,Цены!$L$53,IF(C25=Цены!$H$54,Цены!$L$54,IF(C25=Цены!$H$55,Цены!$L$55))))))))))))))))))))))))))))))))))))))))))))))))))))))</f>
        <v>1.8</v>
      </c>
      <c r="F25" s="154"/>
      <c r="G25" s="387"/>
    </row>
    <row r="26" spans="2:7" x14ac:dyDescent="0.25">
      <c r="B26" s="265" t="s">
        <v>113</v>
      </c>
      <c r="C26" s="123" t="s">
        <v>142</v>
      </c>
      <c r="D26" s="144">
        <v>4</v>
      </c>
      <c r="E26" s="33" t="b">
        <f>IF(C26=Цены!$H$3,Цены!$L$3,IF(C26=Цены!$H$4,Цены!$L$4,IF(C26=Цены!$H$5,Цены!$L$5,IF(C26=Цены!$H$6,Цены!$L$6,IF(C26=Цены!$H$7,Цены!$L$7,IF(C26=Цены!$H$8,Цены!$L$8,IF(C26=Цены!$H$9,Цены!$L$9,IF(C26=Цены!$H$10,Цены!$L$10,IF(C26=Цены!$H$11,Цены!$L$11,IF(C26=Цены!$H$12,Цены!$L$12,IF(C26=Цены!$H$13,Цены!$L$13,IF(C26=Цены!$H$14,Цены!$L$14,IF(C26=Цены!$H$14,Цены!$L$14,IF(C26=Цены!$H$15,Цены!$L$15,IF(C26=Цены!$H$16,Цены!$L$16,IF(C26=Цены!$H$17,Цены!$L$17,IF(C26=Цены!$H$18,Цены!$L$18,IF(C26=Цены!$H$19,Цены!$L$19,IF(C26=Цены!$H$20,Цены!$L$20,IF(C26=Цены!$H$21,Цены!$L$21,IF(C26=Цены!$H$22,Цены!$L$22,IF(C26=Цены!$H$23,Цены!$L$23,IF(C26=Цены!$H$24,Цены!$L$24,IF(C26=Цены!$H$25,Цены!$L$25,IF(C26=Цены!$H$26,Цены!$L$26,IF(C26=Цены!$H$27,Цены!$L$27,IF(C26=Цены!$H$28,Цены!$L$28,IF(C26=Цены!$H$29,Цены!$L$29,IF(C26=Цены!$H$30,Цены!$L$30,IF(C26=Цены!$H$31,Цены!$L$31,IF(C26=Цены!$H$32,Цены!$L$32,IF(C26=Цены!$H$33,Цены!$L$33,IF(C26=Цены!$H$34,Цены!$L$34,IF(C26=Цены!$H$35,Цены!$L$35,IF(C26=Цены!$H$36,Цены!$L$36,IF(C26=Цены!$H$37,Цены!$L$37,IF(C26=Цены!$H$38,Цены!$L$38,IF(C26=Цены!$H$39,Цены!$L$39,IF(C26=Цены!$H$40,Цены!$L$40,IF(C26=Цены!$H$41,Цены!$L$41,IF(C26=Цены!$H$42,Цены!$L$42,IF(C26=Цены!$H$43,Цены!$L$43,IF(C26=Цены!$H$44,Цены!$L$44,IF(C26=Цены!$H$45,Цены!$L$45,IF(C26=Цены!$H$46,Цены!$L$46,IF(C26=Цены!$H$47,Цены!$L$47,IF(C26=Цены!$H$48,Цены!$L$48,IF(C26=Цены!$H$49,Цены!$L$49,IF(C26=Цены!$H$50,Цены!$L$50,IF(C26=Цены!$H$51,Цены!$L$51,IF(C26=Цены!$H$52,Цены!$L$52,IF(C26=Цены!$H$53,Цены!$L$53,IF(C26=Цены!$H$54,Цены!$L$54,IF(C26=Цены!$H$55,Цены!$L$55))))))))))))))))))))))))))))))))))))))))))))))))))))))</f>
        <v>0</v>
      </c>
      <c r="F26" s="142">
        <f>D26*E26+D27*E27+D28*E28+D29*E29</f>
        <v>0.57000000000000006</v>
      </c>
      <c r="G26" s="387" t="s">
        <v>155</v>
      </c>
    </row>
    <row r="27" spans="2:7" x14ac:dyDescent="0.25">
      <c r="B27" s="265"/>
      <c r="C27" s="123" t="s">
        <v>144</v>
      </c>
      <c r="D27" s="144">
        <v>3</v>
      </c>
      <c r="E27" s="33">
        <f>IF(C27=Цены!$H$3,Цены!$L$3,IF(C27=Цены!$H$4,Цены!$L$4,IF(C27=Цены!$H$5,Цены!$L$5,IF(C27=Цены!$H$6,Цены!$L$6,IF(C27=Цены!$H$7,Цены!$L$7,IF(C27=Цены!$H$8,Цены!$L$8,IF(C27=Цены!$H$9,Цены!$L$9,IF(C27=Цены!$H$10,Цены!$L$10,IF(C27=Цены!$H$11,Цены!$L$11,IF(C27=Цены!$H$12,Цены!$L$12,IF(C27=Цены!$H$13,Цены!$L$13,IF(C27=Цены!$H$14,Цены!$L$14,IF(C27=Цены!$H$14,Цены!$L$14,IF(C27=Цены!$H$15,Цены!$L$15,IF(C27=Цены!$H$16,Цены!$L$16,IF(C27=Цены!$H$17,Цены!$L$17,IF(C27=Цены!$H$18,Цены!$L$18,IF(C27=Цены!$H$19,Цены!$L$19,IF(C27=Цены!$H$20,Цены!$L$20,IF(C27=Цены!$H$21,Цены!$L$21,IF(C27=Цены!$H$22,Цены!$L$22,IF(C27=Цены!$H$23,Цены!$L$23,IF(C27=Цены!$H$24,Цены!$L$24,IF(C27=Цены!$H$25,Цены!$L$25,IF(C27=Цены!$H$26,Цены!$L$26,IF(C27=Цены!$H$27,Цены!$L$27,IF(C27=Цены!$H$28,Цены!$L$28,IF(C27=Цены!$H$29,Цены!$L$29,IF(C27=Цены!$H$30,Цены!$L$30,IF(C27=Цены!$H$31,Цены!$L$31,IF(C27=Цены!$H$32,Цены!$L$32,IF(C27=Цены!$H$33,Цены!$L$33,IF(C27=Цены!$H$34,Цены!$L$34,IF(C27=Цены!$H$35,Цены!$L$35,IF(C27=Цены!$H$36,Цены!$L$36,IF(C27=Цены!$H$37,Цены!$L$37,IF(C27=Цены!$H$38,Цены!$L$38,IF(C27=Цены!$H$39,Цены!$L$39,IF(C27=Цены!$H$40,Цены!$L$40,IF(C27=Цены!$H$41,Цены!$L$41,IF(C27=Цены!$H$42,Цены!$L$42,IF(C27=Цены!$H$43,Цены!$L$43,IF(C27=Цены!$H$44,Цены!$L$44,IF(C27=Цены!$H$45,Цены!$L$45,IF(C27=Цены!$H$46,Цены!$L$46,IF(C27=Цены!$H$47,Цены!$L$47,IF(C27=Цены!$H$48,Цены!$L$48,IF(C27=Цены!$H$49,Цены!$L$49,IF(C27=Цены!$H$50,Цены!$L$50,IF(C27=Цены!$H$51,Цены!$L$51,IF(C27=Цены!$H$52,Цены!$L$52,IF(C27=Цены!$H$53,Цены!$L$53,IF(C27=Цены!$H$54,Цены!$L$54,IF(C27=Цены!$H$55,Цены!$L$55))))))))))))))))))))))))))))))))))))))))))))))))))))))</f>
        <v>0.19</v>
      </c>
      <c r="F27" s="142"/>
      <c r="G27" s="387"/>
    </row>
    <row r="28" spans="2:7" x14ac:dyDescent="0.25">
      <c r="B28" s="265"/>
      <c r="C28" s="123"/>
      <c r="D28" s="144"/>
      <c r="E28" s="33" t="b">
        <f>IF(C28=Цены!$H$3,Цены!$L$3,IF(C28=Цены!$H$4,Цены!$L$4,IF(C28=Цены!$H$5,Цены!$L$5,IF(C28=Цены!$H$6,Цены!$L$6,IF(C28=Цены!$H$7,Цены!$L$7,IF(C28=Цены!$H$8,Цены!$L$8,IF(C28=Цены!$H$9,Цены!$L$9,IF(C28=Цены!$H$10,Цены!$L$10,IF(C28=Цены!$H$11,Цены!$L$11,IF(C28=Цены!$H$12,Цены!$L$12,IF(C28=Цены!$H$13,Цены!$L$13,IF(C28=Цены!$H$14,Цены!$L$14,IF(C28=Цены!$H$14,Цены!$L$14,IF(C28=Цены!$H$15,Цены!$L$15,IF(C28=Цены!$H$16,Цены!$L$16,IF(C28=Цены!$H$17,Цены!$L$17,IF(C28=Цены!$H$18,Цены!$L$18,IF(C28=Цены!$H$19,Цены!$L$19,IF(C28=Цены!$H$20,Цены!$L$20,IF(C28=Цены!$H$21,Цены!$L$21,IF(C28=Цены!$H$22,Цены!$L$22,IF(C28=Цены!$H$23,Цены!$L$23,IF(C28=Цены!$H$24,Цены!$L$24,IF(C28=Цены!$H$25,Цены!$L$25,IF(C28=Цены!$H$26,Цены!$L$26,IF(C28=Цены!$H$27,Цены!$L$27,IF(C28=Цены!$H$28,Цены!$L$28,IF(C28=Цены!$H$29,Цены!$L$29,IF(C28=Цены!$H$30,Цены!$L$30,IF(C28=Цены!$H$31,Цены!$L$31,IF(C28=Цены!$H$32,Цены!$L$32,IF(C28=Цены!$H$33,Цены!$L$33,IF(C28=Цены!$H$34,Цены!$L$34,IF(C28=Цены!$H$35,Цены!$L$35,IF(C28=Цены!$H$36,Цены!$L$36,IF(C28=Цены!$H$37,Цены!$L$37,IF(C28=Цены!$H$38,Цены!$L$38,IF(C28=Цены!$H$39,Цены!$L$39,IF(C28=Цены!$H$40,Цены!$L$40,IF(C28=Цены!$H$41,Цены!$L$41,IF(C28=Цены!$H$42,Цены!$L$42,IF(C28=Цены!$H$43,Цены!$L$43,IF(C28=Цены!$H$44,Цены!$L$44,IF(C28=Цены!$H$45,Цены!$L$45,IF(C28=Цены!$H$46,Цены!$L$46,IF(C28=Цены!$H$47,Цены!$L$47,IF(C28=Цены!$H$48,Цены!$L$48,IF(C28=Цены!$H$49,Цены!$L$49,IF(C28=Цены!$H$50,Цены!$L$50,IF(C28=Цены!$H$51,Цены!$L$51,IF(C28=Цены!$H$52,Цены!$L$52,IF(C28=Цены!$H$53,Цены!$L$53,IF(C28=Цены!$H$54,Цены!$L$54,IF(C28=Цены!$H$55,Цены!$L$55))))))))))))))))))))))))))))))))))))))))))))))))))))))</f>
        <v>0</v>
      </c>
      <c r="F28" s="142"/>
      <c r="G28" s="387"/>
    </row>
    <row r="29" spans="2:7" x14ac:dyDescent="0.25">
      <c r="B29" s="265"/>
      <c r="C29" s="117"/>
      <c r="D29" s="144"/>
      <c r="E29" s="33" t="b">
        <f>IF(C29=Цены!$H$3,Цены!$L$3,IF(C29=Цены!$H$4,Цены!$L$4,IF(C29=Цены!$H$5,Цены!$L$5,IF(C29=Цены!$H$6,Цены!$L$6,IF(C29=Цены!$H$7,Цены!$L$7,IF(C29=Цены!$H$8,Цены!$L$8,IF(C29=Цены!$H$9,Цены!$L$9,IF(C29=Цены!$H$10,Цены!$L$10,IF(C29=Цены!$H$11,Цены!$L$11,IF(C29=Цены!$H$12,Цены!$L$12,IF(C29=Цены!$H$13,Цены!$L$13,IF(C29=Цены!$H$14,Цены!$L$14,IF(C29=Цены!$H$14,Цены!$L$14,IF(C29=Цены!$H$15,Цены!$L$15,IF(C29=Цены!$H$16,Цены!$L$16,IF(C29=Цены!$H$17,Цены!$L$17,IF(C29=Цены!$H$18,Цены!$L$18,IF(C29=Цены!$H$19,Цены!$L$19,IF(C29=Цены!$H$20,Цены!$L$20,IF(C29=Цены!$H$21,Цены!$L$21,IF(C29=Цены!$H$22,Цены!$L$22,IF(C29=Цены!$H$23,Цены!$L$23,IF(C29=Цены!$H$24,Цены!$L$24,IF(C29=Цены!$H$25,Цены!$L$25,IF(C29=Цены!$H$26,Цены!$L$26,IF(C29=Цены!$H$27,Цены!$L$27,IF(C29=Цены!$H$28,Цены!$L$28,IF(C29=Цены!$H$29,Цены!$L$29,IF(C29=Цены!$H$30,Цены!$L$30,IF(C29=Цены!$H$31,Цены!$L$31,IF(C29=Цены!$H$32,Цены!$L$32,IF(C29=Цены!$H$33,Цены!$L$33,IF(C29=Цены!$H$34,Цены!$L$34,IF(C29=Цены!$H$35,Цены!$L$35,IF(C29=Цены!$H$36,Цены!$L$36,IF(C29=Цены!$H$37,Цены!$L$37,IF(C29=Цены!$H$38,Цены!$L$38,IF(C29=Цены!$H$39,Цены!$L$39,IF(C29=Цены!$H$40,Цены!$L$40,IF(C29=Цены!$H$41,Цены!$L$41,IF(C29=Цены!$H$42,Цены!$L$42,IF(C29=Цены!$H$43,Цены!$L$43,IF(C29=Цены!$H$44,Цены!$L$44,IF(C29=Цены!$H$45,Цены!$L$45,IF(C29=Цены!$H$46,Цены!$L$46,IF(C29=Цены!$H$47,Цены!$L$47,IF(C29=Цены!$H$48,Цены!$L$48,IF(C29=Цены!$H$49,Цены!$L$49,IF(C29=Цены!$H$50,Цены!$L$50,IF(C29=Цены!$H$51,Цены!$L$51,IF(C29=Цены!$H$52,Цены!$L$52,IF(C29=Цены!$H$53,Цены!$L$53,IF(C29=Цены!$H$54,Цены!$L$54,IF(C29=Цены!$H$55,Цены!$L$55))))))))))))))))))))))))))))))))))))))))))))))))))))))</f>
        <v>0</v>
      </c>
      <c r="F29" s="142"/>
      <c r="G29" s="387"/>
    </row>
    <row r="30" spans="2:7" x14ac:dyDescent="0.25">
      <c r="B30" s="336" t="s">
        <v>120</v>
      </c>
      <c r="C30" s="125" t="s">
        <v>146</v>
      </c>
      <c r="D30" s="152">
        <v>4</v>
      </c>
      <c r="E30" s="80">
        <f>IF(C30=Цены!$H$3,Цены!$L$3,IF(C30=Цены!$H$4,Цены!$L$4,IF(C30=Цены!$H$5,Цены!$L$5,IF(C30=Цены!$H$6,Цены!$L$6,IF(C30=Цены!$H$7,Цены!$L$7,IF(C30=Цены!$H$8,Цены!$L$8,IF(C30=Цены!$H$9,Цены!$L$9,IF(C30=Цены!$H$10,Цены!$L$10,IF(C30=Цены!$H$11,Цены!$L$11,IF(C30=Цены!$H$12,Цены!$L$12,IF(C30=Цены!$H$13,Цены!$L$13,IF(C30=Цены!$H$14,Цены!$L$14,IF(C30=Цены!$H$14,Цены!$L$14,IF(C30=Цены!$H$15,Цены!$L$15,IF(C30=Цены!$H$16,Цены!$L$16,IF(C30=Цены!$H$17,Цены!$L$17,IF(C30=Цены!$H$18,Цены!$L$18,IF(C30=Цены!$H$19,Цены!$L$19,IF(C30=Цены!$H$20,Цены!$L$20,IF(C30=Цены!$H$21,Цены!$L$21,IF(C30=Цены!$H$22,Цены!$L$22,IF(C30=Цены!$H$23,Цены!$L$23,IF(C30=Цены!$H$24,Цены!$L$24,IF(C30=Цены!$H$25,Цены!$L$25,IF(C30=Цены!$H$26,Цены!$L$26,IF(C30=Цены!$H$27,Цены!$L$27,IF(C30=Цены!$H$28,Цены!$L$28,IF(C30=Цены!$H$29,Цены!$L$29,IF(C30=Цены!$H$30,Цены!$L$30,IF(C30=Цены!$H$31,Цены!$L$31,IF(C30=Цены!$H$32,Цены!$L$32,IF(C30=Цены!$H$33,Цены!$L$33,IF(C30=Цены!$H$34,Цены!$L$34,IF(C30=Цены!$H$35,Цены!$L$35,IF(C30=Цены!$H$36,Цены!$L$36,IF(C30=Цены!$H$37,Цены!$L$37,IF(C30=Цены!$H$38,Цены!$L$38,IF(C30=Цены!$H$39,Цены!$L$39,IF(C30=Цены!$H$40,Цены!$L$40,IF(C30=Цены!$H$41,Цены!$L$41,IF(C30=Цены!$H$42,Цены!$L$42,IF(C30=Цены!$H$43,Цены!$L$43,IF(C30=Цены!$H$44,Цены!$L$44,IF(C30=Цены!$H$45,Цены!$L$45,IF(C30=Цены!$H$46,Цены!$L$46,IF(C30=Цены!$H$47,Цены!$L$47,IF(C30=Цены!$H$48,Цены!$L$48,IF(C30=Цены!$H$49,Цены!$L$49,IF(C30=Цены!$H$50,Цены!$L$50,IF(C30=Цены!$H$51,Цены!$L$51,IF(C30=Цены!$H$52,Цены!$L$52,IF(C30=Цены!$H$53,Цены!$L$53,IF(C30=Цены!$H$54,Цены!$L$54,IF(C30=Цены!$H$55,Цены!$L$55))))))))))))))))))))))))))))))))))))))))))))))))))))))</f>
        <v>1.19</v>
      </c>
      <c r="F30" s="151">
        <f>D30*E30+D31*E31+D32*E32+D33*E33</f>
        <v>13.67</v>
      </c>
      <c r="G30" s="387"/>
    </row>
    <row r="31" spans="2:7" x14ac:dyDescent="0.25">
      <c r="B31" s="336"/>
      <c r="C31" s="125" t="s">
        <v>140</v>
      </c>
      <c r="D31" s="152">
        <v>3</v>
      </c>
      <c r="E31" s="80">
        <f>IF(C31=Цены!$H$3,Цены!$L$3,IF(C31=Цены!$H$4,Цены!$L$4,IF(C31=Цены!$H$5,Цены!$L$5,IF(C31=Цены!$H$6,Цены!$L$6,IF(C31=Цены!$H$7,Цены!$L$7,IF(C31=Цены!$H$8,Цены!$L$8,IF(C31=Цены!$H$9,Цены!$L$9,IF(C31=Цены!$H$10,Цены!$L$10,IF(C31=Цены!$H$11,Цены!$L$11,IF(C31=Цены!$H$12,Цены!$L$12,IF(C31=Цены!$H$13,Цены!$L$13,IF(C31=Цены!$H$14,Цены!$L$14,IF(C31=Цены!$H$14,Цены!$L$14,IF(C31=Цены!$H$15,Цены!$L$15,IF(C31=Цены!$H$16,Цены!$L$16,IF(C31=Цены!$H$17,Цены!$L$17,IF(C31=Цены!$H$18,Цены!$L$18,IF(C31=Цены!$H$19,Цены!$L$19,IF(C31=Цены!$H$20,Цены!$L$20,IF(C31=Цены!$H$21,Цены!$L$21,IF(C31=Цены!$H$22,Цены!$L$22,IF(C31=Цены!$H$23,Цены!$L$23,IF(C31=Цены!$H$24,Цены!$L$24,IF(C31=Цены!$H$25,Цены!$L$25,IF(C31=Цены!$H$26,Цены!$L$26,IF(C31=Цены!$H$27,Цены!$L$27,IF(C31=Цены!$H$28,Цены!$L$28,IF(C31=Цены!$H$29,Цены!$L$29,IF(C31=Цены!$H$30,Цены!$L$30,IF(C31=Цены!$H$31,Цены!$L$31,IF(C31=Цены!$H$32,Цены!$L$32,IF(C31=Цены!$H$33,Цены!$L$33,IF(C31=Цены!$H$34,Цены!$L$34,IF(C31=Цены!$H$35,Цены!$L$35,IF(C31=Цены!$H$36,Цены!$L$36,IF(C31=Цены!$H$37,Цены!$L$37,IF(C31=Цены!$H$38,Цены!$L$38,IF(C31=Цены!$H$39,Цены!$L$39,IF(C31=Цены!$H$40,Цены!$L$40,IF(C31=Цены!$H$41,Цены!$L$41,IF(C31=Цены!$H$42,Цены!$L$42,IF(C31=Цены!$H$43,Цены!$L$43,IF(C31=Цены!$H$44,Цены!$L$44,IF(C31=Цены!$H$45,Цены!$L$45,IF(C31=Цены!$H$46,Цены!$L$46,IF(C31=Цены!$H$47,Цены!$L$47,IF(C31=Цены!$H$48,Цены!$L$48,IF(C31=Цены!$H$49,Цены!$L$49,IF(C31=Цены!$H$50,Цены!$L$50,IF(C31=Цены!$H$51,Цены!$L$51,IF(C31=Цены!$H$52,Цены!$L$52,IF(C31=Цены!$H$53,Цены!$L$53,IF(C31=Цены!$H$54,Цены!$L$54,IF(C31=Цены!$H$55,Цены!$L$55))))))))))))))))))))))))))))))))))))))))))))))))))))))</f>
        <v>0.37</v>
      </c>
      <c r="F31" s="151"/>
      <c r="G31" s="387"/>
    </row>
    <row r="32" spans="2:7" x14ac:dyDescent="0.25">
      <c r="B32" s="336"/>
      <c r="C32" s="82" t="s">
        <v>147</v>
      </c>
      <c r="D32" s="152">
        <v>3</v>
      </c>
      <c r="E32" s="80">
        <f>IF(C32=Цены!$H$3,Цены!$L$3,IF(C32=Цены!$H$4,Цены!$L$4,IF(C32=Цены!$H$5,Цены!$L$5,IF(C32=Цены!$H$6,Цены!$L$6,IF(C32=Цены!$H$7,Цены!$L$7,IF(C32=Цены!$H$8,Цены!$L$8,IF(C32=Цены!$H$9,Цены!$L$9,IF(C32=Цены!$H$10,Цены!$L$10,IF(C32=Цены!$H$11,Цены!$L$11,IF(C32=Цены!$H$12,Цены!$L$12,IF(C32=Цены!$H$13,Цены!$L$13,IF(C32=Цены!$H$14,Цены!$L$14,IF(C32=Цены!$H$14,Цены!$L$14,IF(C32=Цены!$H$15,Цены!$L$15,IF(C32=Цены!$H$16,Цены!$L$16,IF(C32=Цены!$H$17,Цены!$L$17,IF(C32=Цены!$H$18,Цены!$L$18,IF(C32=Цены!$H$19,Цены!$L$19,IF(C32=Цены!$H$20,Цены!$L$20,IF(C32=Цены!$H$21,Цены!$L$21,IF(C32=Цены!$H$22,Цены!$L$22,IF(C32=Цены!$H$23,Цены!$L$23,IF(C32=Цены!$H$24,Цены!$L$24,IF(C32=Цены!$H$25,Цены!$L$25,IF(C32=Цены!$H$26,Цены!$L$26,IF(C32=Цены!$H$27,Цены!$L$27,IF(C32=Цены!$H$28,Цены!$L$28,IF(C32=Цены!$H$29,Цены!$L$29,IF(C32=Цены!$H$30,Цены!$L$30,IF(C32=Цены!$H$31,Цены!$L$31,IF(C32=Цены!$H$32,Цены!$L$32,IF(C32=Цены!$H$33,Цены!$L$33,IF(C32=Цены!$H$34,Цены!$L$34,IF(C32=Цены!$H$35,Цены!$L$35,IF(C32=Цены!$H$36,Цены!$L$36,IF(C32=Цены!$H$37,Цены!$L$37,IF(C32=Цены!$H$38,Цены!$L$38,IF(C32=Цены!$H$39,Цены!$L$39,IF(C32=Цены!$H$40,Цены!$L$40,IF(C32=Цены!$H$41,Цены!$L$41,IF(C32=Цены!$H$42,Цены!$L$42,IF(C32=Цены!$H$43,Цены!$L$43,IF(C32=Цены!$H$44,Цены!$L$44,IF(C32=Цены!$H$45,Цены!$L$45,IF(C32=Цены!$H$46,Цены!$L$46,IF(C32=Цены!$H$47,Цены!$L$47,IF(C32=Цены!$H$48,Цены!$L$48,IF(C32=Цены!$H$49,Цены!$L$49,IF(C32=Цены!$H$50,Цены!$L$50,IF(C32=Цены!$H$51,Цены!$L$51,IF(C32=Цены!$H$52,Цены!$L$52,IF(C32=Цены!$H$53,Цены!$L$53,IF(C32=Цены!$H$54,Цены!$L$54,IF(C32=Цены!$H$55,Цены!$L$55))))))))))))))))))))))))))))))))))))))))))))))))))))))</f>
        <v>2.6</v>
      </c>
      <c r="F32" s="151"/>
      <c r="G32" s="387"/>
    </row>
    <row r="33" spans="2:7" x14ac:dyDescent="0.25">
      <c r="B33" s="336"/>
      <c r="C33" s="78"/>
      <c r="D33" s="152"/>
      <c r="E33" s="80" t="b">
        <f>IF(C33=Цены!$H$3,Цены!$L$3,IF(C33=Цены!$H$4,Цены!$L$4,IF(C33=Цены!$H$5,Цены!$L$5,IF(C33=Цены!$H$6,Цены!$L$6,IF(C33=Цены!$H$7,Цены!$L$7,IF(C33=Цены!$H$8,Цены!$L$8,IF(C33=Цены!$H$9,Цены!$L$9,IF(C33=Цены!$H$10,Цены!$L$10,IF(C33=Цены!$H$11,Цены!$L$11,IF(C33=Цены!$H$12,Цены!$L$12,IF(C33=Цены!$H$13,Цены!$L$13,IF(C33=Цены!$H$14,Цены!$L$14,IF(C33=Цены!$H$14,Цены!$L$14,IF(C33=Цены!$H$15,Цены!$L$15,IF(C33=Цены!$H$16,Цены!$L$16,IF(C33=Цены!$H$17,Цены!$L$17,IF(C33=Цены!$H$18,Цены!$L$18,IF(C33=Цены!$H$19,Цены!$L$19,IF(C33=Цены!$H$20,Цены!$L$20,IF(C33=Цены!$H$21,Цены!$L$21,IF(C33=Цены!$H$22,Цены!$L$22,IF(C33=Цены!$H$23,Цены!$L$23,IF(C33=Цены!$H$24,Цены!$L$24,IF(C33=Цены!$H$25,Цены!$L$25,IF(C33=Цены!$H$26,Цены!$L$26,IF(C33=Цены!$H$27,Цены!$L$27,IF(C33=Цены!$H$28,Цены!$L$28,IF(C33=Цены!$H$29,Цены!$L$29,IF(C33=Цены!$H$30,Цены!$L$30,IF(C33=Цены!$H$31,Цены!$L$31,IF(C33=Цены!$H$32,Цены!$L$32,IF(C33=Цены!$H$33,Цены!$L$33,IF(C33=Цены!$H$34,Цены!$L$34,IF(C33=Цены!$H$35,Цены!$L$35,IF(C33=Цены!$H$36,Цены!$L$36,IF(C33=Цены!$H$37,Цены!$L$37,IF(C33=Цены!$H$38,Цены!$L$38,IF(C33=Цены!$H$39,Цены!$L$39,IF(C33=Цены!$H$40,Цены!$L$40,IF(C33=Цены!$H$41,Цены!$L$41,IF(C33=Цены!$H$42,Цены!$L$42,IF(C33=Цены!$H$43,Цены!$L$43,IF(C33=Цены!$H$44,Цены!$L$44,IF(C33=Цены!$H$45,Цены!$L$45,IF(C33=Цены!$H$46,Цены!$L$46,IF(C33=Цены!$H$47,Цены!$L$47,IF(C33=Цены!$H$48,Цены!$L$48,IF(C33=Цены!$H$49,Цены!$L$49,IF(C33=Цены!$H$50,Цены!$L$50,IF(C33=Цены!$H$51,Цены!$L$51,IF(C33=Цены!$H$52,Цены!$L$52,IF(C33=Цены!$H$53,Цены!$L$53,IF(C33=Цены!$H$54,Цены!$L$54,IF(C33=Цены!$H$55,Цены!$L$55))))))))))))))))))))))))))))))))))))))))))))))))))))))</f>
        <v>0</v>
      </c>
      <c r="F33" s="151"/>
      <c r="G33" s="387"/>
    </row>
    <row r="34" spans="2:7" x14ac:dyDescent="0.25">
      <c r="B34" s="265" t="s">
        <v>113</v>
      </c>
      <c r="C34" s="123" t="s">
        <v>139</v>
      </c>
      <c r="D34" s="144">
        <v>4</v>
      </c>
      <c r="E34" s="33" t="b">
        <f>IF(C34=Цены!$H$3,Цены!$L$3,IF(C34=Цены!$H$4,Цены!$L$4,IF(C34=Цены!$H$5,Цены!$L$5,IF(C34=Цены!$H$6,Цены!$L$6,IF(C34=Цены!$H$7,Цены!$L$7,IF(C34=Цены!$H$8,Цены!$L$8,IF(C34=Цены!$H$9,Цены!$L$9,IF(C34=Цены!$H$10,Цены!$L$10,IF(C34=Цены!$H$11,Цены!$L$11,IF(C34=Цены!$H$12,Цены!$L$12,IF(C34=Цены!$H$13,Цены!$L$13,IF(C34=Цены!$H$14,Цены!$L$14,IF(C34=Цены!$H$14,Цены!$L$14,IF(C34=Цены!$H$15,Цены!$L$15,IF(C34=Цены!$H$16,Цены!$L$16,IF(C34=Цены!$H$17,Цены!$L$17,IF(C34=Цены!$H$18,Цены!$L$18,IF(C34=Цены!$H$19,Цены!$L$19,IF(C34=Цены!$H$20,Цены!$L$20,IF(C34=Цены!$H$21,Цены!$L$21,IF(C34=Цены!$H$22,Цены!$L$22,IF(C34=Цены!$H$23,Цены!$L$23,IF(C34=Цены!$H$24,Цены!$L$24,IF(C34=Цены!$H$25,Цены!$L$25,IF(C34=Цены!$H$26,Цены!$L$26,IF(C34=Цены!$H$27,Цены!$L$27,IF(C34=Цены!$H$28,Цены!$L$28,IF(C34=Цены!$H$29,Цены!$L$29,IF(C34=Цены!$H$30,Цены!$L$30,IF(C34=Цены!$H$31,Цены!$L$31,IF(C34=Цены!$H$32,Цены!$L$32,IF(C34=Цены!$H$33,Цены!$L$33,IF(C34=Цены!$H$34,Цены!$L$34,IF(C34=Цены!$H$35,Цены!$L$35,IF(C34=Цены!$H$36,Цены!$L$36,IF(C34=Цены!$H$37,Цены!$L$37,IF(C34=Цены!$H$38,Цены!$L$38,IF(C34=Цены!$H$39,Цены!$L$39,IF(C34=Цены!$H$40,Цены!$L$40,IF(C34=Цены!$H$41,Цены!$L$41,IF(C34=Цены!$H$42,Цены!$L$42,IF(C34=Цены!$H$43,Цены!$L$43,IF(C34=Цены!$H$44,Цены!$L$44,IF(C34=Цены!$H$45,Цены!$L$45,IF(C34=Цены!$H$46,Цены!$L$46,IF(C34=Цены!$H$47,Цены!$L$47,IF(C34=Цены!$H$48,Цены!$L$48,IF(C34=Цены!$H$49,Цены!$L$49,IF(C34=Цены!$H$50,Цены!$L$50,IF(C34=Цены!$H$51,Цены!$L$51,IF(C34=Цены!$H$52,Цены!$L$52,IF(C34=Цены!$H$53,Цены!$L$53,IF(C34=Цены!$H$54,Цены!$L$54,IF(C34=Цены!$H$55,Цены!$L$55))))))))))))))))))))))))))))))))))))))))))))))))))))))</f>
        <v>0</v>
      </c>
      <c r="F34" s="142">
        <f>D34*E34+D35*E35+D36*E36+D37*E37</f>
        <v>0.57000000000000006</v>
      </c>
      <c r="G34" s="387" t="s">
        <v>156</v>
      </c>
    </row>
    <row r="35" spans="2:7" x14ac:dyDescent="0.25">
      <c r="B35" s="265"/>
      <c r="C35" s="123" t="s">
        <v>144</v>
      </c>
      <c r="D35" s="144">
        <v>3</v>
      </c>
      <c r="E35" s="33">
        <f>IF(C35=Цены!$H$3,Цены!$L$3,IF(C35=Цены!$H$4,Цены!$L$4,IF(C35=Цены!$H$5,Цены!$L$5,IF(C35=Цены!$H$6,Цены!$L$6,IF(C35=Цены!$H$7,Цены!$L$7,IF(C35=Цены!$H$8,Цены!$L$8,IF(C35=Цены!$H$9,Цены!$L$9,IF(C35=Цены!$H$10,Цены!$L$10,IF(C35=Цены!$H$11,Цены!$L$11,IF(C35=Цены!$H$12,Цены!$L$12,IF(C35=Цены!$H$13,Цены!$L$13,IF(C35=Цены!$H$14,Цены!$L$14,IF(C35=Цены!$H$14,Цены!$L$14,IF(C35=Цены!$H$15,Цены!$L$15,IF(C35=Цены!$H$16,Цены!$L$16,IF(C35=Цены!$H$17,Цены!$L$17,IF(C35=Цены!$H$18,Цены!$L$18,IF(C35=Цены!$H$19,Цены!$L$19,IF(C35=Цены!$H$20,Цены!$L$20,IF(C35=Цены!$H$21,Цены!$L$21,IF(C35=Цены!$H$22,Цены!$L$22,IF(C35=Цены!$H$23,Цены!$L$23,IF(C35=Цены!$H$24,Цены!$L$24,IF(C35=Цены!$H$25,Цены!$L$25,IF(C35=Цены!$H$26,Цены!$L$26,IF(C35=Цены!$H$27,Цены!$L$27,IF(C35=Цены!$H$28,Цены!$L$28,IF(C35=Цены!$H$29,Цены!$L$29,IF(C35=Цены!$H$30,Цены!$L$30,IF(C35=Цены!$H$31,Цены!$L$31,IF(C35=Цены!$H$32,Цены!$L$32,IF(C35=Цены!$H$33,Цены!$L$33,IF(C35=Цены!$H$34,Цены!$L$34,IF(C35=Цены!$H$35,Цены!$L$35,IF(C35=Цены!$H$36,Цены!$L$36,IF(C35=Цены!$H$37,Цены!$L$37,IF(C35=Цены!$H$38,Цены!$L$38,IF(C35=Цены!$H$39,Цены!$L$39,IF(C35=Цены!$H$40,Цены!$L$40,IF(C35=Цены!$H$41,Цены!$L$41,IF(C35=Цены!$H$42,Цены!$L$42,IF(C35=Цены!$H$43,Цены!$L$43,IF(C35=Цены!$H$44,Цены!$L$44,IF(C35=Цены!$H$45,Цены!$L$45,IF(C35=Цены!$H$46,Цены!$L$46,IF(C35=Цены!$H$47,Цены!$L$47,IF(C35=Цены!$H$48,Цены!$L$48,IF(C35=Цены!$H$49,Цены!$L$49,IF(C35=Цены!$H$50,Цены!$L$50,IF(C35=Цены!$H$51,Цены!$L$51,IF(C35=Цены!$H$52,Цены!$L$52,IF(C35=Цены!$H$53,Цены!$L$53,IF(C35=Цены!$H$54,Цены!$L$54,IF(C35=Цены!$H$55,Цены!$L$55))))))))))))))))))))))))))))))))))))))))))))))))))))))</f>
        <v>0.19</v>
      </c>
      <c r="F35" s="142"/>
      <c r="G35" s="387"/>
    </row>
    <row r="36" spans="2:7" x14ac:dyDescent="0.25">
      <c r="B36" s="265"/>
      <c r="C36" s="35"/>
      <c r="D36" s="144"/>
      <c r="E36" s="33" t="b">
        <f>IF(C36=Цены!$H$3,Цены!$L$3,IF(C36=Цены!$H$4,Цены!$L$4,IF(C36=Цены!$H$5,Цены!$L$5,IF(C36=Цены!$H$6,Цены!$L$6,IF(C36=Цены!$H$7,Цены!$L$7,IF(C36=Цены!$H$8,Цены!$L$8,IF(C36=Цены!$H$9,Цены!$L$9,IF(C36=Цены!$H$10,Цены!$L$10,IF(C36=Цены!$H$11,Цены!$L$11,IF(C36=Цены!$H$12,Цены!$L$12,IF(C36=Цены!$H$13,Цены!$L$13,IF(C36=Цены!$H$14,Цены!$L$14,IF(C36=Цены!$H$14,Цены!$L$14,IF(C36=Цены!$H$15,Цены!$L$15,IF(C36=Цены!$H$16,Цены!$L$16,IF(C36=Цены!$H$17,Цены!$L$17,IF(C36=Цены!$H$18,Цены!$L$18,IF(C36=Цены!$H$19,Цены!$L$19,IF(C36=Цены!$H$20,Цены!$L$20,IF(C36=Цены!$H$21,Цены!$L$21,IF(C36=Цены!$H$22,Цены!$L$22,IF(C36=Цены!$H$23,Цены!$L$23,IF(C36=Цены!$H$24,Цены!$L$24,IF(C36=Цены!$H$25,Цены!$L$25,IF(C36=Цены!$H$26,Цены!$L$26,IF(C36=Цены!$H$27,Цены!$L$27,IF(C36=Цены!$H$28,Цены!$L$28,IF(C36=Цены!$H$29,Цены!$L$29,IF(C36=Цены!$H$30,Цены!$L$30,IF(C36=Цены!$H$31,Цены!$L$31,IF(C36=Цены!$H$32,Цены!$L$32,IF(C36=Цены!$H$33,Цены!$L$33,IF(C36=Цены!$H$34,Цены!$L$34,IF(C36=Цены!$H$35,Цены!$L$35,IF(C36=Цены!$H$36,Цены!$L$36,IF(C36=Цены!$H$37,Цены!$L$37,IF(C36=Цены!$H$38,Цены!$L$38,IF(C36=Цены!$H$39,Цены!$L$39,IF(C36=Цены!$H$40,Цены!$L$40,IF(C36=Цены!$H$41,Цены!$L$41,IF(C36=Цены!$H$42,Цены!$L$42,IF(C36=Цены!$H$43,Цены!$L$43,IF(C36=Цены!$H$44,Цены!$L$44,IF(C36=Цены!$H$45,Цены!$L$45,IF(C36=Цены!$H$46,Цены!$L$46,IF(C36=Цены!$H$47,Цены!$L$47,IF(C36=Цены!$H$48,Цены!$L$48,IF(C36=Цены!$H$49,Цены!$L$49,IF(C36=Цены!$H$50,Цены!$L$50,IF(C36=Цены!$H$51,Цены!$L$51,IF(C36=Цены!$H$52,Цены!$L$52,IF(C36=Цены!$H$53,Цены!$L$53,IF(C36=Цены!$H$54,Цены!$L$54,IF(C36=Цены!$H$55,Цены!$L$55))))))))))))))))))))))))))))))))))))))))))))))))))))))</f>
        <v>0</v>
      </c>
      <c r="F36" s="142"/>
      <c r="G36" s="387"/>
    </row>
    <row r="37" spans="2:7" x14ac:dyDescent="0.25">
      <c r="B37" s="265"/>
      <c r="C37" s="35"/>
      <c r="D37" s="144"/>
      <c r="E37" s="33" t="b">
        <f>IF(C37=Цены!$H$3,Цены!$L$3,IF(C37=Цены!$H$4,Цены!$L$4,IF(C37=Цены!$H$5,Цены!$L$5,IF(C37=Цены!$H$6,Цены!$L$6,IF(C37=Цены!$H$7,Цены!$L$7,IF(C37=Цены!$H$8,Цены!$L$8,IF(C37=Цены!$H$9,Цены!$L$9,IF(C37=Цены!$H$10,Цены!$L$10,IF(C37=Цены!$H$11,Цены!$L$11,IF(C37=Цены!$H$12,Цены!$L$12,IF(C37=Цены!$H$13,Цены!$L$13,IF(C37=Цены!$H$14,Цены!$L$14,IF(C37=Цены!$H$14,Цены!$L$14,IF(C37=Цены!$H$15,Цены!$L$15,IF(C37=Цены!$H$16,Цены!$L$16,IF(C37=Цены!$H$17,Цены!$L$17,IF(C37=Цены!$H$18,Цены!$L$18,IF(C37=Цены!$H$19,Цены!$L$19,IF(C37=Цены!$H$20,Цены!$L$20,IF(C37=Цены!$H$21,Цены!$L$21,IF(C37=Цены!$H$22,Цены!$L$22,IF(C37=Цены!$H$23,Цены!$L$23,IF(C37=Цены!$H$24,Цены!$L$24,IF(C37=Цены!$H$25,Цены!$L$25,IF(C37=Цены!$H$26,Цены!$L$26,IF(C37=Цены!$H$27,Цены!$L$27,IF(C37=Цены!$H$28,Цены!$L$28,IF(C37=Цены!$H$29,Цены!$L$29,IF(C37=Цены!$H$30,Цены!$L$30,IF(C37=Цены!$H$31,Цены!$L$31,IF(C37=Цены!$H$32,Цены!$L$32,IF(C37=Цены!$H$33,Цены!$L$33,IF(C37=Цены!$H$34,Цены!$L$34,IF(C37=Цены!$H$35,Цены!$L$35,IF(C37=Цены!$H$36,Цены!$L$36,IF(C37=Цены!$H$37,Цены!$L$37,IF(C37=Цены!$H$38,Цены!$L$38,IF(C37=Цены!$H$39,Цены!$L$39,IF(C37=Цены!$H$40,Цены!$L$40,IF(C37=Цены!$H$41,Цены!$L$41,IF(C37=Цены!$H$42,Цены!$L$42,IF(C37=Цены!$H$43,Цены!$L$43,IF(C37=Цены!$H$44,Цены!$L$44,IF(C37=Цены!$H$45,Цены!$L$45,IF(C37=Цены!$H$46,Цены!$L$46,IF(C37=Цены!$H$47,Цены!$L$47,IF(C37=Цены!$H$48,Цены!$L$48,IF(C37=Цены!$H$49,Цены!$L$49,IF(C37=Цены!$H$50,Цены!$L$50,IF(C37=Цены!$H$51,Цены!$L$51,IF(C37=Цены!$H$52,Цены!$L$52,IF(C37=Цены!$H$53,Цены!$L$53,IF(C37=Цены!$H$54,Цены!$L$54,IF(C37=Цены!$H$55,Цены!$L$55))))))))))))))))))))))))))))))))))))))))))))))))))))))</f>
        <v>0</v>
      </c>
      <c r="F37" s="142"/>
      <c r="G37" s="387"/>
    </row>
    <row r="38" spans="2:7" x14ac:dyDescent="0.25">
      <c r="B38" s="336" t="s">
        <v>120</v>
      </c>
      <c r="C38" s="127" t="s">
        <v>141</v>
      </c>
      <c r="D38" s="150">
        <v>4</v>
      </c>
      <c r="E38" s="103">
        <f>IF(C38=Цены!$H$3,Цены!$L$3,IF(C38=Цены!$H$4,Цены!$L$4,IF(C38=Цены!$H$5,Цены!$L$5,IF(C38=Цены!$H$6,Цены!$L$6,IF(C38=Цены!$H$7,Цены!$L$7,IF(C38=Цены!$H$8,Цены!$L$8,IF(C38=Цены!$H$9,Цены!$L$9,IF(C38=Цены!$H$10,Цены!$L$10,IF(C38=Цены!$H$11,Цены!$L$11,IF(C38=Цены!$H$12,Цены!$L$12,IF(C38=Цены!$H$13,Цены!$L$13,IF(C38=Цены!$H$14,Цены!$L$14,IF(C38=Цены!$H$14,Цены!$L$14,IF(C38=Цены!$H$15,Цены!$L$15,IF(C38=Цены!$H$16,Цены!$L$16,IF(C38=Цены!$H$17,Цены!$L$17,IF(C38=Цены!$H$18,Цены!$L$18,IF(C38=Цены!$H$19,Цены!$L$19,IF(C38=Цены!$H$20,Цены!$L$20,IF(C38=Цены!$H$21,Цены!$L$21,IF(C38=Цены!$H$22,Цены!$L$22,IF(C38=Цены!$H$23,Цены!$L$23,IF(C38=Цены!$H$24,Цены!$L$24,IF(C38=Цены!$H$25,Цены!$L$25,IF(C38=Цены!$H$26,Цены!$L$26,IF(C38=Цены!$H$27,Цены!$L$27,IF(C38=Цены!$H$28,Цены!$L$28,IF(C38=Цены!$H$29,Цены!$L$29,IF(C38=Цены!$H$30,Цены!$L$30,IF(C38=Цены!$H$31,Цены!$L$31,IF(C38=Цены!$H$32,Цены!$L$32,IF(C38=Цены!$H$33,Цены!$L$33,IF(C38=Цены!$H$34,Цены!$L$34,IF(C38=Цены!$H$35,Цены!$L$35,IF(C38=Цены!$H$36,Цены!$L$36,IF(C38=Цены!$H$37,Цены!$L$37,IF(C38=Цены!$H$38,Цены!$L$38,IF(C38=Цены!$H$39,Цены!$L$39,IF(C38=Цены!$H$40,Цены!$L$40,IF(C38=Цены!$H$41,Цены!$L$41,IF(C38=Цены!$H$42,Цены!$L$42,IF(C38=Цены!$H$43,Цены!$L$43,IF(C38=Цены!$H$44,Цены!$L$44,IF(C38=Цены!$H$45,Цены!$L$45,IF(C38=Цены!$H$46,Цены!$L$46,IF(C38=Цены!$H$47,Цены!$L$47,IF(C38=Цены!$H$48,Цены!$L$48,IF(C38=Цены!$H$49,Цены!$L$49,IF(C38=Цены!$H$50,Цены!$L$50,IF(C38=Цены!$H$51,Цены!$L$51,IF(C38=Цены!$H$52,Цены!$L$52,IF(C38=Цены!$H$53,Цены!$L$53,IF(C38=Цены!$H$54,Цены!$L$54,IF(C38=Цены!$H$55,Цены!$L$55))))))))))))))))))))))))))))))))))))))))))))))))))))))</f>
        <v>0.9</v>
      </c>
      <c r="F38" s="149">
        <f>D38*E38+D39*E39+D40*E40+D41*E41</f>
        <v>5.9399999999999995</v>
      </c>
      <c r="G38" s="387"/>
    </row>
    <row r="39" spans="2:7" x14ac:dyDescent="0.25">
      <c r="B39" s="336"/>
      <c r="C39" s="116" t="s">
        <v>96</v>
      </c>
      <c r="D39" s="150">
        <v>3</v>
      </c>
      <c r="E39" s="103">
        <f>IF(C39=Цены!$H$3,Цены!$L$3,IF(C39=Цены!$H$4,Цены!$L$4,IF(C39=Цены!$H$5,Цены!$L$5,IF(C39=Цены!$H$6,Цены!$L$6,IF(C39=Цены!$H$7,Цены!$L$7,IF(C39=Цены!$H$8,Цены!$L$8,IF(C39=Цены!$H$9,Цены!$L$9,IF(C39=Цены!$H$10,Цены!$L$10,IF(C39=Цены!$H$11,Цены!$L$11,IF(C39=Цены!$H$12,Цены!$L$12,IF(C39=Цены!$H$13,Цены!$L$13,IF(C39=Цены!$H$14,Цены!$L$14,IF(C39=Цены!$H$14,Цены!$L$14,IF(C39=Цены!$H$15,Цены!$L$15,IF(C39=Цены!$H$16,Цены!$L$16,IF(C39=Цены!$H$17,Цены!$L$17,IF(C39=Цены!$H$18,Цены!$L$18,IF(C39=Цены!$H$19,Цены!$L$19,IF(C39=Цены!$H$20,Цены!$L$20,IF(C39=Цены!$H$21,Цены!$L$21,IF(C39=Цены!$H$22,Цены!$L$22,IF(C39=Цены!$H$23,Цены!$L$23,IF(C39=Цены!$H$24,Цены!$L$24,IF(C39=Цены!$H$25,Цены!$L$25,IF(C39=Цены!$H$26,Цены!$L$26,IF(C39=Цены!$H$27,Цены!$L$27,IF(C39=Цены!$H$28,Цены!$L$28,IF(C39=Цены!$H$29,Цены!$L$29,IF(C39=Цены!$H$30,Цены!$L$30,IF(C39=Цены!$H$31,Цены!$L$31,IF(C39=Цены!$H$32,Цены!$L$32,IF(C39=Цены!$H$33,Цены!$L$33,IF(C39=Цены!$H$34,Цены!$L$34,IF(C39=Цены!$H$35,Цены!$L$35,IF(C39=Цены!$H$36,Цены!$L$36,IF(C39=Цены!$H$37,Цены!$L$37,IF(C39=Цены!$H$38,Цены!$L$38,IF(C39=Цены!$H$39,Цены!$L$39,IF(C39=Цены!$H$40,Цены!$L$40,IF(C39=Цены!$H$41,Цены!$L$41,IF(C39=Цены!$H$42,Цены!$L$42,IF(C39=Цены!$H$43,Цены!$L$43,IF(C39=Цены!$H$44,Цены!$L$44,IF(C39=Цены!$H$45,Цены!$L$45,IF(C39=Цены!$H$46,Цены!$L$46,IF(C39=Цены!$H$47,Цены!$L$47,IF(C39=Цены!$H$48,Цены!$L$48,IF(C39=Цены!$H$49,Цены!$L$49,IF(C39=Цены!$H$50,Цены!$L$50,IF(C39=Цены!$H$51,Цены!$L$51,IF(C39=Цены!$H$52,Цены!$L$52,IF(C39=Цены!$H$53,Цены!$L$53,IF(C39=Цены!$H$54,Цены!$L$54,IF(C39=Цены!$H$55,Цены!$L$55))))))))))))))))))))))))))))))))))))))))))))))))))))))</f>
        <v>0.78</v>
      </c>
      <c r="F39" s="149"/>
      <c r="G39" s="387"/>
    </row>
    <row r="40" spans="2:7" x14ac:dyDescent="0.25">
      <c r="B40" s="336"/>
      <c r="C40" s="105"/>
      <c r="D40" s="150"/>
      <c r="E40" s="103" t="b">
        <f>IF(C40=Цены!$H$3,Цены!$L$3,IF(C40=Цены!$H$4,Цены!$L$4,IF(C40=Цены!$H$5,Цены!$L$5,IF(C40=Цены!$H$6,Цены!$L$6,IF(C40=Цены!$H$7,Цены!$L$7,IF(C40=Цены!$H$8,Цены!$L$8,IF(C40=Цены!$H$9,Цены!$L$9,IF(C40=Цены!$H$10,Цены!$L$10,IF(C40=Цены!$H$11,Цены!$L$11,IF(C40=Цены!$H$12,Цены!$L$12,IF(C40=Цены!$H$13,Цены!$L$13,IF(C40=Цены!$H$14,Цены!$L$14,IF(C40=Цены!$H$14,Цены!$L$14,IF(C40=Цены!$H$15,Цены!$L$15,IF(C40=Цены!$H$16,Цены!$L$16,IF(C40=Цены!$H$17,Цены!$L$17,IF(C40=Цены!$H$18,Цены!$L$18,IF(C40=Цены!$H$19,Цены!$L$19,IF(C40=Цены!$H$20,Цены!$L$20,IF(C40=Цены!$H$21,Цены!$L$21,IF(C40=Цены!$H$22,Цены!$L$22,IF(C40=Цены!$H$23,Цены!$L$23,IF(C40=Цены!$H$24,Цены!$L$24,IF(C40=Цены!$H$25,Цены!$L$25,IF(C40=Цены!$H$26,Цены!$L$26,IF(C40=Цены!$H$27,Цены!$L$27,IF(C40=Цены!$H$28,Цены!$L$28,IF(C40=Цены!$H$29,Цены!$L$29,IF(C40=Цены!$H$30,Цены!$L$30,IF(C40=Цены!$H$31,Цены!$L$31,IF(C40=Цены!$H$32,Цены!$L$32,IF(C40=Цены!$H$33,Цены!$L$33,IF(C40=Цены!$H$34,Цены!$L$34,IF(C40=Цены!$H$35,Цены!$L$35,IF(C40=Цены!$H$36,Цены!$L$36,IF(C40=Цены!$H$37,Цены!$L$37,IF(C40=Цены!$H$38,Цены!$L$38,IF(C40=Цены!$H$39,Цены!$L$39,IF(C40=Цены!$H$40,Цены!$L$40,IF(C40=Цены!$H$41,Цены!$L$41,IF(C40=Цены!$H$42,Цены!$L$42,IF(C40=Цены!$H$43,Цены!$L$43,IF(C40=Цены!$H$44,Цены!$L$44,IF(C40=Цены!$H$45,Цены!$L$45,IF(C40=Цены!$H$46,Цены!$L$46,IF(C40=Цены!$H$47,Цены!$L$47,IF(C40=Цены!$H$48,Цены!$L$48,IF(C40=Цены!$H$49,Цены!$L$49,IF(C40=Цены!$H$50,Цены!$L$50,IF(C40=Цены!$H$51,Цены!$L$51,IF(C40=Цены!$H$52,Цены!$L$52,IF(C40=Цены!$H$53,Цены!$L$53,IF(C40=Цены!$H$54,Цены!$L$54,IF(C40=Цены!$H$55,Цены!$L$55))))))))))))))))))))))))))))))))))))))))))))))))))))))</f>
        <v>0</v>
      </c>
      <c r="F40" s="149"/>
      <c r="G40" s="387"/>
    </row>
    <row r="41" spans="2:7" x14ac:dyDescent="0.25">
      <c r="B41" s="336"/>
      <c r="C41" s="101"/>
      <c r="D41" s="150"/>
      <c r="E41" s="103" t="b">
        <f>IF(C41=Цены!$H$3,Цены!$L$3,IF(C41=Цены!$H$4,Цены!$L$4,IF(C41=Цены!$H$5,Цены!$L$5,IF(C41=Цены!$H$6,Цены!$L$6,IF(C41=Цены!$H$7,Цены!$L$7,IF(C41=Цены!$H$8,Цены!$L$8,IF(C41=Цены!$H$9,Цены!$L$9,IF(C41=Цены!$H$10,Цены!$L$10,IF(C41=Цены!$H$11,Цены!$L$11,IF(C41=Цены!$H$12,Цены!$L$12,IF(C41=Цены!$H$13,Цены!$L$13,IF(C41=Цены!$H$14,Цены!$L$14,IF(C41=Цены!$H$14,Цены!$L$14,IF(C41=Цены!$H$15,Цены!$L$15,IF(C41=Цены!$H$16,Цены!$L$16,IF(C41=Цены!$H$17,Цены!$L$17,IF(C41=Цены!$H$18,Цены!$L$18,IF(C41=Цены!$H$19,Цены!$L$19,IF(C41=Цены!$H$20,Цены!$L$20,IF(C41=Цены!$H$21,Цены!$L$21,IF(C41=Цены!$H$22,Цены!$L$22,IF(C41=Цены!$H$23,Цены!$L$23,IF(C41=Цены!$H$24,Цены!$L$24,IF(C41=Цены!$H$25,Цены!$L$25,IF(C41=Цены!$H$26,Цены!$L$26,IF(C41=Цены!$H$27,Цены!$L$27,IF(C41=Цены!$H$28,Цены!$L$28,IF(C41=Цены!$H$29,Цены!$L$29,IF(C41=Цены!$H$30,Цены!$L$30,IF(C41=Цены!$H$31,Цены!$L$31,IF(C41=Цены!$H$32,Цены!$L$32,IF(C41=Цены!$H$33,Цены!$L$33,IF(C41=Цены!$H$34,Цены!$L$34,IF(C41=Цены!$H$35,Цены!$L$35,IF(C41=Цены!$H$36,Цены!$L$36,IF(C41=Цены!$H$37,Цены!$L$37,IF(C41=Цены!$H$38,Цены!$L$38,IF(C41=Цены!$H$39,Цены!$L$39,IF(C41=Цены!$H$40,Цены!$L$40,IF(C41=Цены!$H$41,Цены!$L$41,IF(C41=Цены!$H$42,Цены!$L$42,IF(C41=Цены!$H$43,Цены!$L$43,IF(C41=Цены!$H$44,Цены!$L$44,IF(C41=Цены!$H$45,Цены!$L$45,IF(C41=Цены!$H$46,Цены!$L$46,IF(C41=Цены!$H$47,Цены!$L$47,IF(C41=Цены!$H$48,Цены!$L$48,IF(C41=Цены!$H$49,Цены!$L$49,IF(C41=Цены!$H$50,Цены!$L$50,IF(C41=Цены!$H$51,Цены!$L$51,IF(C41=Цены!$H$52,Цены!$L$52,IF(C41=Цены!$H$53,Цены!$L$53,IF(C41=Цены!$H$54,Цены!$L$54,IF(C41=Цены!$H$55,Цены!$L$55))))))))))))))))))))))))))))))))))))))))))))))))))))))</f>
        <v>0</v>
      </c>
      <c r="F41" s="149"/>
      <c r="G41" s="387"/>
    </row>
    <row r="42" spans="2:7" x14ac:dyDescent="0.25">
      <c r="B42" s="265" t="s">
        <v>113</v>
      </c>
      <c r="C42" s="134" t="s">
        <v>62</v>
      </c>
      <c r="D42" s="144">
        <v>2</v>
      </c>
      <c r="E42" s="33" t="b">
        <f>IF(C42=Цены!$H$3,Цены!$L$3,IF(C42=Цены!$H$4,Цены!$L$4,IF(C42=Цены!$H$5,Цены!$L$5,IF(C42=Цены!$H$6,Цены!$L$6,IF(C42=Цены!$H$7,Цены!$L$7,IF(C42=Цены!$H$8,Цены!$L$8,IF(C42=Цены!$H$9,Цены!$L$9,IF(C42=Цены!$H$10,Цены!$L$10,IF(C42=Цены!$H$11,Цены!$L$11,IF(C42=Цены!$H$12,Цены!$L$12,IF(C42=Цены!$H$13,Цены!$L$13,IF(C42=Цены!$H$14,Цены!$L$14,IF(C42=Цены!$H$14,Цены!$L$14,IF(C42=Цены!$H$15,Цены!$L$15,IF(C42=Цены!$H$16,Цены!$L$16,IF(C42=Цены!$H$17,Цены!$L$17,IF(C42=Цены!$H$18,Цены!$L$18,IF(C42=Цены!$H$19,Цены!$L$19,IF(C42=Цены!$H$20,Цены!$L$20,IF(C42=Цены!$H$21,Цены!$L$21,IF(C42=Цены!$H$22,Цены!$L$22,IF(C42=Цены!$H$23,Цены!$L$23,IF(C42=Цены!$H$24,Цены!$L$24,IF(C42=Цены!$H$25,Цены!$L$25,IF(C42=Цены!$H$26,Цены!$L$26,IF(C42=Цены!$H$27,Цены!$L$27,IF(C42=Цены!$H$28,Цены!$L$28,IF(C42=Цены!$H$29,Цены!$L$29,IF(C42=Цены!$H$30,Цены!$L$30,IF(C42=Цены!$H$31,Цены!$L$31,IF(C42=Цены!$H$32,Цены!$L$32,IF(C42=Цены!$H$33,Цены!$L$33,IF(C42=Цены!$H$34,Цены!$L$34,IF(C42=Цены!$H$35,Цены!$L$35,IF(C42=Цены!$H$36,Цены!$L$36,IF(C42=Цены!$H$37,Цены!$L$37,IF(C42=Цены!$H$38,Цены!$L$38,IF(C42=Цены!$H$39,Цены!$L$39,IF(C42=Цены!$H$40,Цены!$L$40,IF(C42=Цены!$H$41,Цены!$L$41,IF(C42=Цены!$H$42,Цены!$L$42,IF(C42=Цены!$H$43,Цены!$L$43,IF(C42=Цены!$H$44,Цены!$L$44,IF(C42=Цены!$H$45,Цены!$L$45,IF(C42=Цены!$H$46,Цены!$L$46,IF(C42=Цены!$H$47,Цены!$L$47,IF(C42=Цены!$H$48,Цены!$L$48,IF(C42=Цены!$H$49,Цены!$L$49,IF(C42=Цены!$H$50,Цены!$L$50,IF(C42=Цены!$H$51,Цены!$L$51,IF(C42=Цены!$H$52,Цены!$L$52,IF(C42=Цены!$H$53,Цены!$L$53,IF(C42=Цены!$H$54,Цены!$L$54,IF(C42=Цены!$H$55,Цены!$L$55))))))))))))))))))))))))))))))))))))))))))))))))))))))</f>
        <v>0</v>
      </c>
      <c r="F42" s="142">
        <f>D42*E42+D43*E43+D44*E44+D45*E45</f>
        <v>1.2</v>
      </c>
      <c r="G42" s="387" t="s">
        <v>157</v>
      </c>
    </row>
    <row r="43" spans="2:7" x14ac:dyDescent="0.25">
      <c r="B43" s="265"/>
      <c r="C43" s="117" t="s">
        <v>122</v>
      </c>
      <c r="D43" s="144">
        <v>2</v>
      </c>
      <c r="E43" s="33">
        <f>IF(C43=Цены!$H$3,Цены!$L$3,IF(C43=Цены!$H$4,Цены!$L$4,IF(C43=Цены!$H$5,Цены!$L$5,IF(C43=Цены!$H$6,Цены!$L$6,IF(C43=Цены!$H$7,Цены!$L$7,IF(C43=Цены!$H$8,Цены!$L$8,IF(C43=Цены!$H$9,Цены!$L$9,IF(C43=Цены!$H$10,Цены!$L$10,IF(C43=Цены!$H$11,Цены!$L$11,IF(C43=Цены!$H$12,Цены!$L$12,IF(C43=Цены!$H$13,Цены!$L$13,IF(C43=Цены!$H$14,Цены!$L$14,IF(C43=Цены!$H$14,Цены!$L$14,IF(C43=Цены!$H$15,Цены!$L$15,IF(C43=Цены!$H$16,Цены!$L$16,IF(C43=Цены!$H$17,Цены!$L$17,IF(C43=Цены!$H$18,Цены!$L$18,IF(C43=Цены!$H$19,Цены!$L$19,IF(C43=Цены!$H$20,Цены!$L$20,IF(C43=Цены!$H$21,Цены!$L$21,IF(C43=Цены!$H$22,Цены!$L$22,IF(C43=Цены!$H$23,Цены!$L$23,IF(C43=Цены!$H$24,Цены!$L$24,IF(C43=Цены!$H$25,Цены!$L$25,IF(C43=Цены!$H$26,Цены!$L$26,IF(C43=Цены!$H$27,Цены!$L$27,IF(C43=Цены!$H$28,Цены!$L$28,IF(C43=Цены!$H$29,Цены!$L$29,IF(C43=Цены!$H$30,Цены!$L$30,IF(C43=Цены!$H$31,Цены!$L$31,IF(C43=Цены!$H$32,Цены!$L$32,IF(C43=Цены!$H$33,Цены!$L$33,IF(C43=Цены!$H$34,Цены!$L$34,IF(C43=Цены!$H$35,Цены!$L$35,IF(C43=Цены!$H$36,Цены!$L$36,IF(C43=Цены!$H$37,Цены!$L$37,IF(C43=Цены!$H$38,Цены!$L$38,IF(C43=Цены!$H$39,Цены!$L$39,IF(C43=Цены!$H$40,Цены!$L$40,IF(C43=Цены!$H$41,Цены!$L$41,IF(C43=Цены!$H$42,Цены!$L$42,IF(C43=Цены!$H$43,Цены!$L$43,IF(C43=Цены!$H$44,Цены!$L$44,IF(C43=Цены!$H$45,Цены!$L$45,IF(C43=Цены!$H$46,Цены!$L$46,IF(C43=Цены!$H$47,Цены!$L$47,IF(C43=Цены!$H$48,Цены!$L$48,IF(C43=Цены!$H$49,Цены!$L$49,IF(C43=Цены!$H$50,Цены!$L$50,IF(C43=Цены!$H$51,Цены!$L$51,IF(C43=Цены!$H$52,Цены!$L$52,IF(C43=Цены!$H$53,Цены!$L$53,IF(C43=Цены!$H$54,Цены!$L$54,IF(C43=Цены!$H$55,Цены!$L$55))))))))))))))))))))))))))))))))))))))))))))))))))))))</f>
        <v>0.6</v>
      </c>
      <c r="F43" s="142"/>
      <c r="G43" s="387"/>
    </row>
    <row r="44" spans="2:7" x14ac:dyDescent="0.25">
      <c r="B44" s="265"/>
      <c r="C44" s="35"/>
      <c r="D44" s="144"/>
      <c r="E44" s="33" t="b">
        <f>IF(C44=Цены!$H$3,Цены!$L$3,IF(C44=Цены!$H$4,Цены!$L$4,IF(C44=Цены!$H$5,Цены!$L$5,IF(C44=Цены!$H$6,Цены!$L$6,IF(C44=Цены!$H$7,Цены!$L$7,IF(C44=Цены!$H$8,Цены!$L$8,IF(C44=Цены!$H$9,Цены!$L$9,IF(C44=Цены!$H$10,Цены!$L$10,IF(C44=Цены!$H$11,Цены!$L$11,IF(C44=Цены!$H$12,Цены!$L$12,IF(C44=Цены!$H$13,Цены!$L$13,IF(C44=Цены!$H$14,Цены!$L$14,IF(C44=Цены!$H$14,Цены!$L$14,IF(C44=Цены!$H$15,Цены!$L$15,IF(C44=Цены!$H$16,Цены!$L$16,IF(C44=Цены!$H$17,Цены!$L$17,IF(C44=Цены!$H$18,Цены!$L$18,IF(C44=Цены!$H$19,Цены!$L$19,IF(C44=Цены!$H$20,Цены!$L$20,IF(C44=Цены!$H$21,Цены!$L$21,IF(C44=Цены!$H$22,Цены!$L$22,IF(C44=Цены!$H$23,Цены!$L$23,IF(C44=Цены!$H$24,Цены!$L$24,IF(C44=Цены!$H$25,Цены!$L$25,IF(C44=Цены!$H$26,Цены!$L$26,IF(C44=Цены!$H$27,Цены!$L$27,IF(C44=Цены!$H$28,Цены!$L$28,IF(C44=Цены!$H$29,Цены!$L$29,IF(C44=Цены!$H$30,Цены!$L$30,IF(C44=Цены!$H$31,Цены!$L$31,IF(C44=Цены!$H$32,Цены!$L$32,IF(C44=Цены!$H$33,Цены!$L$33,IF(C44=Цены!$H$34,Цены!$L$34,IF(C44=Цены!$H$35,Цены!$L$35,IF(C44=Цены!$H$36,Цены!$L$36,IF(C44=Цены!$H$37,Цены!$L$37,IF(C44=Цены!$H$38,Цены!$L$38,IF(C44=Цены!$H$39,Цены!$L$39,IF(C44=Цены!$H$40,Цены!$L$40,IF(C44=Цены!$H$41,Цены!$L$41,IF(C44=Цены!$H$42,Цены!$L$42,IF(C44=Цены!$H$43,Цены!$L$43,IF(C44=Цены!$H$44,Цены!$L$44,IF(C44=Цены!$H$45,Цены!$L$45,IF(C44=Цены!$H$46,Цены!$L$46,IF(C44=Цены!$H$47,Цены!$L$47,IF(C44=Цены!$H$48,Цены!$L$48,IF(C44=Цены!$H$49,Цены!$L$49,IF(C44=Цены!$H$50,Цены!$L$50,IF(C44=Цены!$H$51,Цены!$L$51,IF(C44=Цены!$H$52,Цены!$L$52,IF(C44=Цены!$H$53,Цены!$L$53,IF(C44=Цены!$H$54,Цены!$L$54,IF(C44=Цены!$H$55,Цены!$L$55))))))))))))))))))))))))))))))))))))))))))))))))))))))</f>
        <v>0</v>
      </c>
      <c r="F44" s="142"/>
      <c r="G44" s="387"/>
    </row>
    <row r="45" spans="2:7" x14ac:dyDescent="0.25">
      <c r="B45" s="265"/>
      <c r="C45" s="35"/>
      <c r="D45" s="144"/>
      <c r="E45" s="33" t="b">
        <f>IF(C45=Цены!$H$3,Цены!$L$3,IF(C45=Цены!$H$4,Цены!$L$4,IF(C45=Цены!$H$5,Цены!$L$5,IF(C45=Цены!$H$6,Цены!$L$6,IF(C45=Цены!$H$7,Цены!$L$7,IF(C45=Цены!$H$8,Цены!$L$8,IF(C45=Цены!$H$9,Цены!$L$9,IF(C45=Цены!$H$10,Цены!$L$10,IF(C45=Цены!$H$11,Цены!$L$11,IF(C45=Цены!$H$12,Цены!$L$12,IF(C45=Цены!$H$13,Цены!$L$13,IF(C45=Цены!$H$14,Цены!$L$14,IF(C45=Цены!$H$14,Цены!$L$14,IF(C45=Цены!$H$15,Цены!$L$15,IF(C45=Цены!$H$16,Цены!$L$16,IF(C45=Цены!$H$17,Цены!$L$17,IF(C45=Цены!$H$18,Цены!$L$18,IF(C45=Цены!$H$19,Цены!$L$19,IF(C45=Цены!$H$20,Цены!$L$20,IF(C45=Цены!$H$21,Цены!$L$21,IF(C45=Цены!$H$22,Цены!$L$22,IF(C45=Цены!$H$23,Цены!$L$23,IF(C45=Цены!$H$24,Цены!$L$24,IF(C45=Цены!$H$25,Цены!$L$25,IF(C45=Цены!$H$26,Цены!$L$26,IF(C45=Цены!$H$27,Цены!$L$27,IF(C45=Цены!$H$28,Цены!$L$28,IF(C45=Цены!$H$29,Цены!$L$29,IF(C45=Цены!$H$30,Цены!$L$30,IF(C45=Цены!$H$31,Цены!$L$31,IF(C45=Цены!$H$32,Цены!$L$32,IF(C45=Цены!$H$33,Цены!$L$33,IF(C45=Цены!$H$34,Цены!$L$34,IF(C45=Цены!$H$35,Цены!$L$35,IF(C45=Цены!$H$36,Цены!$L$36,IF(C45=Цены!$H$37,Цены!$L$37,IF(C45=Цены!$H$38,Цены!$L$38,IF(C45=Цены!$H$39,Цены!$L$39,IF(C45=Цены!$H$40,Цены!$L$40,IF(C45=Цены!$H$41,Цены!$L$41,IF(C45=Цены!$H$42,Цены!$L$42,IF(C45=Цены!$H$43,Цены!$L$43,IF(C45=Цены!$H$44,Цены!$L$44,IF(C45=Цены!$H$45,Цены!$L$45,IF(C45=Цены!$H$46,Цены!$L$46,IF(C45=Цены!$H$47,Цены!$L$47,IF(C45=Цены!$H$48,Цены!$L$48,IF(C45=Цены!$H$49,Цены!$L$49,IF(C45=Цены!$H$50,Цены!$L$50,IF(C45=Цены!$H$51,Цены!$L$51,IF(C45=Цены!$H$52,Цены!$L$52,IF(C45=Цены!$H$53,Цены!$L$53,IF(C45=Цены!$H$54,Цены!$L$54,IF(C45=Цены!$H$55,Цены!$L$55))))))))))))))))))))))))))))))))))))))))))))))))))))))</f>
        <v>0</v>
      </c>
      <c r="F45" s="142"/>
      <c r="G45" s="387"/>
    </row>
    <row r="46" spans="2:7" x14ac:dyDescent="0.25">
      <c r="B46" s="336" t="s">
        <v>120</v>
      </c>
      <c r="C46" s="133" t="s">
        <v>67</v>
      </c>
      <c r="D46" s="148">
        <v>2</v>
      </c>
      <c r="E46" s="109">
        <f>IF(C46=Цены!$H$3,Цены!$L$3,IF(C46=Цены!$H$4,Цены!$L$4,IF(C46=Цены!$H$5,Цены!$L$5,IF(C46=Цены!$H$6,Цены!$L$6,IF(C46=Цены!$H$7,Цены!$L$7,IF(C46=Цены!$H$8,Цены!$L$8,IF(C46=Цены!$H$9,Цены!$L$9,IF(C46=Цены!$H$10,Цены!$L$10,IF(C46=Цены!$H$11,Цены!$L$11,IF(C46=Цены!$H$12,Цены!$L$12,IF(C46=Цены!$H$13,Цены!$L$13,IF(C46=Цены!$H$14,Цены!$L$14,IF(C46=Цены!$H$14,Цены!$L$14,IF(C46=Цены!$H$15,Цены!$L$15,IF(C46=Цены!$H$16,Цены!$L$16,IF(C46=Цены!$H$17,Цены!$L$17,IF(C46=Цены!$H$18,Цены!$L$18,IF(C46=Цены!$H$19,Цены!$L$19,IF(C46=Цены!$H$20,Цены!$L$20,IF(C46=Цены!$H$21,Цены!$L$21,IF(C46=Цены!$H$22,Цены!$L$22,IF(C46=Цены!$H$23,Цены!$L$23,IF(C46=Цены!$H$24,Цены!$L$24,IF(C46=Цены!$H$25,Цены!$L$25,IF(C46=Цены!$H$26,Цены!$L$26,IF(C46=Цены!$H$27,Цены!$L$27,IF(C46=Цены!$H$28,Цены!$L$28,IF(C46=Цены!$H$29,Цены!$L$29,IF(C46=Цены!$H$30,Цены!$L$30,IF(C46=Цены!$H$31,Цены!$L$31,IF(C46=Цены!$H$32,Цены!$L$32,IF(C46=Цены!$H$33,Цены!$L$33,IF(C46=Цены!$H$34,Цены!$L$34,IF(C46=Цены!$H$35,Цены!$L$35,IF(C46=Цены!$H$36,Цены!$L$36,IF(C46=Цены!$H$37,Цены!$L$37,IF(C46=Цены!$H$38,Цены!$L$38,IF(C46=Цены!$H$39,Цены!$L$39,IF(C46=Цены!$H$40,Цены!$L$40,IF(C46=Цены!$H$41,Цены!$L$41,IF(C46=Цены!$H$42,Цены!$L$42,IF(C46=Цены!$H$43,Цены!$L$43,IF(C46=Цены!$H$44,Цены!$L$44,IF(C46=Цены!$H$45,Цены!$L$45,IF(C46=Цены!$H$46,Цены!$L$46,IF(C46=Цены!$H$47,Цены!$L$47,IF(C46=Цены!$H$48,Цены!$L$48,IF(C46=Цены!$H$49,Цены!$L$49,IF(C46=Цены!$H$50,Цены!$L$50,IF(C46=Цены!$H$51,Цены!$L$51,IF(C46=Цены!$H$52,Цены!$L$52,IF(C46=Цены!$H$53,Цены!$L$53,IF(C46=Цены!$H$54,Цены!$L$54,IF(C46=Цены!$H$55,Цены!$L$55))))))))))))))))))))))))))))))))))))))))))))))))))))))</f>
        <v>0.9</v>
      </c>
      <c r="F46" s="147">
        <f>D46*E46+D47*E47+D48*E48+D49*E49</f>
        <v>3.3600000000000003</v>
      </c>
      <c r="G46" s="387"/>
    </row>
    <row r="47" spans="2:7" x14ac:dyDescent="0.25">
      <c r="B47" s="336"/>
      <c r="C47" s="118" t="s">
        <v>96</v>
      </c>
      <c r="D47" s="148">
        <v>2</v>
      </c>
      <c r="E47" s="109">
        <f>IF(C47=Цены!$H$3,Цены!$L$3,IF(C47=Цены!$H$4,Цены!$L$4,IF(C47=Цены!$H$5,Цены!$L$5,IF(C47=Цены!$H$6,Цены!$L$6,IF(C47=Цены!$H$7,Цены!$L$7,IF(C47=Цены!$H$8,Цены!$L$8,IF(C47=Цены!$H$9,Цены!$L$9,IF(C47=Цены!$H$10,Цены!$L$10,IF(C47=Цены!$H$11,Цены!$L$11,IF(C47=Цены!$H$12,Цены!$L$12,IF(C47=Цены!$H$13,Цены!$L$13,IF(C47=Цены!$H$14,Цены!$L$14,IF(C47=Цены!$H$14,Цены!$L$14,IF(C47=Цены!$H$15,Цены!$L$15,IF(C47=Цены!$H$16,Цены!$L$16,IF(C47=Цены!$H$17,Цены!$L$17,IF(C47=Цены!$H$18,Цены!$L$18,IF(C47=Цены!$H$19,Цены!$L$19,IF(C47=Цены!$H$20,Цены!$L$20,IF(C47=Цены!$H$21,Цены!$L$21,IF(C47=Цены!$H$22,Цены!$L$22,IF(C47=Цены!$H$23,Цены!$L$23,IF(C47=Цены!$H$24,Цены!$L$24,IF(C47=Цены!$H$25,Цены!$L$25,IF(C47=Цены!$H$26,Цены!$L$26,IF(C47=Цены!$H$27,Цены!$L$27,IF(C47=Цены!$H$28,Цены!$L$28,IF(C47=Цены!$H$29,Цены!$L$29,IF(C47=Цены!$H$30,Цены!$L$30,IF(C47=Цены!$H$31,Цены!$L$31,IF(C47=Цены!$H$32,Цены!$L$32,IF(C47=Цены!$H$33,Цены!$L$33,IF(C47=Цены!$H$34,Цены!$L$34,IF(C47=Цены!$H$35,Цены!$L$35,IF(C47=Цены!$H$36,Цены!$L$36,IF(C47=Цены!$H$37,Цены!$L$37,IF(C47=Цены!$H$38,Цены!$L$38,IF(C47=Цены!$H$39,Цены!$L$39,IF(C47=Цены!$H$40,Цены!$L$40,IF(C47=Цены!$H$41,Цены!$L$41,IF(C47=Цены!$H$42,Цены!$L$42,IF(C47=Цены!$H$43,Цены!$L$43,IF(C47=Цены!$H$44,Цены!$L$44,IF(C47=Цены!$H$45,Цены!$L$45,IF(C47=Цены!$H$46,Цены!$L$46,IF(C47=Цены!$H$47,Цены!$L$47,IF(C47=Цены!$H$48,Цены!$L$48,IF(C47=Цены!$H$49,Цены!$L$49,IF(C47=Цены!$H$50,Цены!$L$50,IF(C47=Цены!$H$51,Цены!$L$51,IF(C47=Цены!$H$52,Цены!$L$52,IF(C47=Цены!$H$53,Цены!$L$53,IF(C47=Цены!$H$54,Цены!$L$54,IF(C47=Цены!$H$55,Цены!$L$55))))))))))))))))))))))))))))))))))))))))))))))))))))))</f>
        <v>0.78</v>
      </c>
      <c r="F47" s="147"/>
      <c r="G47" s="387"/>
    </row>
    <row r="48" spans="2:7" x14ac:dyDescent="0.25">
      <c r="B48" s="336"/>
      <c r="C48" s="111"/>
      <c r="D48" s="148"/>
      <c r="E48" s="109" t="b">
        <f>IF(C48=Цены!$H$3,Цены!$L$3,IF(C48=Цены!$H$4,Цены!$L$4,IF(C48=Цены!$H$5,Цены!$L$5,IF(C48=Цены!$H$6,Цены!$L$6,IF(C48=Цены!$H$7,Цены!$L$7,IF(C48=Цены!$H$8,Цены!$L$8,IF(C48=Цены!$H$9,Цены!$L$9,IF(C48=Цены!$H$10,Цены!$L$10,IF(C48=Цены!$H$11,Цены!$L$11,IF(C48=Цены!$H$12,Цены!$L$12,IF(C48=Цены!$H$13,Цены!$L$13,IF(C48=Цены!$H$14,Цены!$L$14,IF(C48=Цены!$H$14,Цены!$L$14,IF(C48=Цены!$H$15,Цены!$L$15,IF(C48=Цены!$H$16,Цены!$L$16,IF(C48=Цены!$H$17,Цены!$L$17,IF(C48=Цены!$H$18,Цены!$L$18,IF(C48=Цены!$H$19,Цены!$L$19,IF(C48=Цены!$H$20,Цены!$L$20,IF(C48=Цены!$H$21,Цены!$L$21,IF(C48=Цены!$H$22,Цены!$L$22,IF(C48=Цены!$H$23,Цены!$L$23,IF(C48=Цены!$H$24,Цены!$L$24,IF(C48=Цены!$H$25,Цены!$L$25,IF(C48=Цены!$H$26,Цены!$L$26,IF(C48=Цены!$H$27,Цены!$L$27,IF(C48=Цены!$H$28,Цены!$L$28,IF(C48=Цены!$H$29,Цены!$L$29,IF(C48=Цены!$H$30,Цены!$L$30,IF(C48=Цены!$H$31,Цены!$L$31,IF(C48=Цены!$H$32,Цены!$L$32,IF(C48=Цены!$H$33,Цены!$L$33,IF(C48=Цены!$H$34,Цены!$L$34,IF(C48=Цены!$H$35,Цены!$L$35,IF(C48=Цены!$H$36,Цены!$L$36,IF(C48=Цены!$H$37,Цены!$L$37,IF(C48=Цены!$H$38,Цены!$L$38,IF(C48=Цены!$H$39,Цены!$L$39,IF(C48=Цены!$H$40,Цены!$L$40,IF(C48=Цены!$H$41,Цены!$L$41,IF(C48=Цены!$H$42,Цены!$L$42,IF(C48=Цены!$H$43,Цены!$L$43,IF(C48=Цены!$H$44,Цены!$L$44,IF(C48=Цены!$H$45,Цены!$L$45,IF(C48=Цены!$H$46,Цены!$L$46,IF(C48=Цены!$H$47,Цены!$L$47,IF(C48=Цены!$H$48,Цены!$L$48,IF(C48=Цены!$H$49,Цены!$L$49,IF(C48=Цены!$H$50,Цены!$L$50,IF(C48=Цены!$H$51,Цены!$L$51,IF(C48=Цены!$H$52,Цены!$L$52,IF(C48=Цены!$H$53,Цены!$L$53,IF(C48=Цены!$H$54,Цены!$L$54,IF(C48=Цены!$H$55,Цены!$L$55))))))))))))))))))))))))))))))))))))))))))))))))))))))</f>
        <v>0</v>
      </c>
      <c r="F48" s="147"/>
      <c r="G48" s="387"/>
    </row>
    <row r="49" spans="2:7" x14ac:dyDescent="0.25">
      <c r="B49" s="336"/>
      <c r="C49" s="107"/>
      <c r="D49" s="148"/>
      <c r="E49" s="109" t="b">
        <f>IF(C49=Цены!$H$3,Цены!$L$3,IF(C49=Цены!$H$4,Цены!$L$4,IF(C49=Цены!$H$5,Цены!$L$5,IF(C49=Цены!$H$6,Цены!$L$6,IF(C49=Цены!$H$7,Цены!$L$7,IF(C49=Цены!$H$8,Цены!$L$8,IF(C49=Цены!$H$9,Цены!$L$9,IF(C49=Цены!$H$10,Цены!$L$10,IF(C49=Цены!$H$11,Цены!$L$11,IF(C49=Цены!$H$12,Цены!$L$12,IF(C49=Цены!$H$13,Цены!$L$13,IF(C49=Цены!$H$14,Цены!$L$14,IF(C49=Цены!$H$14,Цены!$L$14,IF(C49=Цены!$H$15,Цены!$L$15,IF(C49=Цены!$H$16,Цены!$L$16,IF(C49=Цены!$H$17,Цены!$L$17,IF(C49=Цены!$H$18,Цены!$L$18,IF(C49=Цены!$H$19,Цены!$L$19,IF(C49=Цены!$H$20,Цены!$L$20,IF(C49=Цены!$H$21,Цены!$L$21,IF(C49=Цены!$H$22,Цены!$L$22,IF(C49=Цены!$H$23,Цены!$L$23,IF(C49=Цены!$H$24,Цены!$L$24,IF(C49=Цены!$H$25,Цены!$L$25,IF(C49=Цены!$H$26,Цены!$L$26,IF(C49=Цены!$H$27,Цены!$L$27,IF(C49=Цены!$H$28,Цены!$L$28,IF(C49=Цены!$H$29,Цены!$L$29,IF(C49=Цены!$H$30,Цены!$L$30,IF(C49=Цены!$H$31,Цены!$L$31,IF(C49=Цены!$H$32,Цены!$L$32,IF(C49=Цены!$H$33,Цены!$L$33,IF(C49=Цены!$H$34,Цены!$L$34,IF(C49=Цены!$H$35,Цены!$L$35,IF(C49=Цены!$H$36,Цены!$L$36,IF(C49=Цены!$H$37,Цены!$L$37,IF(C49=Цены!$H$38,Цены!$L$38,IF(C49=Цены!$H$39,Цены!$L$39,IF(C49=Цены!$H$40,Цены!$L$40,IF(C49=Цены!$H$41,Цены!$L$41,IF(C49=Цены!$H$42,Цены!$L$42,IF(C49=Цены!$H$43,Цены!$L$43,IF(C49=Цены!$H$44,Цены!$L$44,IF(C49=Цены!$H$45,Цены!$L$45,IF(C49=Цены!$H$46,Цены!$L$46,IF(C49=Цены!$H$47,Цены!$L$47,IF(C49=Цены!$H$48,Цены!$L$48,IF(C49=Цены!$H$49,Цены!$L$49,IF(C49=Цены!$H$50,Цены!$L$50,IF(C49=Цены!$H$51,Цены!$L$51,IF(C49=Цены!$H$52,Цены!$L$52,IF(C49=Цены!$H$53,Цены!$L$53,IF(C49=Цены!$H$54,Цены!$L$54,IF(C49=Цены!$H$55,Цены!$L$55))))))))))))))))))))))))))))))))))))))))))))))))))))))</f>
        <v>0</v>
      </c>
      <c r="F49" s="147"/>
      <c r="G49" s="387"/>
    </row>
    <row r="50" spans="2:7" x14ac:dyDescent="0.25">
      <c r="B50" s="265" t="s">
        <v>113</v>
      </c>
      <c r="C50" s="117" t="s">
        <v>62</v>
      </c>
      <c r="D50" s="144">
        <v>2</v>
      </c>
      <c r="E50" s="33" t="b">
        <f>IF(C50=Цены!$H$3,Цены!$L$3,IF(C50=Цены!$H$4,Цены!$L$4,IF(C50=Цены!$H$5,Цены!$L$5,IF(C50=Цены!$H$6,Цены!$L$6,IF(C50=Цены!$H$7,Цены!$L$7,IF(C50=Цены!$H$8,Цены!$L$8,IF(C50=Цены!$H$9,Цены!$L$9,IF(C50=Цены!$H$10,Цены!$L$10,IF(C50=Цены!$H$11,Цены!$L$11,IF(C50=Цены!$H$12,Цены!$L$12,IF(C50=Цены!$H$13,Цены!$L$13,IF(C50=Цены!$H$14,Цены!$L$14,IF(C50=Цены!$H$14,Цены!$L$14,IF(C50=Цены!$H$15,Цены!$L$15,IF(C50=Цены!$H$16,Цены!$L$16,IF(C50=Цены!$H$17,Цены!$L$17,IF(C50=Цены!$H$18,Цены!$L$18,IF(C50=Цены!$H$19,Цены!$L$19,IF(C50=Цены!$H$20,Цены!$L$20,IF(C50=Цены!$H$21,Цены!$L$21,IF(C50=Цены!$H$22,Цены!$L$22,IF(C50=Цены!$H$23,Цены!$L$23,IF(C50=Цены!$H$24,Цены!$L$24,IF(C50=Цены!$H$25,Цены!$L$25,IF(C50=Цены!$H$26,Цены!$L$26,IF(C50=Цены!$H$27,Цены!$L$27,IF(C50=Цены!$H$28,Цены!$L$28,IF(C50=Цены!$H$29,Цены!$L$29,IF(C50=Цены!$H$30,Цены!$L$30,IF(C50=Цены!$H$31,Цены!$L$31,IF(C50=Цены!$H$32,Цены!$L$32,IF(C50=Цены!$H$33,Цены!$L$33,IF(C50=Цены!$H$34,Цены!$L$34,IF(C50=Цены!$H$35,Цены!$L$35,IF(C50=Цены!$H$36,Цены!$L$36,IF(C50=Цены!$H$37,Цены!$L$37,IF(C50=Цены!$H$38,Цены!$L$38,IF(C50=Цены!$H$39,Цены!$L$39,IF(C50=Цены!$H$40,Цены!$L$40,IF(C50=Цены!$H$41,Цены!$L$41,IF(C50=Цены!$H$42,Цены!$L$42,IF(C50=Цены!$H$43,Цены!$L$43,IF(C50=Цены!$H$44,Цены!$L$44,IF(C50=Цены!$H$45,Цены!$L$45,IF(C50=Цены!$H$46,Цены!$L$46,IF(C50=Цены!$H$47,Цены!$L$47,IF(C50=Цены!$H$48,Цены!$L$48,IF(C50=Цены!$H$49,Цены!$L$49,IF(C50=Цены!$H$50,Цены!$L$50,IF(C50=Цены!$H$51,Цены!$L$51,IF(C50=Цены!$H$52,Цены!$L$52,IF(C50=Цены!$H$53,Цены!$L$53,IF(C50=Цены!$H$54,Цены!$L$54,IF(C50=Цены!$H$55,Цены!$L$55))))))))))))))))))))))))))))))))))))))))))))))))))))))</f>
        <v>0</v>
      </c>
      <c r="F50" s="142">
        <f>D50*E50+D51*E51+D52*E52+D53*E53</f>
        <v>1.2263999999999999</v>
      </c>
      <c r="G50" s="387" t="s">
        <v>158</v>
      </c>
    </row>
    <row r="51" spans="2:7" x14ac:dyDescent="0.25">
      <c r="B51" s="265"/>
      <c r="C51" s="117" t="s">
        <v>122</v>
      </c>
      <c r="D51" s="144">
        <v>2</v>
      </c>
      <c r="E51" s="33">
        <f>IF(C51=Цены!$H$3,Цены!$L$3,IF(C51=Цены!$H$4,Цены!$L$4,IF(C51=Цены!$H$5,Цены!$L$5,IF(C51=Цены!$H$6,Цены!$L$6,IF(C51=Цены!$H$7,Цены!$L$7,IF(C51=Цены!$H$8,Цены!$L$8,IF(C51=Цены!$H$9,Цены!$L$9,IF(C51=Цены!$H$10,Цены!$L$10,IF(C51=Цены!$H$11,Цены!$L$11,IF(C51=Цены!$H$12,Цены!$L$12,IF(C51=Цены!$H$13,Цены!$L$13,IF(C51=Цены!$H$14,Цены!$L$14,IF(C51=Цены!$H$14,Цены!$L$14,IF(C51=Цены!$H$15,Цены!$L$15,IF(C51=Цены!$H$16,Цены!$L$16,IF(C51=Цены!$H$17,Цены!$L$17,IF(C51=Цены!$H$18,Цены!$L$18,IF(C51=Цены!$H$19,Цены!$L$19,IF(C51=Цены!$H$20,Цены!$L$20,IF(C51=Цены!$H$21,Цены!$L$21,IF(C51=Цены!$H$22,Цены!$L$22,IF(C51=Цены!$H$23,Цены!$L$23,IF(C51=Цены!$H$24,Цены!$L$24,IF(C51=Цены!$H$25,Цены!$L$25,IF(C51=Цены!$H$26,Цены!$L$26,IF(C51=Цены!$H$27,Цены!$L$27,IF(C51=Цены!$H$28,Цены!$L$28,IF(C51=Цены!$H$29,Цены!$L$29,IF(C51=Цены!$H$30,Цены!$L$30,IF(C51=Цены!$H$31,Цены!$L$31,IF(C51=Цены!$H$32,Цены!$L$32,IF(C51=Цены!$H$33,Цены!$L$33,IF(C51=Цены!$H$34,Цены!$L$34,IF(C51=Цены!$H$35,Цены!$L$35,IF(C51=Цены!$H$36,Цены!$L$36,IF(C51=Цены!$H$37,Цены!$L$37,IF(C51=Цены!$H$38,Цены!$L$38,IF(C51=Цены!$H$39,Цены!$L$39,IF(C51=Цены!$H$40,Цены!$L$40,IF(C51=Цены!$H$41,Цены!$L$41,IF(C51=Цены!$H$42,Цены!$L$42,IF(C51=Цены!$H$43,Цены!$L$43,IF(C51=Цены!$H$44,Цены!$L$44,IF(C51=Цены!$H$45,Цены!$L$45,IF(C51=Цены!$H$46,Цены!$L$46,IF(C51=Цены!$H$47,Цены!$L$47,IF(C51=Цены!$H$48,Цены!$L$48,IF(C51=Цены!$H$49,Цены!$L$49,IF(C51=Цены!$H$50,Цены!$L$50,IF(C51=Цены!$H$51,Цены!$L$51,IF(C51=Цены!$H$52,Цены!$L$52,IF(C51=Цены!$H$53,Цены!$L$53,IF(C51=Цены!$H$54,Цены!$L$54,IF(C51=Цены!$H$55,Цены!$L$55))))))))))))))))))))))))))))))))))))))))))))))))))))))</f>
        <v>0.6</v>
      </c>
      <c r="F51" s="142"/>
      <c r="G51" s="387"/>
    </row>
    <row r="52" spans="2:7" x14ac:dyDescent="0.25">
      <c r="B52" s="265"/>
      <c r="C52" s="117" t="s">
        <v>121</v>
      </c>
      <c r="D52" s="144">
        <v>2</v>
      </c>
      <c r="E52" s="33">
        <f>IF(C52=Цены!$H$3,Цены!$L$3,IF(C52=Цены!$H$4,Цены!$L$4,IF(C52=Цены!$H$5,Цены!$L$5,IF(C52=Цены!$H$6,Цены!$L$6,IF(C52=Цены!$H$7,Цены!$L$7,IF(C52=Цены!$H$8,Цены!$L$8,IF(C52=Цены!$H$9,Цены!$L$9,IF(C52=Цены!$H$10,Цены!$L$10,IF(C52=Цены!$H$11,Цены!$L$11,IF(C52=Цены!$H$12,Цены!$L$12,IF(C52=Цены!$H$13,Цены!$L$13,IF(C52=Цены!$H$14,Цены!$L$14,IF(C52=Цены!$H$14,Цены!$L$14,IF(C52=Цены!$H$15,Цены!$L$15,IF(C52=Цены!$H$16,Цены!$L$16,IF(C52=Цены!$H$17,Цены!$L$17,IF(C52=Цены!$H$18,Цены!$L$18,IF(C52=Цены!$H$19,Цены!$L$19,IF(C52=Цены!$H$20,Цены!$L$20,IF(C52=Цены!$H$21,Цены!$L$21,IF(C52=Цены!$H$22,Цены!$L$22,IF(C52=Цены!$H$23,Цены!$L$23,IF(C52=Цены!$H$24,Цены!$L$24,IF(C52=Цены!$H$25,Цены!$L$25,IF(C52=Цены!$H$26,Цены!$L$26,IF(C52=Цены!$H$27,Цены!$L$27,IF(C52=Цены!$H$28,Цены!$L$28,IF(C52=Цены!$H$29,Цены!$L$29,IF(C52=Цены!$H$30,Цены!$L$30,IF(C52=Цены!$H$31,Цены!$L$31,IF(C52=Цены!$H$32,Цены!$L$32,IF(C52=Цены!$H$33,Цены!$L$33,IF(C52=Цены!$H$34,Цены!$L$34,IF(C52=Цены!$H$35,Цены!$L$35,IF(C52=Цены!$H$36,Цены!$L$36,IF(C52=Цены!$H$37,Цены!$L$37,IF(C52=Цены!$H$38,Цены!$L$38,IF(C52=Цены!$H$39,Цены!$L$39,IF(C52=Цены!$H$40,Цены!$L$40,IF(C52=Цены!$H$41,Цены!$L$41,IF(C52=Цены!$H$42,Цены!$L$42,IF(C52=Цены!$H$43,Цены!$L$43,IF(C52=Цены!$H$44,Цены!$L$44,IF(C52=Цены!$H$45,Цены!$L$45,IF(C52=Цены!$H$46,Цены!$L$46,IF(C52=Цены!$H$47,Цены!$L$47,IF(C52=Цены!$H$48,Цены!$L$48,IF(C52=Цены!$H$49,Цены!$L$49,IF(C52=Цены!$H$50,Цены!$L$50,IF(C52=Цены!$H$51,Цены!$L$51,IF(C52=Цены!$H$52,Цены!$L$52,IF(C52=Цены!$H$53,Цены!$L$53,IF(C52=Цены!$H$54,Цены!$L$54,IF(C52=Цены!$H$55,Цены!$L$55))))))))))))))))))))))))))))))))))))))))))))))))))))))</f>
        <v>1.32E-2</v>
      </c>
      <c r="F52" s="142"/>
      <c r="G52" s="387"/>
    </row>
    <row r="53" spans="2:7" x14ac:dyDescent="0.25">
      <c r="B53" s="265"/>
      <c r="C53" s="117"/>
      <c r="D53" s="144"/>
      <c r="E53" s="33" t="b">
        <f>IF(C53=Цены!$H$3,Цены!$L$3,IF(C53=Цены!$H$4,Цены!$L$4,IF(C53=Цены!$H$5,Цены!$L$5,IF(C53=Цены!$H$6,Цены!$L$6,IF(C53=Цены!$H$7,Цены!$L$7,IF(C53=Цены!$H$8,Цены!$L$8,IF(C53=Цены!$H$9,Цены!$L$9,IF(C53=Цены!$H$10,Цены!$L$10,IF(C53=Цены!$H$11,Цены!$L$11,IF(C53=Цены!$H$12,Цены!$L$12,IF(C53=Цены!$H$13,Цены!$L$13,IF(C53=Цены!$H$14,Цены!$L$14,IF(C53=Цены!$H$14,Цены!$L$14,IF(C53=Цены!$H$15,Цены!$L$15,IF(C53=Цены!$H$16,Цены!$L$16,IF(C53=Цены!$H$17,Цены!$L$17,IF(C53=Цены!$H$18,Цены!$L$18,IF(C53=Цены!$H$19,Цены!$L$19,IF(C53=Цены!$H$20,Цены!$L$20,IF(C53=Цены!$H$21,Цены!$L$21,IF(C53=Цены!$H$22,Цены!$L$22,IF(C53=Цены!$H$23,Цены!$L$23,IF(C53=Цены!$H$24,Цены!$L$24,IF(C53=Цены!$H$25,Цены!$L$25,IF(C53=Цены!$H$26,Цены!$L$26,IF(C53=Цены!$H$27,Цены!$L$27,IF(C53=Цены!$H$28,Цены!$L$28,IF(C53=Цены!$H$29,Цены!$L$29,IF(C53=Цены!$H$30,Цены!$L$30,IF(C53=Цены!$H$31,Цены!$L$31,IF(C53=Цены!$H$32,Цены!$L$32,IF(C53=Цены!$H$33,Цены!$L$33,IF(C53=Цены!$H$34,Цены!$L$34,IF(C53=Цены!$H$35,Цены!$L$35,IF(C53=Цены!$H$36,Цены!$L$36,IF(C53=Цены!$H$37,Цены!$L$37,IF(C53=Цены!$H$38,Цены!$L$38,IF(C53=Цены!$H$39,Цены!$L$39,IF(C53=Цены!$H$40,Цены!$L$40,IF(C53=Цены!$H$41,Цены!$L$41,IF(C53=Цены!$H$42,Цены!$L$42,IF(C53=Цены!$H$43,Цены!$L$43,IF(C53=Цены!$H$44,Цены!$L$44,IF(C53=Цены!$H$45,Цены!$L$45,IF(C53=Цены!$H$46,Цены!$L$46,IF(C53=Цены!$H$47,Цены!$L$47,IF(C53=Цены!$H$48,Цены!$L$48,IF(C53=Цены!$H$49,Цены!$L$49,IF(C53=Цены!$H$50,Цены!$L$50,IF(C53=Цены!$H$51,Цены!$L$51,IF(C53=Цены!$H$52,Цены!$L$52,IF(C53=Цены!$H$53,Цены!$L$53,IF(C53=Цены!$H$54,Цены!$L$54,IF(C53=Цены!$H$55,Цены!$L$55))))))))))))))))))))))))))))))))))))))))))))))))))))))</f>
        <v>0</v>
      </c>
      <c r="F53" s="142"/>
      <c r="G53" s="387"/>
    </row>
    <row r="54" spans="2:7" x14ac:dyDescent="0.25">
      <c r="B54" s="336" t="s">
        <v>120</v>
      </c>
      <c r="C54" s="119" t="s">
        <v>67</v>
      </c>
      <c r="D54" s="146">
        <v>2</v>
      </c>
      <c r="E54" s="113">
        <f>IF(C54=Цены!$H$3,Цены!$L$3,IF(C54=Цены!$H$4,Цены!$L$4,IF(C54=Цены!$H$5,Цены!$L$5,IF(C54=Цены!$H$6,Цены!$L$6,IF(C54=Цены!$H$7,Цены!$L$7,IF(C54=Цены!$H$8,Цены!$L$8,IF(C54=Цены!$H$9,Цены!$L$9,IF(C54=Цены!$H$10,Цены!$L$10,IF(C54=Цены!$H$11,Цены!$L$11,IF(C54=Цены!$H$12,Цены!$L$12,IF(C54=Цены!$H$13,Цены!$L$13,IF(C54=Цены!$H$14,Цены!$L$14,IF(C54=Цены!$H$14,Цены!$L$14,IF(C54=Цены!$H$15,Цены!$L$15,IF(C54=Цены!$H$16,Цены!$L$16,IF(C54=Цены!$H$17,Цены!$L$17,IF(C54=Цены!$H$18,Цены!$L$18,IF(C54=Цены!$H$19,Цены!$L$19,IF(C54=Цены!$H$20,Цены!$L$20,IF(C54=Цены!$H$21,Цены!$L$21,IF(C54=Цены!$H$22,Цены!$L$22,IF(C54=Цены!$H$23,Цены!$L$23,IF(C54=Цены!$H$24,Цены!$L$24,IF(C54=Цены!$H$25,Цены!$L$25,IF(C54=Цены!$H$26,Цены!$L$26,IF(C54=Цены!$H$27,Цены!$L$27,IF(C54=Цены!$H$28,Цены!$L$28,IF(C54=Цены!$H$29,Цены!$L$29,IF(C54=Цены!$H$30,Цены!$L$30,IF(C54=Цены!$H$31,Цены!$L$31,IF(C54=Цены!$H$32,Цены!$L$32,IF(C54=Цены!$H$33,Цены!$L$33,IF(C54=Цены!$H$34,Цены!$L$34,IF(C54=Цены!$H$35,Цены!$L$35,IF(C54=Цены!$H$36,Цены!$L$36,IF(C54=Цены!$H$37,Цены!$L$37,IF(C54=Цены!$H$38,Цены!$L$38,IF(C54=Цены!$H$39,Цены!$L$39,IF(C54=Цены!$H$40,Цены!$L$40,IF(C54=Цены!$H$41,Цены!$L$41,IF(C54=Цены!$H$42,Цены!$L$42,IF(C54=Цены!$H$43,Цены!$L$43,IF(C54=Цены!$H$44,Цены!$L$44,IF(C54=Цены!$H$45,Цены!$L$45,IF(C54=Цены!$H$46,Цены!$L$46,IF(C54=Цены!$H$47,Цены!$L$47,IF(C54=Цены!$H$48,Цены!$L$48,IF(C54=Цены!$H$49,Цены!$L$49,IF(C54=Цены!$H$50,Цены!$L$50,IF(C54=Цены!$H$51,Цены!$L$51,IF(C54=Цены!$H$52,Цены!$L$52,IF(C54=Цены!$H$53,Цены!$L$53,IF(C54=Цены!$H$54,Цены!$L$54,IF(C54=Цены!$H$55,Цены!$L$55))))))))))))))))))))))))))))))))))))))))))))))))))))))</f>
        <v>0.9</v>
      </c>
      <c r="F54" s="145">
        <f>D54*E54+D55*E55+D56*E56+D57*E57</f>
        <v>3.3864000000000005</v>
      </c>
      <c r="G54" s="387"/>
    </row>
    <row r="55" spans="2:7" x14ac:dyDescent="0.25">
      <c r="B55" s="336"/>
      <c r="C55" s="119" t="s">
        <v>96</v>
      </c>
      <c r="D55" s="146">
        <v>2</v>
      </c>
      <c r="E55" s="113">
        <f>IF(C55=Цены!$H$3,Цены!$L$3,IF(C55=Цены!$H$4,Цены!$L$4,IF(C55=Цены!$H$5,Цены!$L$5,IF(C55=Цены!$H$6,Цены!$L$6,IF(C55=Цены!$H$7,Цены!$L$7,IF(C55=Цены!$H$8,Цены!$L$8,IF(C55=Цены!$H$9,Цены!$L$9,IF(C55=Цены!$H$10,Цены!$L$10,IF(C55=Цены!$H$11,Цены!$L$11,IF(C55=Цены!$H$12,Цены!$L$12,IF(C55=Цены!$H$13,Цены!$L$13,IF(C55=Цены!$H$14,Цены!$L$14,IF(C55=Цены!$H$14,Цены!$L$14,IF(C55=Цены!$H$15,Цены!$L$15,IF(C55=Цены!$H$16,Цены!$L$16,IF(C55=Цены!$H$17,Цены!$L$17,IF(C55=Цены!$H$18,Цены!$L$18,IF(C55=Цены!$H$19,Цены!$L$19,IF(C55=Цены!$H$20,Цены!$L$20,IF(C55=Цены!$H$21,Цены!$L$21,IF(C55=Цены!$H$22,Цены!$L$22,IF(C55=Цены!$H$23,Цены!$L$23,IF(C55=Цены!$H$24,Цены!$L$24,IF(C55=Цены!$H$25,Цены!$L$25,IF(C55=Цены!$H$26,Цены!$L$26,IF(C55=Цены!$H$27,Цены!$L$27,IF(C55=Цены!$H$28,Цены!$L$28,IF(C55=Цены!$H$29,Цены!$L$29,IF(C55=Цены!$H$30,Цены!$L$30,IF(C55=Цены!$H$31,Цены!$L$31,IF(C55=Цены!$H$32,Цены!$L$32,IF(C55=Цены!$H$33,Цены!$L$33,IF(C55=Цены!$H$34,Цены!$L$34,IF(C55=Цены!$H$35,Цены!$L$35,IF(C55=Цены!$H$36,Цены!$L$36,IF(C55=Цены!$H$37,Цены!$L$37,IF(C55=Цены!$H$38,Цены!$L$38,IF(C55=Цены!$H$39,Цены!$L$39,IF(C55=Цены!$H$40,Цены!$L$40,IF(C55=Цены!$H$41,Цены!$L$41,IF(C55=Цены!$H$42,Цены!$L$42,IF(C55=Цены!$H$43,Цены!$L$43,IF(C55=Цены!$H$44,Цены!$L$44,IF(C55=Цены!$H$45,Цены!$L$45,IF(C55=Цены!$H$46,Цены!$L$46,IF(C55=Цены!$H$47,Цены!$L$47,IF(C55=Цены!$H$48,Цены!$L$48,IF(C55=Цены!$H$49,Цены!$L$49,IF(C55=Цены!$H$50,Цены!$L$50,IF(C55=Цены!$H$51,Цены!$L$51,IF(C55=Цены!$H$52,Цены!$L$52,IF(C55=Цены!$H$53,Цены!$L$53,IF(C55=Цены!$H$54,Цены!$L$54,IF(C55=Цены!$H$55,Цены!$L$55))))))))))))))))))))))))))))))))))))))))))))))))))))))</f>
        <v>0.78</v>
      </c>
      <c r="F55" s="145"/>
      <c r="G55" s="387"/>
    </row>
    <row r="56" spans="2:7" x14ac:dyDescent="0.25">
      <c r="B56" s="336"/>
      <c r="C56" s="115" t="s">
        <v>121</v>
      </c>
      <c r="D56" s="146">
        <v>2</v>
      </c>
      <c r="E56" s="113">
        <f>IF(C56=Цены!$H$3,Цены!$L$3,IF(C56=Цены!$H$4,Цены!$L$4,IF(C56=Цены!$H$5,Цены!$L$5,IF(C56=Цены!$H$6,Цены!$L$6,IF(C56=Цены!$H$7,Цены!$L$7,IF(C56=Цены!$H$8,Цены!$L$8,IF(C56=Цены!$H$9,Цены!$L$9,IF(C56=Цены!$H$10,Цены!$L$10,IF(C56=Цены!$H$11,Цены!$L$11,IF(C56=Цены!$H$12,Цены!$L$12,IF(C56=Цены!$H$13,Цены!$L$13,IF(C56=Цены!$H$14,Цены!$L$14,IF(C56=Цены!$H$14,Цены!$L$14,IF(C56=Цены!$H$15,Цены!$L$15,IF(C56=Цены!$H$16,Цены!$L$16,IF(C56=Цены!$H$17,Цены!$L$17,IF(C56=Цены!$H$18,Цены!$L$18,IF(C56=Цены!$H$19,Цены!$L$19,IF(C56=Цены!$H$20,Цены!$L$20,IF(C56=Цены!$H$21,Цены!$L$21,IF(C56=Цены!$H$22,Цены!$L$22,IF(C56=Цены!$H$23,Цены!$L$23,IF(C56=Цены!$H$24,Цены!$L$24,IF(C56=Цены!$H$25,Цены!$L$25,IF(C56=Цены!$H$26,Цены!$L$26,IF(C56=Цены!$H$27,Цены!$L$27,IF(C56=Цены!$H$28,Цены!$L$28,IF(C56=Цены!$H$29,Цены!$L$29,IF(C56=Цены!$H$30,Цены!$L$30,IF(C56=Цены!$H$31,Цены!$L$31,IF(C56=Цены!$H$32,Цены!$L$32,IF(C56=Цены!$H$33,Цены!$L$33,IF(C56=Цены!$H$34,Цены!$L$34,IF(C56=Цены!$H$35,Цены!$L$35,IF(C56=Цены!$H$36,Цены!$L$36,IF(C56=Цены!$H$37,Цены!$L$37,IF(C56=Цены!$H$38,Цены!$L$38,IF(C56=Цены!$H$39,Цены!$L$39,IF(C56=Цены!$H$40,Цены!$L$40,IF(C56=Цены!$H$41,Цены!$L$41,IF(C56=Цены!$H$42,Цены!$L$42,IF(C56=Цены!$H$43,Цены!$L$43,IF(C56=Цены!$H$44,Цены!$L$44,IF(C56=Цены!$H$45,Цены!$L$45,IF(C56=Цены!$H$46,Цены!$L$46,IF(C56=Цены!$H$47,Цены!$L$47,IF(C56=Цены!$H$48,Цены!$L$48,IF(C56=Цены!$H$49,Цены!$L$49,IF(C56=Цены!$H$50,Цены!$L$50,IF(C56=Цены!$H$51,Цены!$L$51,IF(C56=Цены!$H$52,Цены!$L$52,IF(C56=Цены!$H$53,Цены!$L$53,IF(C56=Цены!$H$54,Цены!$L$54,IF(C56=Цены!$H$55,Цены!$L$55))))))))))))))))))))))))))))))))))))))))))))))))))))))</f>
        <v>1.32E-2</v>
      </c>
      <c r="F56" s="145"/>
      <c r="G56" s="387"/>
    </row>
    <row r="57" spans="2:7" x14ac:dyDescent="0.25">
      <c r="B57" s="336"/>
      <c r="C57" s="119"/>
      <c r="D57" s="146"/>
      <c r="E57" s="113" t="b">
        <f>IF(C57=Цены!$H$3,Цены!$L$3,IF(C57=Цены!$H$4,Цены!$L$4,IF(C57=Цены!$H$5,Цены!$L$5,IF(C57=Цены!$H$6,Цены!$L$6,IF(C57=Цены!$H$7,Цены!$L$7,IF(C57=Цены!$H$8,Цены!$L$8,IF(C57=Цены!$H$9,Цены!$L$9,IF(C57=Цены!$H$10,Цены!$L$10,IF(C57=Цены!$H$11,Цены!$L$11,IF(C57=Цены!$H$12,Цены!$L$12,IF(C57=Цены!$H$13,Цены!$L$13,IF(C57=Цены!$H$14,Цены!$L$14,IF(C57=Цены!$H$14,Цены!$L$14,IF(C57=Цены!$H$15,Цены!$L$15,IF(C57=Цены!$H$16,Цены!$L$16,IF(C57=Цены!$H$17,Цены!$L$17,IF(C57=Цены!$H$18,Цены!$L$18,IF(C57=Цены!$H$19,Цены!$L$19,IF(C57=Цены!$H$20,Цены!$L$20,IF(C57=Цены!$H$21,Цены!$L$21,IF(C57=Цены!$H$22,Цены!$L$22,IF(C57=Цены!$H$23,Цены!$L$23,IF(C57=Цены!$H$24,Цены!$L$24,IF(C57=Цены!$H$25,Цены!$L$25,IF(C57=Цены!$H$26,Цены!$L$26,IF(C57=Цены!$H$27,Цены!$L$27,IF(C57=Цены!$H$28,Цены!$L$28,IF(C57=Цены!$H$29,Цены!$L$29,IF(C57=Цены!$H$30,Цены!$L$30,IF(C57=Цены!$H$31,Цены!$L$31,IF(C57=Цены!$H$32,Цены!$L$32,IF(C57=Цены!$H$33,Цены!$L$33,IF(C57=Цены!$H$34,Цены!$L$34,IF(C57=Цены!$H$35,Цены!$L$35,IF(C57=Цены!$H$36,Цены!$L$36,IF(C57=Цены!$H$37,Цены!$L$37,IF(C57=Цены!$H$38,Цены!$L$38,IF(C57=Цены!$H$39,Цены!$L$39,IF(C57=Цены!$H$40,Цены!$L$40,IF(C57=Цены!$H$41,Цены!$L$41,IF(C57=Цены!$H$42,Цены!$L$42,IF(C57=Цены!$H$43,Цены!$L$43,IF(C57=Цены!$H$44,Цены!$L$44,IF(C57=Цены!$H$45,Цены!$L$45,IF(C57=Цены!$H$46,Цены!$L$46,IF(C57=Цены!$H$47,Цены!$L$47,IF(C57=Цены!$H$48,Цены!$L$48,IF(C57=Цены!$H$49,Цены!$L$49,IF(C57=Цены!$H$50,Цены!$L$50,IF(C57=Цены!$H$51,Цены!$L$51,IF(C57=Цены!$H$52,Цены!$L$52,IF(C57=Цены!$H$53,Цены!$L$53,IF(C57=Цены!$H$54,Цены!$L$54,IF(C57=Цены!$H$55,Цены!$L$55))))))))))))))))))))))))))))))))))))))))))))))))))))))</f>
        <v>0</v>
      </c>
      <c r="F57" s="145"/>
      <c r="G57" s="387"/>
    </row>
  </sheetData>
  <mergeCells count="23">
    <mergeCell ref="B6:B9"/>
    <mergeCell ref="B2:B5"/>
    <mergeCell ref="F2:F5"/>
    <mergeCell ref="G2:G9"/>
    <mergeCell ref="G10:G17"/>
    <mergeCell ref="B10:B13"/>
    <mergeCell ref="B14:B17"/>
    <mergeCell ref="G18:G25"/>
    <mergeCell ref="G34:G41"/>
    <mergeCell ref="F6:F9"/>
    <mergeCell ref="G42:G49"/>
    <mergeCell ref="G50:G57"/>
    <mergeCell ref="G26:G33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</mergeCells>
  <pageMargins left="0.7" right="0.7" top="0.75" bottom="0.75" header="0.3" footer="0.3"/>
  <pageSetup paperSize="9" scale="88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ПРАЙС</vt:lpstr>
      <vt:lpstr>Цены</vt:lpstr>
      <vt:lpstr>Расход</vt:lpstr>
      <vt:lpstr>Лист2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2026-01-29T09:43:31Z</dcterms:modified>
</cp:coreProperties>
</file>